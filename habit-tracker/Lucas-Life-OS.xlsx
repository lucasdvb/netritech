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eek Plan" sheetId="3" state="visible" r:id="rId3"/>
    <sheet xmlns:r="http://schemas.openxmlformats.org/officeDocument/2006/relationships" name="Oct 2026" sheetId="4" state="visible" r:id="rId4"/>
    <sheet xmlns:r="http://schemas.openxmlformats.org/officeDocument/2006/relationships" name="Nov 2026" sheetId="5" state="visible" r:id="rId5"/>
    <sheet xmlns:r="http://schemas.openxmlformats.org/officeDocument/2006/relationships" name="Dec 2026" sheetId="6" state="visible" r:id="rId6"/>
    <sheet xmlns:r="http://schemas.openxmlformats.org/officeDocument/2006/relationships" name="Jan 2027" sheetId="7" state="visible" r:id="rId7"/>
    <sheet xmlns:r="http://schemas.openxmlformats.org/officeDocument/2006/relationships" name="Feb 2027" sheetId="8" state="visible" r:id="rId8"/>
    <sheet xmlns:r="http://schemas.openxmlformats.org/officeDocument/2006/relationships" name="Mar 2027" sheetId="9" state="visible" r:id="rId9"/>
    <sheet xmlns:r="http://schemas.openxmlformats.org/officeDocument/2006/relationships" name="Apr 2027" sheetId="10" state="visible" r:id="rId10"/>
    <sheet xmlns:r="http://schemas.openxmlformats.org/officeDocument/2006/relationships" name="May 2027" sheetId="11" state="visible" r:id="rId11"/>
    <sheet xmlns:r="http://schemas.openxmlformats.org/officeDocument/2006/relationships" name="Jun 2027" sheetId="12" state="visible" r:id="rId12"/>
    <sheet xmlns:r="http://schemas.openxmlformats.org/officeDocument/2006/relationships" name="Jul 2027" sheetId="13" state="visible" r:id="rId13"/>
    <sheet xmlns:r="http://schemas.openxmlformats.org/officeDocument/2006/relationships" name="Aug 2027" sheetId="14" state="visible" r:id="rId14"/>
    <sheet xmlns:r="http://schemas.openxmlformats.org/officeDocument/2006/relationships" name="Sep 2027" sheetId="15" state="visible" r:id="rId15"/>
    <sheet xmlns:r="http://schemas.openxmlformats.org/officeDocument/2006/relationships" name="Body" sheetId="16" state="visible" r:id="rId16"/>
    <sheet xmlns:r="http://schemas.openxmlformats.org/officeDocument/2006/relationships" name="Weekly Review" sheetId="17" state="visible" r:id="rId17"/>
    <sheet xmlns:r="http://schemas.openxmlformats.org/officeDocument/2006/relationships" name="Monthly Review" sheetId="18" state="visible" r:id="rId18"/>
    <sheet xmlns:r="http://schemas.openxmlformats.org/officeDocument/2006/relationships" name="Habit Library" sheetId="19" state="visible" r:id="rId19"/>
    <sheet xmlns:r="http://schemas.openxmlformats.org/officeDocument/2006/relationships" name="Plan &amp; Routines" sheetId="20" state="visible" r:id="rId20"/>
    <sheet xmlns:r="http://schemas.openxmlformats.org/officeDocument/2006/relationships" name="Settings" sheetId="21" state="visible" r:id="rId21"/>
    <sheet xmlns:r="http://schemas.openxmlformats.org/officeDocument/2006/relationships" name="Calc" sheetId="22" state="visible" r:id="rId22"/>
    <sheet xmlns:r="http://schemas.openxmlformats.org/officeDocument/2006/relationships" name="Data" sheetId="23" state="visible" r:id="rId23"/>
  </sheets>
  <definedNames>
    <definedName name="OwnerName">Settings!$C$6</definedName>
    <definedName name="Age">Settings!$C$7</definedName>
    <definedName name="HeightCm">Settings!$C$8</definedName>
    <definedName name="StartWeight">Settings!$C$9</definedName>
    <definedName name="StartBF">Settings!$C$10</definedName>
    <definedName name="GoalBF">Settings!$C$11</definedName>
    <definedName name="LeanMass">Settings!$C$12</definedName>
    <definedName name="GoalWeight">Settings!$C$13</definedName>
    <definedName name="TrackStart">Settings!$C$15</definedName>
    <definedName name="WakeTime">Settings!$C$16</definedName>
    <definedName name="TrainTime">Settings!$C$17</definedName>
    <definedName name="WorkHours">Settings!$C$18</definedName>
    <definedName name="LightsOut">Settings!$C$19</definedName>
    <definedName name="WorkDays">Settings!$C$20</definedName>
    <definedName name="StrDays">Settings!$C$21</definedName>
    <definedName name="ProtTarget">Settings!$C$23</definedName>
    <definedName name="ProtHit">Settings!$C$24</definedName>
    <definedName name="ProtDinner">Settings!$C$25</definedName>
    <definedName name="ProtMVD">Settings!$C$26</definedName>
    <definedName name="KcalMin">Settings!$C$27</definedName>
    <definedName name="KcalMax">Settings!$C$28</definedName>
    <definedName name="FatRange">Settings!$C$29</definedName>
    <definedName name="WaterHit">Settings!$C$30</definedName>
    <definedName name="WaterMVD">Settings!$C$31</definedName>
    <definedName name="SleepTarget">Settings!$C$33</definedName>
    <definedName name="SleepMin">Settings!$C$34</definedName>
    <definedName name="SleepLow">Settings!$C$35</definedName>
    <definedName name="Steps1">Settings!$C$37</definedName>
    <definedName name="Steps2">Settings!$C$38</definedName>
    <definedName name="Steps3">Settings!$C$39</definedName>
    <definedName name="StepsAlert">Settings!$C$40</definedName>
    <definedName name="LossMin">Settings!$C$42</definedName>
    <definedName name="LossMax">Settings!$C$43</definedName>
    <definedName name="LossMaxPct">Settings!$C$44</definedName>
    <definedName name="Band1">Settings!$C$46</definedName>
    <definedName name="Band2">Settings!$C$47</definedName>
    <definedName name="Band3">Settings!$C$48</definedName>
    <definedName name="RecoveryLow">Settings!$C$49</definedName>
    <definedName name="PlanTraining">Settings!$H$7:$H$13</definedName>
    <definedName name="PlanRest">Settings!$I$7:$I$13</definedName>
    <definedName name="k_Mode">Calc!$B$4</definedName>
    <definedName name="k_Wd">Calc!$B$5</definedName>
    <definedName name="k_PlanT">Calc!$B$6</definedName>
    <definedName name="k_PlanR">Calc!$B$7</definedName>
    <definedName name="k_T_wake">Calc!$B$8</definedName>
    <definedName name="k_T_pray">Calc!$B$9</definedName>
    <definedName name="k_T_mob">Calc!$B$10</definedName>
    <definedName name="k_T_move">Calc!$B$11</definedName>
    <definedName name="k_T_top3">Calc!$B$12</definedName>
    <definedName name="k_T_love">Calc!$B$13</definedName>
    <definedName name="k_T_read">Calc!$B$14</definedName>
    <definedName name="k_T_shut">Calc!$B$15</definedName>
    <definedName name="k_T_sleep">Calc!$B$16</definedName>
    <definedName name="k_T_str">Calc!$B$17</definedName>
    <definedName name="k_T_prog">Calc!$B$18</definedName>
    <definedName name="k_T_core">Calc!$B$19</definedName>
    <definedName name="k_T_calf">Calc!$B$20</definedName>
    <definedName name="k_T_cardio">Calc!$B$21</definedName>
    <definedName name="k_T_deep">Calc!$B$22</definedName>
    <definedName name="k_T_brk">Calc!$B$23</definedName>
    <definedName name="k_T_home">Calc!$B$24</definedName>
    <definedName name="k_T_son">Calc!$B$25</definedName>
    <definedName name="k_T_couple">Calc!$B$26</definedName>
    <definedName name="k_T_family">Calc!$B$27</definedName>
    <definedName name="k_T_church">Calc!$B$28</definedName>
    <definedName name="k_T_prep">Calc!$B$29</definedName>
    <definedName name="k_T_med">Calc!$B$30</definedName>
    <definedName name="k_T_xcardio">Calc!$B$31</definedName>
    <definedName name="k_T_xmob">Calc!$B$32</definedName>
    <definedName name="k_T_xread">Calc!$B$33</definedName>
    <definedName name="k_T_weight">Calc!$B$34</definedName>
    <definedName name="k_T_steps">Calc!$B$35</definedName>
    <definedName name="k_T_protein">Calc!$B$36</definedName>
    <definedName name="k_T_water">Calc!$B$37</definedName>
    <definedName name="k_T_kcal">Calc!$B$38</definedName>
    <definedName name="k_T_sleeph">Calc!$B$39</definedName>
    <definedName name="k_T_energy">Calc!$B$40</definedName>
    <definedName name="k_T_stress">Calc!$B$41</definedName>
    <definedName name="k_T_mood">Calc!$B$42</definedName>
    <definedName name="k_T_stepT">Calc!$B$43</definedName>
    <definedName name="k_T_score">Calc!$B$44</definedName>
    <definedName name="k_T_r7">Calc!$B$45</definedName>
    <definedName name="k_T_r30">Calc!$B$46</definedName>
    <definedName name="k_T_w7">Calc!$B$47</definedName>
    <definedName name="k_T_l1done">Calc!$B$48</definedName>
    <definedName name="k_T_l1app">Calc!$B$49</definedName>
    <definedName name="k_T_workday">Calc!$B$50</definedName>
    <definedName name="k_T_strday">Calc!$B$51</definedName>
    <definedName name="k_T_logged">Calc!$B$52</definedName>
    <definedName name="k_T_active">Calc!$B$53</definedName>
    <definedName name="k_Y_score">Calc!$B$54</definedName>
    <definedName name="k_Y_str">Calc!$B$55</definedName>
    <definedName name="k_Y_strday">Calc!$B$56</definedName>
    <definedName name="k_Y_mode">Calc!$B$57</definedName>
    <definedName name="k_Y_active">Calc!$B$58</definedName>
    <definedName name="k_W7_m7">Calc!$B$59</definedName>
    <definedName name="k_W7_m14">Calc!$B$60</definedName>
    <definedName name="k_W7_m30">Calc!$B$61</definedName>
    <definedName name="k_R7_m7">Calc!$B$62</definedName>
    <definedName name="k_Rate">Calc!$B$63</definedName>
    <definedName name="k_RatePrev">Calc!$B$64</definedName>
    <definedName name="k_Change30">Calc!$B$65</definedName>
    <definedName name="k_TodayOpen">Calc!$B$66</definedName>
    <definedName name="k_D7">Calc!$B$67</definedName>
    <definedName name="k_D30">Calc!$B$68</definedName>
    <definedName name="k_WD7">Calc!$B$69</definedName>
    <definedName name="k_WD30">Calc!$B$70</definedName>
    <definedName name="k_Logged7">Calc!$B$71</definedName>
    <definedName name="k_Str7">Calc!$B$72</definedName>
    <definedName name="k_Str14">Calc!$B$73</definedName>
    <definedName name="k_Prog14">Calc!$B$74</definedName>
    <definedName name="k_Str30">Calc!$B$75</definedName>
    <definedName name="k_ProgRate14">Calc!$B$76</definedName>
    <definedName name="k_Core7">Calc!$B$77</definedName>
    <definedName name="k_Calf7">Calc!$B$78</definedName>
    <definedName name="k_Cardio7">Calc!$B$79</definedName>
    <definedName name="k_Church7">Calc!$B$80</definedName>
    <definedName name="k_Son7">Calc!$B$81</definedName>
    <definedName name="k_Date7">Calc!$B$82</definedName>
    <definedName name="k_Family7">Calc!$B$83</definedName>
    <definedName name="k_Prep7">Calc!$B$84</definedName>
    <definedName name="k_Pray7">Calc!$B$85</definedName>
    <definedName name="k_Pray30">Calc!$B$86</definedName>
    <definedName name="k_Read30">Calc!$B$87</definedName>
    <definedName name="k_Prot7">Calc!$B$88</definedName>
    <definedName name="k_Steps7">Calc!$B$89</definedName>
    <definedName name="k_Sleep7">Calc!$B$90</definedName>
    <definedName name="k_Energy7">Calc!$B$91</definedName>
    <definedName name="k_Stress7">Calc!$B$92</definedName>
    <definedName name="k_Mood7">Calc!$B$93</definedName>
    <definedName name="k_Water7">Calc!$B$94</definedName>
    <definedName name="k_Rest7">Calc!$B$95</definedName>
    <definedName name="k_Recovery">Calc!$B$96</definedName>
    <definedName name="k_L1avg7">Calc!$B$97</definedName>
    <definedName name="k_L2avg7">Calc!$B$98</definedName>
    <definedName name="k_L1low">Calc!$B$99</definedName>
    <definedName name="k_Status7">Calc!$B$100</definedName>
    <definedName name="k_Status30">Calc!$B$101</definedName>
    <definedName name="k_WaistDate">Calc!$B$102</definedName>
    <definedName name="k_Waist">Calc!$B$103</definedName>
    <definedName name="k_WaistPrevDate">Calc!$B$104</definedName>
    <definedName name="k_WaistPrev">Calc!$B$105</definedName>
    <definedName name="k_Photo30">Calc!$B$106</definedName>
    <definedName name="k_WeeksToGoal">Calc!$B$107</definedName>
    <definedName name="k_LossTooFast">Calc!$B$108</definedName>
    <definedName name="k_RateFlag">Calc!$B$109</definedName>
    <definedName name="AsOf">Dashboard!$P$2</definedName>
    <definedName name="WeekStart">'Week Plan'!$Q$2</definedName>
    <definedName name="AsOfW">'Weekly Review'!$AN$1</definedName>
  </definedNames>
  <calcPr calcId="124519" fullCalcOnLoad="1"/>
</workbook>
</file>

<file path=xl/styles.xml><?xml version="1.0" encoding="utf-8"?>
<styleSheet xmlns="http://schemas.openxmlformats.org/spreadsheetml/2006/main">
  <numFmts count="17">
    <numFmt numFmtId="164" formatCode="0.0"/>
    <numFmt numFmtId="165" formatCode="yyyy-mm-dd"/>
    <numFmt numFmtId="166" formatCode="d mmm yyyy"/>
    <numFmt numFmtId="167" formatCode="0.0%"/>
    <numFmt numFmtId="168" formatCode="ddd d mmm yy"/>
    <numFmt numFmtId="169" formatCode="d"/>
    <numFmt numFmtId="170" formatCode="0&quot;k&quot;"/>
    <numFmt numFmtId="171" formatCode="+0.00;-0.00"/>
    <numFmt numFmtId="172" formatCode="+0.0;-0.0"/>
    <numFmt numFmtId="173" formatCode="d mmm"/>
    <numFmt numFmtId="174" formatCode="dddd d mmmm yyyy"/>
    <numFmt numFmtId="175" formatCode="0.0&quot; kg&quot;"/>
    <numFmt numFmtId="176" formatCode="+0.00&quot; kg&quot;;-0.00&quot; kg&quot;"/>
    <numFmt numFmtId="177" formatCode="ddd d mmm yyyy"/>
    <numFmt numFmtId="178" formatCode="0.0&quot;k&quot;"/>
    <numFmt numFmtId="179" formatCode="d mmm yy"/>
    <numFmt numFmtId="180" formatCode="mmm yyyy"/>
  </numFmts>
  <fonts count="121">
    <font>
      <name val="Calibri"/>
      <family val="2"/>
      <color theme="1"/>
      <sz val="11"/>
      <scheme val="minor"/>
    </font>
    <font>
      <name val="Montserrat"/>
      <b val="1"/>
      <color rgb="00E8ECF4"/>
      <sz val="22"/>
    </font>
    <font>
      <name val="Montserrat"/>
      <color rgb="008D97B0"/>
      <sz val="9"/>
    </font>
    <font>
      <name val="Montserrat"/>
      <b val="1"/>
      <color rgb="00F5C542"/>
      <sz val="8"/>
    </font>
    <font>
      <name val="Montserrat"/>
      <color rgb="00E8ECF4"/>
      <sz val="9"/>
    </font>
    <font>
      <name val="Montserrat"/>
      <b val="1"/>
      <color rgb="00F5C542"/>
      <sz val="9"/>
    </font>
    <font>
      <name val="Montserrat"/>
      <color rgb="008D97B0"/>
      <sz val="8"/>
    </font>
    <font>
      <name val="Montserrat"/>
      <b val="1"/>
      <color rgb="00E8ECF4"/>
      <sz val="9"/>
    </font>
    <font>
      <name val="Montserrat"/>
      <i val="1"/>
      <color rgb="008D97B0"/>
      <sz val="8"/>
    </font>
    <font>
      <name val="Montserrat"/>
      <b val="1"/>
      <color rgb="008D97B0"/>
      <sz val="8"/>
    </font>
    <font>
      <name val="Montserrat"/>
      <b val="1"/>
      <color rgb="008B5CF6"/>
      <sz val="9"/>
    </font>
    <font>
      <name val="Montserrat"/>
      <color rgb="00F5C542"/>
      <sz val="9"/>
    </font>
    <font>
      <name val="Montserrat"/>
      <b val="1"/>
      <color rgb="004F7CF7"/>
      <sz val="9"/>
    </font>
    <font>
      <name val="Montserrat"/>
      <b val="1"/>
      <color rgb="0019C3C3"/>
      <sz val="9"/>
    </font>
    <font>
      <name val="Montserrat"/>
      <b val="1"/>
      <color rgb="0022C55E"/>
      <sz val="9"/>
    </font>
    <font>
      <name val="Montserrat"/>
      <b val="1"/>
      <color rgb="00A3E635"/>
      <sz val="9"/>
    </font>
    <font>
      <name val="Montserrat"/>
      <b val="1"/>
      <color rgb="00F59E42"/>
      <sz val="9"/>
    </font>
    <font>
      <name val="Montserrat"/>
      <b val="1"/>
      <color rgb="00F5C542"/>
      <sz val="11"/>
    </font>
    <font>
      <name val="Montserrat"/>
      <b val="1"/>
      <color rgb="00E8ECF4"/>
      <sz val="7"/>
    </font>
    <font>
      <name val="Montserrat"/>
      <color rgb="00E8ECF4"/>
      <sz val="7"/>
    </font>
    <font>
      <name val="Montserrat"/>
      <color rgb="00141B2D"/>
      <sz val="6"/>
    </font>
    <font>
      <name val="Montserrat"/>
      <b val="1"/>
      <color rgb="008D97B0"/>
      <sz val="7"/>
    </font>
    <font>
      <name val="Montserrat"/>
      <b val="1"/>
      <color rgb="00E8ECF4"/>
      <sz val="11"/>
    </font>
    <font>
      <name val="Montserrat"/>
      <b val="1"/>
      <color rgb="0019C3C3"/>
      <sz val="11"/>
    </font>
    <font>
      <name val="Montserrat"/>
      <b val="1"/>
      <color rgb="00E8ECF4"/>
      <sz val="10"/>
    </font>
    <font>
      <name val="Montserrat"/>
      <b val="1"/>
      <color rgb="00FFFFFF"/>
      <sz val="8"/>
    </font>
    <font>
      <name val="Montserrat"/>
      <color rgb="00C7BAF5"/>
      <sz val="6"/>
    </font>
    <font>
      <name val="Montserrat"/>
      <color rgb="00B2C5F5"/>
      <sz val="6"/>
    </font>
    <font>
      <name val="Montserrat"/>
      <color rgb="00A0DEE3"/>
      <sz val="6"/>
    </font>
    <font>
      <name val="Montserrat"/>
      <color rgb="00EBB5CF"/>
      <sz val="6"/>
    </font>
    <font>
      <name val="Montserrat"/>
      <color rgb="00A3DEC0"/>
      <sz val="6"/>
    </font>
    <font>
      <name val="Montserrat"/>
      <color rgb="008D97B0"/>
      <sz val="7"/>
    </font>
    <font>
      <name val="Montserrat"/>
      <color rgb="005B6584"/>
      <sz val="6"/>
    </font>
    <font>
      <name val="Montserrat"/>
      <b val="1"/>
      <color rgb="00E8ECF4"/>
      <sz val="8"/>
    </font>
    <font>
      <name val="Montserrat"/>
      <color rgb="008D97B0"/>
      <sz val="6"/>
    </font>
    <font>
      <name val="Montserrat"/>
      <b val="1"/>
      <color rgb="00141B2D"/>
      <sz val="7"/>
    </font>
    <font>
      <name val="Montserrat"/>
      <b val="1"/>
      <color rgb="00F5C542"/>
      <sz val="7"/>
    </font>
    <font>
      <name val="Montserrat"/>
      <i val="1"/>
      <color rgb="00F5C542"/>
      <sz val="6"/>
    </font>
    <font>
      <name val="Montserrat"/>
      <b val="1"/>
      <color rgb="004F7CF7"/>
      <sz val="7"/>
    </font>
    <font>
      <name val="Montserrat"/>
      <i val="1"/>
      <color rgb="004F7CF7"/>
      <sz val="6"/>
    </font>
    <font>
      <name val="Montserrat"/>
      <i val="1"/>
      <color rgb="008D97B0"/>
      <sz val="6"/>
    </font>
    <font>
      <name val="Montserrat"/>
      <color rgb="00E8ECF4"/>
      <sz val="8"/>
    </font>
    <font>
      <name val="Montserrat"/>
      <b val="1"/>
      <color rgb="0019C3C3"/>
      <sz val="6"/>
    </font>
    <font>
      <name val="Montserrat"/>
      <b val="1"/>
      <color rgb="00F0508A"/>
      <sz val="9"/>
    </font>
    <font>
      <name val="Montserrat"/>
      <color rgb="0019C3C3"/>
      <sz val="8"/>
    </font>
    <font>
      <name val="Montserrat"/>
      <b val="1"/>
      <color rgb="00F5C542"/>
      <sz val="6"/>
    </font>
    <font>
      <name val="Montserrat"/>
      <b val="1"/>
      <color rgb="004F7CF7"/>
      <sz val="6"/>
    </font>
    <font>
      <name val="Montserrat"/>
      <b val="1"/>
      <color rgb="00F0508A"/>
      <sz val="6"/>
    </font>
    <font>
      <name val="Montserrat"/>
      <b val="1"/>
      <color rgb="00F59E42"/>
      <sz val="6"/>
    </font>
    <font>
      <name val="Montserrat"/>
      <b val="1"/>
      <color rgb="00E879F9"/>
      <sz val="6"/>
    </font>
    <font>
      <name val="Montserrat"/>
      <b val="1"/>
      <color rgb="008B5CF6"/>
      <sz val="6"/>
    </font>
    <font>
      <name val="Montserrat"/>
      <b val="1"/>
      <color rgb="00A3E635"/>
      <sz val="6"/>
    </font>
    <font>
      <name val="Montserrat"/>
      <color rgb="005B6584"/>
      <sz val="8"/>
    </font>
    <font>
      <name val="Montserrat"/>
      <b val="1"/>
      <color rgb="00E8ECF4"/>
      <sz val="6"/>
    </font>
    <font>
      <name val="Montserrat"/>
      <color rgb="00F5C542"/>
      <sz val="8"/>
    </font>
    <font>
      <name val="Montserrat"/>
      <b val="1"/>
      <color rgb="008B5CF6"/>
      <sz val="8"/>
    </font>
    <font>
      <name val="Montserrat"/>
      <color rgb="008B5CF6"/>
      <sz val="8"/>
    </font>
    <font>
      <name val="Montserrat"/>
      <b val="1"/>
      <color rgb="004F7CF7"/>
      <sz val="8"/>
    </font>
    <font>
      <name val="Montserrat"/>
      <color rgb="004F7CF7"/>
      <sz val="8"/>
    </font>
    <font>
      <name val="Montserrat"/>
      <b val="1"/>
      <color rgb="0019C3C3"/>
      <sz val="8"/>
    </font>
    <font>
      <name val="Montserrat"/>
      <b val="1"/>
      <color rgb="00F0508A"/>
      <sz val="8"/>
    </font>
    <font>
      <name val="Montserrat"/>
      <color rgb="00F0508A"/>
      <sz val="8"/>
    </font>
    <font>
      <name val="Montserrat"/>
      <b val="1"/>
      <color rgb="0022C55E"/>
      <sz val="8"/>
    </font>
    <font>
      <name val="Montserrat"/>
      <color rgb="0022C55E"/>
      <sz val="8"/>
    </font>
    <font>
      <name val="Montserrat"/>
      <color rgb="0019C3C3"/>
      <sz val="7"/>
    </font>
    <font>
      <name val="Montserrat"/>
      <color rgb="00E8ECF4"/>
      <sz val="6"/>
    </font>
    <font>
      <name val="Montserrat"/>
      <color rgb="00F59E42"/>
      <sz val="8"/>
    </font>
    <font>
      <name val="Montserrat"/>
      <i val="1"/>
      <color rgb="008D97B0"/>
      <sz val="7"/>
    </font>
    <font>
      <name val="Montserrat"/>
      <b val="1"/>
      <color rgb="00F59E42"/>
      <sz val="8"/>
    </font>
    <font>
      <name val="Montserrat"/>
      <b val="1"/>
      <color rgb="00E879F9"/>
      <sz val="8"/>
    </font>
    <font>
      <name val="Montserrat"/>
      <b val="1"/>
      <color rgb="00A3E635"/>
      <sz val="8"/>
    </font>
    <font>
      <name val="Montserrat"/>
      <color rgb="005B6584"/>
      <sz val="7"/>
    </font>
    <font>
      <name val="Montserrat"/>
      <b val="1"/>
      <color rgb="00E8ECF4"/>
      <sz val="28"/>
    </font>
    <font>
      <name val="Montserrat"/>
      <b val="1"/>
      <color rgb="00F5C542"/>
      <sz val="10"/>
    </font>
    <font>
      <name val="Montserrat"/>
      <b val="1"/>
      <color rgb="00F5C542"/>
      <sz val="24"/>
    </font>
    <font>
      <name val="Montserrat"/>
      <b val="1"/>
      <color rgb="0019C3C3"/>
      <sz val="24"/>
    </font>
    <font>
      <name val="Montserrat"/>
      <b val="1"/>
      <color rgb="00E8ECF4"/>
      <sz val="14"/>
    </font>
    <font>
      <name val="Montserrat"/>
      <b val="1"/>
      <color rgb="008B5CF6"/>
      <sz val="24"/>
    </font>
    <font>
      <name val="Montserrat"/>
      <b val="1"/>
      <color rgb="0022C55E"/>
      <sz val="24"/>
    </font>
    <font>
      <name val="Montserrat"/>
      <b val="1"/>
      <color rgb="008D97B0"/>
      <sz val="9"/>
    </font>
    <font>
      <name val="Montserrat"/>
      <b val="1"/>
      <color rgb="00E879F9"/>
      <sz val="9"/>
    </font>
    <font>
      <name val="Montserrat"/>
      <b val="1"/>
      <color rgb="00E8ECF4"/>
      <sz val="13"/>
    </font>
    <font>
      <name val="Montserrat"/>
      <color rgb="00F5C542"/>
      <sz val="7"/>
    </font>
    <font>
      <name val="Montserrat"/>
      <color rgb="00E879F9"/>
      <sz val="8"/>
    </font>
    <font>
      <name val="Montserrat"/>
      <color rgb="00A3E635"/>
      <sz val="8"/>
    </font>
    <font>
      <name val="Montserrat"/>
      <b val="1"/>
      <color rgb="00E8ECF4"/>
      <sz val="24"/>
    </font>
    <font>
      <name val="Montserrat"/>
      <color rgb="00384058"/>
      <sz val="6"/>
    </font>
    <font>
      <name val="Montserrat"/>
      <b val="1"/>
      <color rgb="0019C3C3"/>
      <sz val="16"/>
    </font>
    <font>
      <name val="Montserrat"/>
      <b val="1"/>
      <color rgb="00141B2D"/>
      <sz val="10"/>
    </font>
    <font>
      <name val="Montserrat"/>
      <color rgb="008B5CF6"/>
      <sz val="7"/>
    </font>
    <font>
      <name val="Montserrat"/>
      <b val="1"/>
      <color rgb="008B5CF6"/>
      <sz val="14"/>
    </font>
    <font>
      <name val="Montserrat"/>
      <b val="1"/>
      <color rgb="008B5CF6"/>
      <sz val="7"/>
    </font>
    <font>
      <name val="Montserrat"/>
      <color rgb="008B5CF6"/>
      <sz val="9"/>
    </font>
    <font>
      <name val="Montserrat"/>
      <color rgb="004F7CF7"/>
      <sz val="7"/>
    </font>
    <font>
      <name val="Montserrat"/>
      <color rgb="00F0508A"/>
      <sz val="7"/>
    </font>
    <font>
      <name val="Montserrat"/>
      <color rgb="00F59E42"/>
      <sz val="7"/>
    </font>
    <font>
      <name val="Montserrat"/>
      <color rgb="0022C55E"/>
      <sz val="7"/>
    </font>
    <font>
      <name val="Montserrat"/>
      <b val="1"/>
      <color rgb="004F7CF7"/>
      <sz val="14"/>
    </font>
    <font>
      <name val="Montserrat"/>
      <color rgb="004F7CF7"/>
      <sz val="9"/>
    </font>
    <font>
      <name val="Montserrat"/>
      <b val="1"/>
      <color rgb="0019C3C3"/>
      <sz val="14"/>
    </font>
    <font>
      <name val="Montserrat"/>
      <b val="1"/>
      <color rgb="0019C3C3"/>
      <sz val="7"/>
    </font>
    <font>
      <name val="Montserrat"/>
      <color rgb="0019C3C3"/>
      <sz val="9"/>
    </font>
    <font>
      <name val="Montserrat"/>
      <b val="1"/>
      <color rgb="0022C55E"/>
      <sz val="14"/>
    </font>
    <font>
      <name val="Montserrat"/>
      <b val="1"/>
      <color rgb="0022C55E"/>
      <sz val="7"/>
    </font>
    <font>
      <name val="Montserrat"/>
      <color rgb="0022C55E"/>
      <sz val="9"/>
    </font>
    <font>
      <name val="Montserrat"/>
      <b val="1"/>
      <color rgb="0022C55E"/>
      <sz val="6"/>
    </font>
    <font>
      <name val="Montserrat"/>
      <color rgb="00A3E635"/>
      <sz val="7"/>
    </font>
    <font>
      <name val="Montserrat"/>
      <b val="1"/>
      <color rgb="00A3E635"/>
      <sz val="14"/>
    </font>
    <font>
      <name val="Montserrat"/>
      <b val="1"/>
      <color rgb="00A3E635"/>
      <sz val="7"/>
    </font>
    <font>
      <name val="Montserrat"/>
      <color rgb="00A3E635"/>
      <sz val="9"/>
    </font>
    <font>
      <name val="Montserrat"/>
      <b val="1"/>
      <color rgb="00F5C542"/>
      <sz val="14"/>
    </font>
    <font>
      <name val="Montserrat"/>
      <b val="1"/>
      <color rgb="00F59E42"/>
      <sz val="14"/>
    </font>
    <font>
      <name val="Montserrat"/>
      <b val="1"/>
      <color rgb="00F59E42"/>
      <sz val="7"/>
    </font>
    <font>
      <name val="Montserrat"/>
      <color rgb="00F59E42"/>
      <sz val="9"/>
    </font>
    <font>
      <name val="Montserrat"/>
      <b val="1"/>
      <color rgb="0019C3C3"/>
      <sz val="20"/>
    </font>
    <font>
      <name val="Montserrat"/>
      <color rgb="00F0508A"/>
      <sz val="9"/>
    </font>
    <font>
      <name val="Montserrat"/>
      <b val="1"/>
      <color rgb="008D97B0"/>
      <sz val="6"/>
    </font>
    <font>
      <name val="Montserrat"/>
      <b val="1"/>
      <color rgb="00F0508A"/>
      <sz val="7"/>
    </font>
    <font>
      <name val="Montserrat"/>
      <b val="1"/>
      <color rgb="00E879F9"/>
      <sz val="7"/>
    </font>
    <font>
      <name val="Montserrat"/>
      <b val="1"/>
      <color rgb="005B6584"/>
      <sz val="8"/>
    </font>
    <font>
      <name val="Montserrat"/>
      <b val="1"/>
      <color rgb="005B6584"/>
      <sz val="7"/>
    </font>
  </fonts>
  <fills count="46">
    <fill>
      <patternFill/>
    </fill>
    <fill>
      <patternFill patternType="gray125"/>
    </fill>
    <fill>
      <patternFill patternType="solid">
        <fgColor rgb="00141B2D"/>
        <bgColor rgb="00141B2D"/>
      </patternFill>
    </fill>
    <fill>
      <patternFill patternType="solid">
        <fgColor rgb="00232D45"/>
        <bgColor rgb="00232D45"/>
      </patternFill>
    </fill>
    <fill>
      <patternFill patternType="solid">
        <fgColor rgb="001C2438"/>
        <bgColor rgb="001C2438"/>
      </patternFill>
    </fill>
    <fill>
      <patternFill patternType="solid">
        <fgColor rgb="008B5CF6"/>
        <bgColor rgb="008B5CF6"/>
      </patternFill>
    </fill>
    <fill>
      <patternFill patternType="solid">
        <fgColor rgb="004F7CF7"/>
        <bgColor rgb="004F7CF7"/>
      </patternFill>
    </fill>
    <fill>
      <patternFill patternType="solid">
        <fgColor rgb="0019C3C3"/>
        <bgColor rgb="0019C3C3"/>
      </patternFill>
    </fill>
    <fill>
      <patternFill patternType="solid">
        <fgColor rgb="00F0508A"/>
        <bgColor rgb="00F0508A"/>
      </patternFill>
    </fill>
    <fill>
      <patternFill patternType="solid">
        <fgColor rgb="0022C55E"/>
        <bgColor rgb="0022C55E"/>
      </patternFill>
    </fill>
    <fill>
      <patternFill patternType="solid">
        <fgColor rgb="003B346D"/>
        <bgColor rgb="003B346D"/>
      </patternFill>
    </fill>
    <fill>
      <patternFill patternType="solid">
        <fgColor rgb="002A3D6D"/>
        <bgColor rgb="002A3D6D"/>
      </patternFill>
    </fill>
    <fill>
      <patternFill patternType="solid">
        <fgColor rgb="001B515F"/>
        <bgColor rgb="001B515F"/>
      </patternFill>
    </fill>
    <fill>
      <patternFill patternType="solid">
        <fgColor rgb="0057304F"/>
        <bgColor rgb="0057304F"/>
      </patternFill>
    </fill>
    <fill>
      <patternFill patternType="solid">
        <fgColor rgb="001E5143"/>
        <bgColor rgb="001E5143"/>
      </patternFill>
    </fill>
    <fill>
      <patternFill patternType="solid">
        <fgColor rgb="00343330"/>
        <bgColor rgb="00343330"/>
      </patternFill>
    </fill>
    <fill>
      <patternFill patternType="solid">
        <fgColor rgb="001C2949"/>
        <bgColor rgb="001C2949"/>
      </patternFill>
    </fill>
    <fill>
      <patternFill patternType="solid">
        <fgColor rgb="00252C3F"/>
        <bgColor rgb="00252C3F"/>
      </patternFill>
    </fill>
    <fill>
      <patternFill patternType="solid">
        <fgColor rgb="003E2B45"/>
        <bgColor rgb="003E2B45"/>
      </patternFill>
    </fill>
    <fill>
      <patternFill patternType="solid">
        <fgColor rgb="002E2D56"/>
        <bgColor rgb="002E2D56"/>
      </patternFill>
    </fill>
    <fill>
      <patternFill patternType="solid">
        <fgColor rgb="003F3E3A"/>
        <bgColor rgb="003F3E3A"/>
      </patternFill>
    </fill>
    <fill>
      <patternFill patternType="solid">
        <fgColor rgb="003D3257"/>
        <bgColor rgb="003D3257"/>
      </patternFill>
    </fill>
    <fill>
      <patternFill patternType="solid">
        <fgColor rgb="001C3D4E"/>
        <bgColor rgb="001C3D4E"/>
      </patternFill>
    </fill>
    <fill>
      <patternFill patternType="solid">
        <fgColor rgb="00323439"/>
        <bgColor rgb="00323439"/>
      </patternFill>
    </fill>
    <fill>
      <patternFill patternType="solid">
        <fgColor rgb="003D3571"/>
        <bgColor rgb="003D3571"/>
      </patternFill>
    </fill>
    <fill>
      <patternFill patternType="solid">
        <fgColor rgb="00302E5A"/>
        <bgColor rgb="00302E5A"/>
      </patternFill>
    </fill>
    <fill>
      <patternFill patternType="solid">
        <fgColor rgb="002B3E71"/>
        <bgColor rgb="002B3E71"/>
      </patternFill>
    </fill>
    <fill>
      <patternFill patternType="solid">
        <fgColor rgb="0025345A"/>
        <bgColor rgb="0025345A"/>
      </patternFill>
    </fill>
    <fill>
      <patternFill patternType="solid">
        <fgColor rgb="001B5462"/>
        <bgColor rgb="001B5462"/>
      </patternFill>
    </fill>
    <fill>
      <patternFill patternType="solid">
        <fgColor rgb="001B4151"/>
        <bgColor rgb="001B4151"/>
      </patternFill>
    </fill>
    <fill>
      <patternFill patternType="solid">
        <fgColor rgb="001E5443"/>
        <bgColor rgb="001E5443"/>
      </patternFill>
    </fill>
    <fill>
      <patternFill patternType="solid">
        <fgColor rgb="001D413F"/>
        <bgColor rgb="001D413F"/>
      </patternFill>
    </fill>
    <fill>
      <patternFill patternType="solid">
        <fgColor rgb="00A3E635"/>
        <bgColor rgb="00A3E635"/>
      </patternFill>
    </fill>
    <fill>
      <patternFill patternType="solid">
        <fgColor rgb="00445E37"/>
        <bgColor rgb="00445E37"/>
      </patternFill>
    </fill>
    <fill>
      <patternFill patternType="solid">
        <fgColor rgb="00344737"/>
        <bgColor rgb="00344737"/>
      </patternFill>
    </fill>
    <fill>
      <patternFill patternType="solid">
        <fgColor rgb="00F5C542"/>
        <bgColor rgb="00F5C542"/>
      </patternFill>
    </fill>
    <fill>
      <patternFill patternType="solid">
        <fgColor rgb="005D543B"/>
        <bgColor rgb="005D543B"/>
      </patternFill>
    </fill>
    <fill>
      <patternFill patternType="solid">
        <fgColor rgb="0043413A"/>
        <bgColor rgb="0043413A"/>
      </patternFill>
    </fill>
    <fill>
      <patternFill patternType="solid">
        <fgColor rgb="00F59E42"/>
        <bgColor rgb="00F59E42"/>
      </patternFill>
    </fill>
    <fill>
      <patternFill patternType="solid">
        <fgColor rgb="005D493B"/>
        <bgColor rgb="005D493B"/>
      </patternFill>
    </fill>
    <fill>
      <patternFill patternType="solid">
        <fgColor rgb="00433A3A"/>
        <bgColor rgb="00433A3A"/>
      </patternFill>
    </fill>
    <fill>
      <patternFill patternType="solid">
        <fgColor rgb="00243257"/>
        <bgColor rgb="00243257"/>
      </patternFill>
    </fill>
    <fill>
      <patternFill patternType="solid">
        <fgColor rgb="003F383A"/>
        <bgColor rgb="003F383A"/>
      </patternFill>
    </fill>
    <fill>
      <patternFill patternType="solid">
        <fgColor rgb="001D3E3E"/>
        <bgColor rgb="001D3E3E"/>
      </patternFill>
    </fill>
    <fill>
      <patternFill patternType="solid">
        <fgColor rgb="00324338"/>
        <bgColor rgb="00324338"/>
      </patternFill>
    </fill>
    <fill>
      <patternFill patternType="solid">
        <fgColor rgb="00262E44"/>
        <bgColor rgb="00262E44"/>
      </patternFill>
    </fill>
  </fills>
  <borders count="2">
    <border>
      <left/>
      <right/>
      <top/>
      <bottom/>
      <diagonal/>
    </border>
    <border>
      <left style="thin">
        <color rgb="00141B2D"/>
      </left>
      <right style="thin">
        <color rgb="00141B2D"/>
      </right>
      <top style="thin">
        <color rgb="00141B2D"/>
      </top>
      <bottom style="thin">
        <color rgb="00141B2D"/>
      </bottom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0" fillId="2" borderId="0" pivotButton="0" quotePrefix="0" xfId="0"/>
    <xf numFmtId="0" fontId="8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 vertical="center" indent="1"/>
    </xf>
    <xf numFmtId="0" fontId="59" fillId="22" borderId="0" applyAlignment="1" pivotButton="0" quotePrefix="0" xfId="0">
      <alignment horizontal="left" vertical="center" indent="1"/>
    </xf>
    <xf numFmtId="0" fontId="36" fillId="4" borderId="0" applyAlignment="1" pivotButton="0" quotePrefix="0" xfId="0">
      <alignment horizontal="left" vertical="top" wrapText="1" indent="1"/>
    </xf>
    <xf numFmtId="0" fontId="41" fillId="4" borderId="0" applyAlignment="1" pivotButton="0" quotePrefix="0" xfId="0">
      <alignment horizontal="left" vertical="top" wrapText="1" indent="1"/>
    </xf>
    <xf numFmtId="0" fontId="100" fillId="4" borderId="0" applyAlignment="1" pivotButton="0" quotePrefix="0" xfId="0">
      <alignment horizontal="left" vertical="top" wrapText="1" indent="1"/>
    </xf>
    <xf numFmtId="0" fontId="0" fillId="4" borderId="0" pivotButton="0" quotePrefix="0" xfId="0"/>
    <xf numFmtId="0" fontId="57" fillId="41" borderId="0" applyAlignment="1" pivotButton="0" quotePrefix="0" xfId="0">
      <alignment horizontal="left" vertical="center" indent="1"/>
    </xf>
    <xf numFmtId="0" fontId="55" fillId="19" borderId="0" applyAlignment="1" pivotButton="0" quotePrefix="0" xfId="0">
      <alignment horizontal="left" vertical="center" indent="1"/>
    </xf>
    <xf numFmtId="0" fontId="38" fillId="4" borderId="0" applyAlignment="1" pivotButton="0" quotePrefix="0" xfId="0">
      <alignment horizontal="left" vertical="top" wrapText="1" indent="1"/>
    </xf>
    <xf numFmtId="0" fontId="91" fillId="4" borderId="0" applyAlignment="1" pivotButton="0" quotePrefix="0" xfId="0">
      <alignment horizontal="left" vertical="top" wrapText="1" indent="1"/>
    </xf>
    <xf numFmtId="0" fontId="62" fillId="43" borderId="0" applyAlignment="1" pivotButton="0" quotePrefix="0" xfId="0">
      <alignment horizontal="left" vertical="center" indent="1"/>
    </xf>
    <xf numFmtId="0" fontId="68" fillId="42" borderId="0" applyAlignment="1" pivotButton="0" quotePrefix="0" xfId="0">
      <alignment horizontal="left" vertical="center" indent="1"/>
    </xf>
    <xf numFmtId="0" fontId="103" fillId="4" borderId="0" applyAlignment="1" pivotButton="0" quotePrefix="0" xfId="0">
      <alignment horizontal="left" vertical="top" wrapText="1" indent="1"/>
    </xf>
    <xf numFmtId="0" fontId="112" fillId="4" borderId="0" applyAlignment="1" pivotButton="0" quotePrefix="0" xfId="0">
      <alignment horizontal="left" vertical="top" wrapText="1" indent="1"/>
    </xf>
    <xf numFmtId="0" fontId="72" fillId="2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right" vertical="center"/>
    </xf>
    <xf numFmtId="174" fontId="73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right" vertical="center"/>
    </xf>
    <xf numFmtId="0" fontId="21" fillId="4" borderId="0" applyAlignment="1" pivotButton="0" quotePrefix="0" xfId="0">
      <alignment horizontal="center" vertical="bottom"/>
    </xf>
    <xf numFmtId="9" fontId="74" fillId="4" borderId="0" applyAlignment="1" pivotButton="0" quotePrefix="0" xfId="0">
      <alignment horizontal="center" vertical="center"/>
    </xf>
    <xf numFmtId="9" fontId="75" fillId="4" borderId="0" applyAlignment="1" pivotButton="0" quotePrefix="0" xfId="0">
      <alignment horizontal="center" vertical="center"/>
    </xf>
    <xf numFmtId="0" fontId="76" fillId="4" borderId="0" applyAlignment="1" pivotButton="0" quotePrefix="0" xfId="0">
      <alignment horizontal="center" vertical="center"/>
    </xf>
    <xf numFmtId="175" fontId="77" fillId="4" borderId="0" applyAlignment="1" pivotButton="0" quotePrefix="0" xfId="0">
      <alignment horizontal="center" vertical="center"/>
    </xf>
    <xf numFmtId="176" fontId="78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top"/>
    </xf>
    <xf numFmtId="0" fontId="34" fillId="4" borderId="0" applyAlignment="1" pivotButton="0" quotePrefix="0" xfId="0">
      <alignment horizontal="center" vertical="top"/>
    </xf>
    <xf numFmtId="0" fontId="7" fillId="3" borderId="0" applyAlignment="1" pivotButton="0" quotePrefix="0" xfId="0">
      <alignment horizontal="left" vertical="center" indent="1"/>
    </xf>
    <xf numFmtId="0" fontId="79" fillId="2" borderId="0" applyAlignment="1" pivotButton="0" quotePrefix="0" xfId="0">
      <alignment horizontal="left" vertical="center"/>
    </xf>
    <xf numFmtId="0" fontId="43" fillId="18" borderId="0" applyAlignment="1" pivotButton="0" quotePrefix="0" xfId="0">
      <alignment horizontal="left" vertical="center" indent="1"/>
    </xf>
    <xf numFmtId="0" fontId="10" fillId="19" borderId="0" applyAlignment="1" pivotButton="0" quotePrefix="0" xfId="0">
      <alignment horizontal="left" vertical="center" indent="1"/>
    </xf>
    <xf numFmtId="0" fontId="5" fillId="20" borderId="0" applyAlignment="1" pivotButton="0" quotePrefix="0" xfId="0">
      <alignment horizontal="left" vertical="center" indent="1"/>
    </xf>
    <xf numFmtId="0" fontId="80" fillId="21" borderId="0" applyAlignment="1" pivotButton="0" quotePrefix="0" xfId="0">
      <alignment horizontal="left" vertical="center" indent="1"/>
    </xf>
    <xf numFmtId="0" fontId="13" fillId="22" borderId="0" applyAlignment="1" pivotButton="0" quotePrefix="0" xfId="0">
      <alignment horizontal="left" vertical="center" indent="1"/>
    </xf>
    <xf numFmtId="0" fontId="31" fillId="4" borderId="0" applyAlignment="1" pivotButton="0" quotePrefix="0" xfId="0">
      <alignment horizontal="left" vertical="center" indent="1"/>
    </xf>
    <xf numFmtId="0" fontId="33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81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indent="1"/>
    </xf>
    <xf numFmtId="0" fontId="31" fillId="3" borderId="0" applyAlignment="1" pivotButton="0" quotePrefix="0" xfId="0">
      <alignment horizontal="left" vertical="top" wrapText="1" indent="1"/>
    </xf>
    <xf numFmtId="9" fontId="33" fillId="4" borderId="0" applyAlignment="1" pivotButton="0" quotePrefix="0" xfId="0">
      <alignment horizontal="right" vertical="center"/>
    </xf>
    <xf numFmtId="1" fontId="33" fillId="4" borderId="0" applyAlignment="1" pivotButton="0" quotePrefix="0" xfId="0">
      <alignment horizontal="right" vertical="center"/>
    </xf>
    <xf numFmtId="0" fontId="82" fillId="23" borderId="0" applyAlignment="1" pivotButton="0" quotePrefix="0" xfId="0">
      <alignment horizontal="left" vertical="center" wrapText="1" indent="1"/>
    </xf>
    <xf numFmtId="0" fontId="7" fillId="4" borderId="0" applyAlignment="1" pivotButton="0" quotePrefix="0" xfId="0">
      <alignment horizontal="left" vertical="center" indent="1"/>
    </xf>
    <xf numFmtId="0" fontId="31" fillId="3" borderId="0" applyAlignment="1" pivotButton="0" quotePrefix="0" xfId="0">
      <alignment horizontal="left" vertical="center" indent="1"/>
    </xf>
    <xf numFmtId="0" fontId="33" fillId="3" borderId="0" applyAlignment="1" pivotButton="0" quotePrefix="0" xfId="0">
      <alignment horizontal="right" vertical="center"/>
    </xf>
    <xf numFmtId="0" fontId="60" fillId="4" borderId="0" applyAlignment="1" pivotButton="0" quotePrefix="0" xfId="0">
      <alignment horizontal="left" vertical="center" indent="1"/>
    </xf>
    <xf numFmtId="0" fontId="61" fillId="4" borderId="0" applyAlignment="1" pivotButton="0" quotePrefix="0" xfId="0">
      <alignment horizontal="left" vertical="center"/>
    </xf>
    <xf numFmtId="9" fontId="7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indent="1"/>
    </xf>
    <xf numFmtId="0" fontId="54" fillId="4" borderId="0" applyAlignment="1" pivotButton="0" quotePrefix="0" xfId="0">
      <alignment horizontal="left" vertical="center"/>
    </xf>
    <xf numFmtId="0" fontId="59" fillId="4" borderId="0" applyAlignment="1" pivotButton="0" quotePrefix="0" xfId="0">
      <alignment horizontal="left" vertical="center" indent="1"/>
    </xf>
    <xf numFmtId="0" fontId="44" fillId="4" borderId="0" applyAlignment="1" pivotButton="0" quotePrefix="0" xfId="0">
      <alignment horizontal="left" vertical="center"/>
    </xf>
    <xf numFmtId="0" fontId="68" fillId="4" borderId="0" applyAlignment="1" pivotButton="0" quotePrefix="0" xfId="0">
      <alignment horizontal="left" vertical="center" indent="1"/>
    </xf>
    <xf numFmtId="0" fontId="66" fillId="4" borderId="0" applyAlignment="1" pivotButton="0" quotePrefix="0" xfId="0">
      <alignment horizontal="left" vertical="center"/>
    </xf>
    <xf numFmtId="0" fontId="57" fillId="4" borderId="0" applyAlignment="1" pivotButton="0" quotePrefix="0" xfId="0">
      <alignment horizontal="left" vertical="center" indent="1"/>
    </xf>
    <xf numFmtId="0" fontId="58" fillId="4" borderId="0" applyAlignment="1" pivotButton="0" quotePrefix="0" xfId="0">
      <alignment horizontal="left" vertical="center"/>
    </xf>
    <xf numFmtId="0" fontId="69" fillId="4" borderId="0" applyAlignment="1" pivotButton="0" quotePrefix="0" xfId="0">
      <alignment horizontal="left" vertical="center" indent="1"/>
    </xf>
    <xf numFmtId="0" fontId="83" fillId="4" borderId="0" applyAlignment="1" pivotButton="0" quotePrefix="0" xfId="0">
      <alignment horizontal="left" vertical="center"/>
    </xf>
    <xf numFmtId="0" fontId="55" fillId="4" borderId="0" applyAlignment="1" pivotButton="0" quotePrefix="0" xfId="0">
      <alignment horizontal="left" vertical="center" indent="1"/>
    </xf>
    <xf numFmtId="0" fontId="56" fillId="4" borderId="0" applyAlignment="1" pivotButton="0" quotePrefix="0" xfId="0">
      <alignment horizontal="left" vertical="center"/>
    </xf>
    <xf numFmtId="0" fontId="70" fillId="4" borderId="0" applyAlignment="1" pivotButton="0" quotePrefix="0" xfId="0">
      <alignment horizontal="left" vertical="center" indent="1"/>
    </xf>
    <xf numFmtId="0" fontId="84" fillId="4" borderId="0" applyAlignment="1" pivotButton="0" quotePrefix="0" xfId="0">
      <alignment horizontal="left" vertical="center"/>
    </xf>
    <xf numFmtId="177" fontId="73" fillId="3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 indent="1"/>
    </xf>
    <xf numFmtId="0" fontId="33" fillId="4" borderId="0" applyAlignment="1" pivotButton="0" quotePrefix="0" xfId="0">
      <alignment horizontal="center" vertical="center"/>
    </xf>
    <xf numFmtId="0" fontId="87" fillId="4" borderId="0" applyAlignment="1" pivotButton="0" quotePrefix="0" xfId="0">
      <alignment horizontal="center" vertical="center"/>
    </xf>
    <xf numFmtId="0" fontId="88" fillId="5" borderId="0" applyAlignment="1" pivotButton="0" quotePrefix="0" xfId="0">
      <alignment horizontal="center" vertical="center"/>
    </xf>
    <xf numFmtId="0" fontId="88" fillId="6" borderId="0" applyAlignment="1" pivotButton="0" quotePrefix="0" xfId="0">
      <alignment horizontal="center" vertical="center"/>
    </xf>
    <xf numFmtId="0" fontId="88" fillId="7" borderId="0" applyAlignment="1" pivotButton="0" quotePrefix="0" xfId="0">
      <alignment horizontal="center" vertical="center"/>
    </xf>
    <xf numFmtId="0" fontId="88" fillId="9" borderId="0" applyAlignment="1" pivotButton="0" quotePrefix="0" xfId="0">
      <alignment horizontal="center" vertical="center"/>
    </xf>
    <xf numFmtId="0" fontId="88" fillId="32" borderId="0" applyAlignment="1" pivotButton="0" quotePrefix="0" xfId="0">
      <alignment horizontal="center" vertical="center"/>
    </xf>
    <xf numFmtId="0" fontId="88" fillId="35" borderId="0" applyAlignment="1" pivotButton="0" quotePrefix="0" xfId="0">
      <alignment horizontal="center" vertical="center"/>
    </xf>
    <xf numFmtId="0" fontId="88" fillId="38" borderId="0" applyAlignment="1" pivotButton="0" quotePrefix="0" xfId="0">
      <alignment horizontal="center" vertical="center"/>
    </xf>
    <xf numFmtId="166" fontId="41" fillId="24" borderId="0" applyAlignment="1" pivotButton="0" quotePrefix="0" xfId="0">
      <alignment horizontal="center" vertical="center"/>
    </xf>
    <xf numFmtId="166" fontId="41" fillId="26" borderId="0" applyAlignment="1" pivotButton="0" quotePrefix="0" xfId="0">
      <alignment horizontal="center" vertical="center"/>
    </xf>
    <xf numFmtId="166" fontId="41" fillId="28" borderId="0" applyAlignment="1" pivotButton="0" quotePrefix="0" xfId="0">
      <alignment horizontal="center" vertical="center"/>
    </xf>
    <xf numFmtId="166" fontId="41" fillId="30" borderId="0" applyAlignment="1" pivotButton="0" quotePrefix="0" xfId="0">
      <alignment horizontal="center" vertical="center"/>
    </xf>
    <xf numFmtId="166" fontId="41" fillId="33" borderId="0" applyAlignment="1" pivotButton="0" quotePrefix="0" xfId="0">
      <alignment horizontal="center" vertical="center"/>
    </xf>
    <xf numFmtId="166" fontId="41" fillId="36" borderId="0" applyAlignment="1" pivotButton="0" quotePrefix="0" xfId="0">
      <alignment horizontal="center" vertical="center"/>
    </xf>
    <xf numFmtId="166" fontId="41" fillId="39" borderId="0" applyAlignment="1" pivotButton="0" quotePrefix="0" xfId="0">
      <alignment horizontal="center" vertical="center"/>
    </xf>
    <xf numFmtId="0" fontId="89" fillId="4" borderId="0" applyAlignment="1" pivotButton="0" quotePrefix="0" xfId="0">
      <alignment horizontal="center" vertical="center" wrapText="1"/>
    </xf>
    <xf numFmtId="0" fontId="93" fillId="4" borderId="0" applyAlignment="1" pivotButton="0" quotePrefix="0" xfId="0">
      <alignment horizontal="center" vertical="center" wrapText="1"/>
    </xf>
    <xf numFmtId="0" fontId="64" fillId="4" borderId="0" applyAlignment="1" pivotButton="0" quotePrefix="0" xfId="0">
      <alignment horizontal="center" vertical="center" wrapText="1"/>
    </xf>
    <xf numFmtId="0" fontId="96" fillId="4" borderId="0" applyAlignment="1" pivotButton="0" quotePrefix="0" xfId="0">
      <alignment horizontal="center" vertical="center" wrapText="1"/>
    </xf>
    <xf numFmtId="0" fontId="106" fillId="4" borderId="0" applyAlignment="1" pivotButton="0" quotePrefix="0" xfId="0">
      <alignment horizontal="center" vertical="center" wrapText="1"/>
    </xf>
    <xf numFmtId="0" fontId="82" fillId="4" borderId="0" applyAlignment="1" pivotButton="0" quotePrefix="0" xfId="0">
      <alignment horizontal="center" vertical="center" wrapText="1"/>
    </xf>
    <xf numFmtId="0" fontId="95" fillId="4" borderId="0" applyAlignment="1" pivotButton="0" quotePrefix="0" xfId="0">
      <alignment horizontal="center" vertical="center" wrapText="1"/>
    </xf>
    <xf numFmtId="0" fontId="90" fillId="4" borderId="0" applyAlignment="1" pivotButton="0" quotePrefix="0" xfId="0">
      <alignment horizontal="center" vertical="center"/>
    </xf>
    <xf numFmtId="0" fontId="97" fillId="4" borderId="0" applyAlignment="1" pivotButton="0" quotePrefix="0" xfId="0">
      <alignment horizontal="center" vertical="center"/>
    </xf>
    <xf numFmtId="0" fontId="99" fillId="4" borderId="0" applyAlignment="1" pivotButton="0" quotePrefix="0" xfId="0">
      <alignment horizontal="center" vertical="center"/>
    </xf>
    <xf numFmtId="0" fontId="102" fillId="4" borderId="0" applyAlignment="1" pivotButton="0" quotePrefix="0" xfId="0">
      <alignment horizontal="center" vertical="center"/>
    </xf>
    <xf numFmtId="0" fontId="107" fillId="4" borderId="0" applyAlignment="1" pivotButton="0" quotePrefix="0" xfId="0">
      <alignment horizontal="center" vertical="center"/>
    </xf>
    <xf numFmtId="0" fontId="110" fillId="4" borderId="0" applyAlignment="1" pivotButton="0" quotePrefix="0" xfId="0">
      <alignment horizontal="center" vertical="center"/>
    </xf>
    <xf numFmtId="0" fontId="111" fillId="4" borderId="0" applyAlignment="1" pivotButton="0" quotePrefix="0" xfId="0">
      <alignment horizontal="center" vertical="center"/>
    </xf>
    <xf numFmtId="0" fontId="91" fillId="25" borderId="0" applyAlignment="1" pivotButton="0" quotePrefix="0" xfId="0">
      <alignment horizontal="left" vertical="center" indent="1"/>
    </xf>
    <xf numFmtId="0" fontId="38" fillId="27" borderId="0" applyAlignment="1" pivotButton="0" quotePrefix="0" xfId="0">
      <alignment horizontal="left" vertical="center" indent="1"/>
    </xf>
    <xf numFmtId="0" fontId="100" fillId="29" borderId="0" applyAlignment="1" pivotButton="0" quotePrefix="0" xfId="0">
      <alignment horizontal="left" vertical="center" indent="1"/>
    </xf>
    <xf numFmtId="0" fontId="103" fillId="31" borderId="0" applyAlignment="1" pivotButton="0" quotePrefix="0" xfId="0">
      <alignment horizontal="left" vertical="center" indent="1"/>
    </xf>
    <xf numFmtId="0" fontId="108" fillId="34" borderId="0" applyAlignment="1" pivotButton="0" quotePrefix="0" xfId="0">
      <alignment horizontal="left" vertical="center" indent="1"/>
    </xf>
    <xf numFmtId="0" fontId="36" fillId="37" borderId="0" applyAlignment="1" pivotButton="0" quotePrefix="0" xfId="0">
      <alignment horizontal="left" vertical="center" indent="1"/>
    </xf>
    <xf numFmtId="0" fontId="112" fillId="40" borderId="0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vertical="center" indent="1"/>
    </xf>
    <xf numFmtId="0" fontId="92" fillId="3" borderId="1" applyAlignment="1" pivotButton="0" quotePrefix="0" xfId="0">
      <alignment horizontal="center" vertical="center"/>
    </xf>
    <xf numFmtId="0" fontId="98" fillId="3" borderId="1" applyAlignment="1" pivotButton="0" quotePrefix="0" xfId="0">
      <alignment horizontal="center" vertical="center"/>
    </xf>
    <xf numFmtId="0" fontId="101" fillId="3" borderId="1" applyAlignment="1" pivotButton="0" quotePrefix="0" xfId="0">
      <alignment horizontal="center" vertical="center"/>
    </xf>
    <xf numFmtId="0" fontId="104" fillId="3" borderId="1" applyAlignment="1" pivotButton="0" quotePrefix="0" xfId="0">
      <alignment horizontal="center" vertical="center"/>
    </xf>
    <xf numFmtId="0" fontId="109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3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indent="1"/>
    </xf>
    <xf numFmtId="0" fontId="92" fillId="4" borderId="1" applyAlignment="1" pivotButton="0" quotePrefix="0" xfId="0">
      <alignment horizontal="center" vertical="center"/>
    </xf>
    <xf numFmtId="0" fontId="98" fillId="4" borderId="1" applyAlignment="1" pivotButton="0" quotePrefix="0" xfId="0">
      <alignment horizontal="center" vertical="center"/>
    </xf>
    <xf numFmtId="0" fontId="101" fillId="4" borderId="1" applyAlignment="1" pivotButton="0" quotePrefix="0" xfId="0">
      <alignment horizontal="center" vertical="center"/>
    </xf>
    <xf numFmtId="0" fontId="104" fillId="4" borderId="1" applyAlignment="1" pivotButton="0" quotePrefix="0" xfId="0">
      <alignment horizontal="center" vertical="center"/>
    </xf>
    <xf numFmtId="0" fontId="109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3" fillId="4" borderId="1" applyAlignment="1" pivotButton="0" quotePrefix="0" xfId="0">
      <alignment horizontal="center" vertical="center"/>
    </xf>
    <xf numFmtId="0" fontId="62" fillId="4" borderId="0" applyAlignment="1" pivotButton="0" quotePrefix="0" xfId="0">
      <alignment horizontal="center" vertical="center"/>
    </xf>
    <xf numFmtId="0" fontId="60" fillId="4" borderId="0" applyAlignment="1" pivotButton="0" quotePrefix="0" xfId="0">
      <alignment horizontal="center" vertical="center"/>
    </xf>
    <xf numFmtId="0" fontId="50" fillId="25" borderId="0" applyAlignment="1" pivotButton="0" quotePrefix="0" xfId="0">
      <alignment horizontal="left" vertical="center" indent="1"/>
    </xf>
    <xf numFmtId="0" fontId="46" fillId="27" borderId="0" applyAlignment="1" pivotButton="0" quotePrefix="0" xfId="0">
      <alignment horizontal="left" vertical="center" indent="1"/>
    </xf>
    <xf numFmtId="0" fontId="42" fillId="29" borderId="0" applyAlignment="1" pivotButton="0" quotePrefix="0" xfId="0">
      <alignment horizontal="left" vertical="center" indent="1"/>
    </xf>
    <xf numFmtId="0" fontId="105" fillId="31" borderId="0" applyAlignment="1" pivotButton="0" quotePrefix="0" xfId="0">
      <alignment horizontal="left" vertical="center" indent="1"/>
    </xf>
    <xf numFmtId="0" fontId="51" fillId="34" borderId="0" applyAlignment="1" pivotButton="0" quotePrefix="0" xfId="0">
      <alignment horizontal="left" vertical="center" indent="1"/>
    </xf>
    <xf numFmtId="0" fontId="45" fillId="37" borderId="0" applyAlignment="1" pivotButton="0" quotePrefix="0" xfId="0">
      <alignment horizontal="left" vertical="center" indent="1"/>
    </xf>
    <xf numFmtId="0" fontId="48" fillId="40" borderId="0" applyAlignment="1" pivotButton="0" quotePrefix="0" xfId="0">
      <alignment horizontal="left" vertical="center" indent="1"/>
    </xf>
    <xf numFmtId="0" fontId="93" fillId="4" borderId="0" applyAlignment="1" pivotButton="0" quotePrefix="0" xfId="0">
      <alignment horizontal="left" vertical="center" indent="1"/>
    </xf>
    <xf numFmtId="164" fontId="18" fillId="4" borderId="0" applyAlignment="1" pivotButton="0" quotePrefix="0" xfId="0">
      <alignment horizontal="center" vertical="center"/>
    </xf>
    <xf numFmtId="0" fontId="82" fillId="4" borderId="0" applyAlignment="1" pivotButton="0" quotePrefix="0" xfId="0">
      <alignment horizontal="left" vertical="center" indent="1"/>
    </xf>
    <xf numFmtId="1" fontId="18" fillId="4" borderId="0" applyAlignment="1" pivotButton="0" quotePrefix="0" xfId="0">
      <alignment horizontal="center" vertical="center"/>
    </xf>
    <xf numFmtId="0" fontId="94" fillId="4" borderId="0" applyAlignment="1" pivotButton="0" quotePrefix="0" xfId="0">
      <alignment horizontal="left" vertical="center" indent="1"/>
    </xf>
    <xf numFmtId="0" fontId="64" fillId="4" borderId="0" applyAlignment="1" pivotButton="0" quotePrefix="0" xfId="0">
      <alignment horizontal="left" vertical="center" indent="1"/>
    </xf>
    <xf numFmtId="0" fontId="95" fillId="4" borderId="0" applyAlignment="1" pivotButton="0" quotePrefix="0" xfId="0">
      <alignment horizontal="left" vertical="center" indent="1"/>
    </xf>
    <xf numFmtId="0" fontId="96" fillId="4" borderId="0" applyAlignment="1" pivotButton="0" quotePrefix="0" xfId="0">
      <alignment horizontal="left" vertical="center" indent="1"/>
    </xf>
    <xf numFmtId="178" fontId="18" fillId="4" borderId="0" applyAlignment="1" pivotButton="0" quotePrefix="0" xfId="0">
      <alignment horizontal="center" vertical="center"/>
    </xf>
    <xf numFmtId="0" fontId="86" fillId="2" borderId="0" applyAlignment="1" pivotButton="0" quotePrefix="0" xfId="0">
      <alignment horizontal="left" vertical="center"/>
    </xf>
    <xf numFmtId="0" fontId="20" fillId="2" borderId="0" pivotButton="0" quotePrefix="0" xfId="0"/>
    <xf numFmtId="173" fontId="20" fillId="2" borderId="0" pivotButton="0" quotePrefix="0" xfId="0"/>
    <xf numFmtId="9" fontId="2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top"/>
    </xf>
    <xf numFmtId="0" fontId="22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8" fillId="12" borderId="1" applyAlignment="1" pivotButton="0" quotePrefix="0" xfId="0">
      <alignment horizontal="center" vertical="center"/>
    </xf>
    <xf numFmtId="0" fontId="29" fillId="13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left" vertical="center"/>
    </xf>
    <xf numFmtId="169" fontId="18" fillId="10" borderId="1" applyAlignment="1" pivotButton="0" quotePrefix="0" xfId="0">
      <alignment horizontal="center" vertical="center"/>
    </xf>
    <xf numFmtId="169" fontId="18" fillId="11" borderId="1" applyAlignment="1" pivotButton="0" quotePrefix="0" xfId="0">
      <alignment horizontal="center" vertical="center"/>
    </xf>
    <xf numFmtId="169" fontId="18" fillId="12" borderId="1" applyAlignment="1" pivotButton="0" quotePrefix="0" xfId="0">
      <alignment horizontal="center" vertical="center"/>
    </xf>
    <xf numFmtId="169" fontId="18" fillId="13" borderId="1" applyAlignment="1" pivotButton="0" quotePrefix="0" xfId="0">
      <alignment horizontal="center" vertical="center"/>
    </xf>
    <xf numFmtId="169" fontId="18" fillId="14" borderId="1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left" vertical="center" indent="1"/>
    </xf>
    <xf numFmtId="0" fontId="34" fillId="3" borderId="0" applyAlignment="1" pivotButton="0" quotePrefix="0" xfId="0">
      <alignment horizontal="left" vertical="center"/>
    </xf>
    <xf numFmtId="0" fontId="35" fillId="3" borderId="1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36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37" fillId="15" borderId="0" applyAlignment="1" pivotButton="0" quotePrefix="0" xfId="0">
      <alignment horizontal="center" vertical="center"/>
    </xf>
    <xf numFmtId="0" fontId="41" fillId="4" borderId="0" applyAlignment="1" pivotButton="0" quotePrefix="0" xfId="0">
      <alignment horizontal="left" vertical="center" indent="1"/>
    </xf>
    <xf numFmtId="0" fontId="42" fillId="4" borderId="0" applyAlignment="1" pivotButton="0" quotePrefix="0" xfId="0">
      <alignment horizontal="left" vertical="center"/>
    </xf>
    <xf numFmtId="0" fontId="34" fillId="4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43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9" fontId="33" fillId="4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left" vertical="center"/>
    </xf>
    <xf numFmtId="0" fontId="46" fillId="4" borderId="0" applyAlignment="1" pivotButton="0" quotePrefix="0" xfId="0">
      <alignment horizontal="left" vertical="center"/>
    </xf>
    <xf numFmtId="0" fontId="47" fillId="4" borderId="0" applyAlignment="1" pivotButton="0" quotePrefix="0" xfId="0">
      <alignment horizontal="left" vertical="center"/>
    </xf>
    <xf numFmtId="0" fontId="48" fillId="4" borderId="0" applyAlignment="1" pivotButton="0" quotePrefix="0" xfId="0">
      <alignment horizontal="left" vertical="center"/>
    </xf>
    <xf numFmtId="0" fontId="49" fillId="4" borderId="0" applyAlignment="1" pivotButton="0" quotePrefix="0" xfId="0">
      <alignment horizontal="left" vertical="center"/>
    </xf>
    <xf numFmtId="0" fontId="50" fillId="4" borderId="0" applyAlignment="1" pivotButton="0" quotePrefix="0" xfId="0">
      <alignment horizontal="left" vertical="center"/>
    </xf>
    <xf numFmtId="0" fontId="38" fillId="16" borderId="0" applyAlignment="1" pivotButton="0" quotePrefix="0" xfId="0">
      <alignment horizontal="left" vertical="center" indent="1"/>
    </xf>
    <xf numFmtId="0" fontId="0" fillId="16" borderId="0" pivotButton="0" quotePrefix="0" xfId="0"/>
    <xf numFmtId="0" fontId="39" fillId="16" borderId="0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21" fillId="17" borderId="0" applyAlignment="1" pivotButton="0" quotePrefix="0" xfId="0">
      <alignment horizontal="left" vertical="center" indent="1"/>
    </xf>
    <xf numFmtId="0" fontId="0" fillId="17" borderId="0" pivotButton="0" quotePrefix="0" xfId="0"/>
    <xf numFmtId="0" fontId="40" fillId="17" borderId="0" applyAlignment="1" pivotButton="0" quotePrefix="0" xfId="0">
      <alignment horizontal="center" vertical="center"/>
    </xf>
    <xf numFmtId="0" fontId="52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9" fontId="53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/>
    </xf>
    <xf numFmtId="0" fontId="31" fillId="4" borderId="0" applyAlignment="1" pivotButton="0" quotePrefix="0" xfId="0">
      <alignment horizontal="left" vertical="top" wrapText="1" indent="1"/>
    </xf>
    <xf numFmtId="0" fontId="55" fillId="4" borderId="0" applyAlignment="1" pivotButton="0" quotePrefix="0" xfId="0">
      <alignment horizontal="center" vertical="center"/>
    </xf>
    <xf numFmtId="0" fontId="57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center" vertical="center"/>
    </xf>
    <xf numFmtId="0" fontId="63" fillId="4" borderId="0" applyAlignment="1" pivotButton="0" quotePrefix="0" xfId="0">
      <alignment horizontal="left" vertical="center"/>
    </xf>
    <xf numFmtId="164" fontId="19" fillId="3" borderId="1" applyAlignment="1" pivotButton="0" quotePrefix="0" xfId="0">
      <alignment horizontal="center" vertical="center"/>
    </xf>
    <xf numFmtId="164" fontId="33" fillId="4" borderId="0" applyAlignment="1" pivotButton="0" quotePrefix="0" xfId="0">
      <alignment horizontal="center" vertical="center"/>
    </xf>
    <xf numFmtId="0" fontId="64" fillId="4" borderId="0" applyAlignment="1" pivotButton="0" quotePrefix="0" xfId="0">
      <alignment horizontal="center" vertical="center"/>
    </xf>
    <xf numFmtId="1" fontId="65" fillId="3" borderId="1" applyAlignment="1" pivotButton="0" quotePrefix="0" xfId="0">
      <alignment horizontal="center" vertical="center"/>
    </xf>
    <xf numFmtId="3" fontId="33" fillId="4" borderId="0" applyAlignment="1" pivotButton="0" quotePrefix="0" xfId="0">
      <alignment horizontal="center" vertical="center"/>
    </xf>
    <xf numFmtId="3" fontId="31" fillId="4" borderId="0" applyAlignment="1" pivotButton="0" quotePrefix="0" xfId="0">
      <alignment horizontal="center" vertical="center"/>
    </xf>
    <xf numFmtId="1" fontId="19" fillId="3" borderId="1" applyAlignment="1" pivotButton="0" quotePrefix="0" xfId="0">
      <alignment horizontal="center" vertical="center"/>
    </xf>
    <xf numFmtId="1" fontId="33" fillId="4" borderId="0" applyAlignment="1" pivotButton="0" quotePrefix="0" xfId="0">
      <alignment horizontal="center" vertical="center"/>
    </xf>
    <xf numFmtId="1" fontId="31" fillId="4" borderId="0" applyAlignment="1" pivotButton="0" quotePrefix="0" xfId="0">
      <alignment horizontal="center" vertical="center"/>
    </xf>
    <xf numFmtId="164" fontId="31" fillId="4" borderId="0" applyAlignment="1" pivotButton="0" quotePrefix="0" xfId="0">
      <alignment horizontal="center" vertical="center"/>
    </xf>
    <xf numFmtId="0" fontId="34" fillId="4" borderId="0" applyAlignment="1" pivotButton="0" quotePrefix="0" xfId="0">
      <alignment horizontal="center" vertical="center"/>
    </xf>
    <xf numFmtId="0" fontId="67" fillId="4" borderId="0" applyAlignment="1" pivotButton="0" quotePrefix="0" xfId="0">
      <alignment horizontal="left" vertical="center" indent="2"/>
    </xf>
    <xf numFmtId="0" fontId="32" fillId="4" borderId="0" applyAlignment="1" pivotButton="0" quotePrefix="0" xfId="0">
      <alignment horizontal="left" vertical="center"/>
    </xf>
    <xf numFmtId="164" fontId="40" fillId="4" borderId="1" applyAlignment="1" pivotButton="0" quotePrefix="0" xfId="0">
      <alignment horizontal="center" vertical="center"/>
    </xf>
    <xf numFmtId="170" fontId="40" fillId="4" borderId="1" applyAlignment="1" pivotButton="0" quotePrefix="0" xfId="0">
      <alignment horizontal="center" vertical="center"/>
    </xf>
    <xf numFmtId="0" fontId="60" fillId="18" borderId="0" applyAlignment="1" pivotButton="0" quotePrefix="0" xfId="0">
      <alignment horizontal="left" vertical="center" indent="1"/>
    </xf>
    <xf numFmtId="0" fontId="114" fillId="4" borderId="0" applyAlignment="1" pivotButton="0" quotePrefix="0" xfId="0">
      <alignment horizontal="center" vertical="center"/>
    </xf>
    <xf numFmtId="0" fontId="44" fillId="4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179" fontId="41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54" fillId="3" borderId="0" applyAlignment="1" pivotButton="0" quotePrefix="0" xfId="0">
      <alignment horizontal="center" vertical="center"/>
    </xf>
    <xf numFmtId="0" fontId="115" fillId="3" borderId="0" applyAlignment="1" pivotButton="0" quotePrefix="0" xfId="0">
      <alignment horizontal="center" vertical="center"/>
    </xf>
    <xf numFmtId="179" fontId="41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4" fontId="54" fillId="4" borderId="0" applyAlignment="1" pivotButton="0" quotePrefix="0" xfId="0">
      <alignment horizontal="center" vertical="center"/>
    </xf>
    <xf numFmtId="0" fontId="115" fillId="4" borderId="0" applyAlignment="1" pivotButton="0" quotePrefix="0" xfId="0">
      <alignment horizontal="center" vertical="center"/>
    </xf>
    <xf numFmtId="0" fontId="67" fillId="2" borderId="0" applyAlignment="1" pivotButton="0" quotePrefix="0" xfId="0">
      <alignment horizontal="left" vertical="center" wrapText="1"/>
    </xf>
    <xf numFmtId="0" fontId="20" fillId="0" borderId="0" pivotButton="0" quotePrefix="0" xfId="0"/>
    <xf numFmtId="0" fontId="82" fillId="23" borderId="0" applyAlignment="1" pivotButton="0" quotePrefix="0" xfId="0">
      <alignment horizontal="left" vertical="center" indent="1"/>
    </xf>
    <xf numFmtId="0" fontId="0" fillId="23" borderId="0" pivotButton="0" quotePrefix="0" xfId="0"/>
    <xf numFmtId="0" fontId="100" fillId="22" borderId="0" applyAlignment="1" pivotButton="0" quotePrefix="0" xfId="0">
      <alignment horizontal="center" vertical="center"/>
    </xf>
    <xf numFmtId="0" fontId="36" fillId="20" borderId="0" applyAlignment="1" pivotButton="0" quotePrefix="0" xfId="0">
      <alignment horizontal="center" vertical="center"/>
    </xf>
    <xf numFmtId="0" fontId="116" fillId="3" borderId="0" applyAlignment="1" pivotButton="0" quotePrefix="0" xfId="0">
      <alignment horizontal="center" vertical="center" wrapText="1"/>
    </xf>
    <xf numFmtId="1" fontId="19" fillId="3" borderId="0" applyAlignment="1" pivotButton="0" quotePrefix="0" xfId="0">
      <alignment horizontal="center" vertical="center"/>
    </xf>
    <xf numFmtId="173" fontId="19" fillId="3" borderId="0" applyAlignment="1" pivotButton="0" quotePrefix="0" xfId="0">
      <alignment horizontal="center" vertical="center"/>
    </xf>
    <xf numFmtId="9" fontId="18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164" fontId="19" fillId="3" borderId="0" applyAlignment="1" pivotButton="0" quotePrefix="0" xfId="0">
      <alignment horizontal="center" vertical="center"/>
    </xf>
    <xf numFmtId="172" fontId="19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9" fontId="19" fillId="3" borderId="0" applyAlignment="1" pivotButton="0" quotePrefix="0" xfId="0">
      <alignment horizontal="center" vertical="center"/>
    </xf>
    <xf numFmtId="3" fontId="19" fillId="3" borderId="0" applyAlignment="1" pivotButton="0" quotePrefix="0" xfId="0">
      <alignment horizontal="center" vertical="center"/>
    </xf>
    <xf numFmtId="0" fontId="96" fillId="3" borderId="0" applyAlignment="1" pivotButton="0" quotePrefix="0" xfId="0">
      <alignment horizontal="center" vertical="center" wrapText="1"/>
    </xf>
    <xf numFmtId="0" fontId="82" fillId="3" borderId="0" applyAlignment="1" pivotButton="0" quotePrefix="0" xfId="0">
      <alignment horizontal="left" vertical="center" wrapText="1" indent="1"/>
    </xf>
    <xf numFmtId="1" fontId="19" fillId="4" borderId="0" applyAlignment="1" pivotButton="0" quotePrefix="0" xfId="0">
      <alignment horizontal="center" vertical="center"/>
    </xf>
    <xf numFmtId="173" fontId="19" fillId="4" borderId="0" applyAlignment="1" pivotButton="0" quotePrefix="0" xfId="0">
      <alignment horizontal="center" vertical="center"/>
    </xf>
    <xf numFmtId="9" fontId="18" fillId="4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164" fontId="19" fillId="4" borderId="0" applyAlignment="1" pivotButton="0" quotePrefix="0" xfId="0">
      <alignment horizontal="center" vertical="center"/>
    </xf>
    <xf numFmtId="172" fontId="19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9" fontId="19" fillId="4" borderId="0" applyAlignment="1" pivotButton="0" quotePrefix="0" xfId="0">
      <alignment horizontal="center" vertical="center"/>
    </xf>
    <xf numFmtId="3" fontId="19" fillId="4" borderId="0" applyAlignment="1" pivotButton="0" quotePrefix="0" xfId="0">
      <alignment horizontal="center" vertical="center"/>
    </xf>
    <xf numFmtId="0" fontId="82" fillId="4" borderId="0" applyAlignment="1" pivotButton="0" quotePrefix="0" xfId="0">
      <alignment horizontal="left" vertical="center" wrapText="1" indent="1"/>
    </xf>
    <xf numFmtId="180" fontId="18" fillId="3" borderId="0" applyAlignment="1" pivotButton="0" quotePrefix="0" xfId="0">
      <alignment horizontal="center" vertical="center"/>
    </xf>
    <xf numFmtId="9" fontId="82" fillId="3" borderId="0" applyAlignment="1" pivotButton="0" quotePrefix="0" xfId="0">
      <alignment horizontal="center" vertical="center" wrapText="1"/>
    </xf>
    <xf numFmtId="3" fontId="82" fillId="3" borderId="0" applyAlignment="1" pivotButton="0" quotePrefix="0" xfId="0">
      <alignment horizontal="center" vertical="center" wrapText="1"/>
    </xf>
    <xf numFmtId="180" fontId="18" fillId="4" borderId="0" applyAlignment="1" pivotButton="0" quotePrefix="0" xfId="0">
      <alignment horizontal="center" vertical="center"/>
    </xf>
    <xf numFmtId="9" fontId="82" fillId="4" borderId="0" applyAlignment="1" pivotButton="0" quotePrefix="0" xfId="0">
      <alignment horizontal="center" vertical="center" wrapText="1"/>
    </xf>
    <xf numFmtId="3" fontId="82" fillId="4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left" vertical="center" indent="1"/>
    </xf>
    <xf numFmtId="0" fontId="21" fillId="3" borderId="0" applyAlignment="1" pivotButton="0" quotePrefix="0" xfId="0">
      <alignment horizontal="left" vertical="center"/>
    </xf>
    <xf numFmtId="0" fontId="41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59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1" fillId="3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left" vertical="center" wrapText="1" indent="1"/>
    </xf>
    <xf numFmtId="0" fontId="54" fillId="3" borderId="0" applyAlignment="1" pivotButton="0" quotePrefix="0" xfId="0">
      <alignment horizontal="center" vertical="center"/>
    </xf>
    <xf numFmtId="9" fontId="33" fillId="3" borderId="0" applyAlignment="1" pivotButton="0" quotePrefix="0" xfId="0">
      <alignment horizontal="center" vertical="center"/>
    </xf>
    <xf numFmtId="0" fontId="44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1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left" vertical="center" wrapText="1" indent="1"/>
    </xf>
    <xf numFmtId="0" fontId="54" fillId="4" borderId="0" applyAlignment="1" pivotButton="0" quotePrefix="0" xfId="0">
      <alignment horizontal="center" vertical="center"/>
    </xf>
    <xf numFmtId="0" fontId="57" fillId="3" borderId="0" applyAlignment="1" pivotButton="0" quotePrefix="0" xfId="0">
      <alignment horizontal="center" vertical="center"/>
    </xf>
    <xf numFmtId="0" fontId="68" fillId="3" borderId="0" applyAlignment="1" pivotButton="0" quotePrefix="0" xfId="0">
      <alignment horizontal="center" vertical="center"/>
    </xf>
    <xf numFmtId="0" fontId="69" fillId="4" borderId="0" applyAlignment="1" pivotButton="0" quotePrefix="0" xfId="0">
      <alignment horizontal="center" vertical="center"/>
    </xf>
    <xf numFmtId="0" fontId="55" fillId="3" borderId="0" applyAlignment="1" pivotButton="0" quotePrefix="0" xfId="0">
      <alignment horizontal="center" vertical="center"/>
    </xf>
    <xf numFmtId="0" fontId="68" fillId="4" borderId="0" applyAlignment="1" pivotButton="0" quotePrefix="0" xfId="0">
      <alignment horizontal="center" vertical="center"/>
    </xf>
    <xf numFmtId="0" fontId="60" fillId="3" borderId="0" applyAlignment="1" pivotButton="0" quotePrefix="0" xfId="0">
      <alignment horizontal="center" vertical="center"/>
    </xf>
    <xf numFmtId="0" fontId="70" fillId="3" borderId="0" applyAlignment="1" pivotButton="0" quotePrefix="0" xfId="0">
      <alignment horizontal="center" vertical="center"/>
    </xf>
    <xf numFmtId="0" fontId="69" fillId="3" borderId="0" applyAlignment="1" pivotButton="0" quotePrefix="0" xfId="0">
      <alignment horizontal="center" vertical="center"/>
    </xf>
    <xf numFmtId="0" fontId="70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71" fillId="3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71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117" fillId="4" borderId="0" applyAlignment="1" pivotButton="0" quotePrefix="0" xfId="0">
      <alignment horizontal="left" vertical="top" wrapText="1" indent="1"/>
    </xf>
    <xf numFmtId="0" fontId="69" fillId="21" borderId="0" applyAlignment="1" pivotButton="0" quotePrefix="0" xfId="0">
      <alignment horizontal="left" vertical="center" indent="1"/>
    </xf>
    <xf numFmtId="0" fontId="118" fillId="4" borderId="0" applyAlignment="1" pivotButton="0" quotePrefix="0" xfId="0">
      <alignment horizontal="left" vertical="top" wrapText="1" indent="1"/>
    </xf>
    <xf numFmtId="0" fontId="70" fillId="44" borderId="0" applyAlignment="1" pivotButton="0" quotePrefix="0" xfId="0">
      <alignment horizontal="left" vertical="center" indent="1"/>
    </xf>
    <xf numFmtId="0" fontId="108" fillId="4" borderId="0" applyAlignment="1" pivotButton="0" quotePrefix="0" xfId="0">
      <alignment horizontal="left" vertical="top" wrapText="1" indent="1"/>
    </xf>
    <xf numFmtId="0" fontId="119" fillId="45" borderId="0" applyAlignment="1" pivotButton="0" quotePrefix="0" xfId="0">
      <alignment horizontal="left" vertical="center" indent="1"/>
    </xf>
    <xf numFmtId="0" fontId="120" fillId="4" borderId="0" applyAlignment="1" pivotButton="0" quotePrefix="0" xfId="0">
      <alignment horizontal="left" vertical="top" wrapText="1" inden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49" fontId="5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1" fontId="5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indent="1"/>
    </xf>
    <xf numFmtId="164" fontId="5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indent="1"/>
    </xf>
    <xf numFmtId="164" fontId="7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indent="1"/>
    </xf>
    <xf numFmtId="166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167" fontId="5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7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31" fillId="0" borderId="0" pivotButton="0" quotePrefix="0" xfId="0"/>
    <xf numFmtId="49" fontId="41" fillId="0" borderId="0" pivotButton="0" quotePrefix="0" xfId="0"/>
    <xf numFmtId="173" fontId="19" fillId="0" borderId="0" pivotButton="0" quotePrefix="0" xfId="0"/>
    <xf numFmtId="9" fontId="19" fillId="0" borderId="0" pivotButton="0" quotePrefix="0" xfId="0"/>
    <xf numFmtId="0" fontId="19" fillId="0" borderId="0" pivotButton="0" quotePrefix="0" xfId="0"/>
    <xf numFmtId="173" fontId="0" fillId="0" borderId="0" pivotButton="0" quotePrefix="0" xfId="0"/>
    <xf numFmtId="164" fontId="0" fillId="0" borderId="0" pivotButton="0" quotePrefix="0" xfId="0"/>
    <xf numFmtId="1" fontId="41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164" fontId="41" fillId="0" borderId="0" pivotButton="0" quotePrefix="0" xfId="0"/>
    <xf numFmtId="171" fontId="41" fillId="0" borderId="0" pivotButton="0" quotePrefix="0" xfId="0"/>
    <xf numFmtId="172" fontId="41" fillId="0" borderId="0" pivotButton="0" quotePrefix="0" xfId="0"/>
    <xf numFmtId="3" fontId="41" fillId="0" borderId="0" pivotButton="0" quotePrefix="0" xfId="0"/>
    <xf numFmtId="173" fontId="41" fillId="0" borderId="0" pivotButton="0" quotePrefix="0" xfId="0"/>
    <xf numFmtId="0" fontId="6" fillId="0" borderId="0" pivotButton="0" quotePrefix="0" xfId="0"/>
    <xf numFmtId="0" fontId="18" fillId="3" borderId="0" applyAlignment="1" pivotButton="0" quotePrefix="0" xfId="0">
      <alignment horizontal="center"/>
    </xf>
    <xf numFmtId="168" fontId="19" fillId="0" borderId="0" pivotButton="0" quotePrefix="0" xfId="0"/>
    <xf numFmtId="164" fontId="19" fillId="0" borderId="0" pivotButton="0" quotePrefix="0" xfId="0"/>
  </cellXfs>
  <cellStyles count="1">
    <cellStyle name="Normal" xfId="0" builtinId="0" hidden="0"/>
  </cellStyles>
  <dxfs count="20">
    <dxf>
      <font>
        <color rgb="0022C55E"/>
      </font>
    </dxf>
    <dxf>
      <font>
        <color rgb="0019C3C3"/>
      </font>
    </dxf>
    <dxf>
      <font>
        <color rgb="00F5C542"/>
      </font>
    </dxf>
    <dxf>
      <font>
        <color rgb="00F0508A"/>
      </font>
    </dxf>
    <dxf>
      <font>
        <color rgb="005B6584"/>
      </font>
    </dxf>
    <dxf>
      <font>
        <color rgb="00F5C542"/>
      </font>
      <fill>
        <patternFill patternType="solid">
          <fgColor rgb="00323439"/>
          <bgColor rgb="00323439"/>
        </patternFill>
      </fill>
    </dxf>
    <dxf>
      <font>
        <color rgb="00F0508A"/>
      </font>
      <fill>
        <patternFill patternType="solid">
          <fgColor rgb="003C2B44"/>
          <bgColor rgb="003C2B44"/>
        </patternFill>
      </fill>
    </dxf>
    <dxf>
      <font>
        <color rgb="0052B083"/>
      </font>
    </dxf>
    <dxf>
      <font>
        <color rgb="00141B2D"/>
      </font>
      <fill>
        <patternFill patternType="solid">
          <fgColor rgb="00141B2D"/>
          <bgColor rgb="00141B2D"/>
        </patternFill>
      </fill>
    </dxf>
    <dxf>
      <font>
        <b val="1"/>
        <color rgb="00141B2D"/>
      </font>
      <fill>
        <patternFill patternType="solid">
          <fgColor rgb="00F5C542"/>
          <bgColor rgb="00F5C542"/>
        </patternFill>
      </fill>
    </dxf>
    <dxf>
      <font>
        <b val="1"/>
        <color rgb="00141B2D"/>
      </font>
      <fill>
        <patternFill patternType="solid">
          <fgColor rgb="00F0508A"/>
          <bgColor rgb="00F0508A"/>
        </patternFill>
      </fill>
    </dxf>
    <dxf>
      <font>
        <b val="1"/>
        <color rgb="00141B2D"/>
      </font>
      <fill>
        <patternFill patternType="solid">
          <fgColor rgb="0019C3C3"/>
          <bgColor rgb="0019C3C3"/>
        </patternFill>
      </fill>
    </dxf>
    <dxf>
      <fill>
        <patternFill patternType="solid">
          <fgColor rgb="00403A77"/>
          <bgColor rgb="00403A77"/>
        </patternFill>
      </fill>
    </dxf>
    <dxf>
      <fill>
        <patternFill patternType="solid">
          <fgColor rgb="002F4377"/>
          <bgColor rgb="002F4377"/>
        </patternFill>
      </fill>
    </dxf>
    <dxf>
      <fill>
        <patternFill patternType="solid">
          <fgColor rgb="00205768"/>
          <bgColor rgb="00205768"/>
        </patternFill>
      </fill>
    </dxf>
    <dxf>
      <fill>
        <patternFill patternType="solid">
          <fgColor rgb="005C3758"/>
          <bgColor rgb="005C3758"/>
        </patternFill>
      </fill>
    </dxf>
    <dxf>
      <fill>
        <patternFill patternType="solid">
          <fgColor rgb="0023584C"/>
          <bgColor rgb="0023584C"/>
        </patternFill>
      </fill>
    </dxf>
    <dxf>
      <fill>
        <patternFill patternType="solid">
          <fgColor rgb="0023624E"/>
          <bgColor rgb="0023624E"/>
        </patternFill>
      </fill>
    </dxf>
    <dxf>
      <fill>
        <patternFill patternType="solid">
          <fgColor rgb="006B395D"/>
          <bgColor rgb="006B395D"/>
        </patternFill>
      </fill>
    </dxf>
    <dxf>
      <fill>
        <patternFill patternType="solid">
          <fgColor rgb="0043413A"/>
          <bgColor rgb="004341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F5C542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'Calc'!$D$34:$D$63</f>
            </numRef>
          </cat>
          <val>
            <numRef>
              <f>'Calc'!$E$34:$E$63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'Calc'!$F$34:$F$63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'Calc'!G3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'Calc'!$D$4:$D$63</f>
            </numRef>
          </cat>
          <val>
            <numRef>
              <f>'Calc'!$G$4:$G$63</f>
            </numRef>
          </val>
        </ser>
        <ser>
          <idx val="1"/>
          <order val="1"/>
          <tx>
            <strRef>
              <f>'Calc'!H3</f>
            </strRef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'Calc'!$D$4:$D$63</f>
            </numRef>
          </cat>
          <val>
            <numRef>
              <f>'Calc'!$H$4:$H$63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Steps</v>
          </tx>
          <spPr>
            <a:solidFill xmlns:a="http://schemas.openxmlformats.org/drawingml/2006/main">
              <a:srgbClr val="19C3C3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'Calc'!$D$50:$D$63</f>
            </numRef>
          </cat>
          <val>
            <numRef>
              <f>'Calc'!$I$50:$I$63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v>Target</v>
          </tx>
          <spPr>
            <a:ln xmlns:a="http://schemas.openxmlformats.org/drawingml/2006/main" w="19000">
              <a:solidFill>
                <a:srgbClr val="F5C54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'Calc'!$J$50:$J$63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Sleep h</v>
          </tx>
          <spPr>
            <a:ln xmlns:a="http://schemas.openxmlformats.org/drawingml/2006/main" w="22000">
              <a:solidFill>
                <a:srgbClr val="4F7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'Calc'!$D$50:$D$63</f>
            </numRef>
          </cat>
          <val>
            <numRef>
              <f>'Calc'!$K$50:$K$63</f>
            </numRef>
          </val>
          <smooth val="1"/>
        </ser>
        <ser>
          <idx val="1"/>
          <order val="1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'Calc'!$D$50:$D$63</f>
            </numRef>
          </cat>
          <val>
            <numRef>
              <f>'Calc'!$L$50:$L$63</f>
            </numRef>
          </val>
          <smooth val="1"/>
        </ser>
        <ser>
          <idx val="2"/>
          <order val="2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'Calc'!$D$50:$D$63</f>
            </numRef>
          </cat>
          <val>
            <numRef>
              <f>'Calc'!$M$50:$M$63</f>
            </numRef>
          </val>
          <smooth val="1"/>
        </ser>
        <ser>
          <idx val="3"/>
          <order val="3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'Calc'!$D$50:$D$63</f>
            </numRef>
          </cat>
          <val>
            <numRef>
              <f>'Calc'!$N$50:$N$63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F7CF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C3C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3E63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5C54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59E42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'Week Plan'!$B$57:$B$63</f>
            </numRef>
          </cat>
          <val>
            <numRef>
              <f>'Week Plan'!$E$57:$E$63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Week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9C3C3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Plan'!$F$64:$G$64</f>
            </numRef>
          </val>
        </ser>
        <firstSliceAng val="0"/>
        <holeSize val="70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 Plan'!$B$57:$B$63</f>
            </numRef>
          </cat>
          <val>
            <numRef>
              <f>'Week Plan'!$H$57:$H$63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 Plan'!$B$57:$B$63</f>
            </numRef>
          </cat>
          <val>
            <numRef>
              <f>'Week Plan'!$I$57:$I$63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 Plan'!$B$57:$B$63</f>
            </numRef>
          </cat>
          <val>
            <numRef>
              <f>'Week Plan'!$J$57:$J$63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Plan'!$F$57:$G$57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7CF7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Plan'!$F$58:$G$58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9C3C3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Plan'!$F$59:$G$59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Plan'!$F$60:$G$60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A3E63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Plan'!$F$61:$G$61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5C542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Plan'!$F$62:$G$62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59E42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32D45"/>
              </a:solidFill>
              <a:ln xmlns:a="http://schemas.openxmlformats.org/drawingml/2006/main">
                <a:solidFill>
                  <a:srgbClr val="1C2438"/>
                </a:solidFill>
                <a:prstDash val="solid"/>
              </a:ln>
            </spPr>
          </dPt>
          <val>
            <numRef>
              <f>'Week Plan'!$F$63:$G$63</f>
            </numRef>
          </val>
        </ser>
        <firstSliceAng val="0"/>
        <holeSize val="72"/>
      </doughnutChart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'Data'!$C$4:$C$34</f>
            </numRef>
          </cat>
          <val>
            <numRef>
              <f>'Data'!$BL$4:$BL$34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'Data'!$C$4:$C$34</f>
            </numRef>
          </cat>
          <val>
            <numRef>
              <f>'Data'!$BO$4:$BO$34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'Data'!$C$4:$C$34</f>
            </numRef>
          </cat>
          <val>
            <numRef>
              <f>'Data'!$BP$4:$BP$34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'Data'!$C$4:$C$34</f>
            </numRef>
          </cat>
          <val>
            <numRef>
              <f>'Data'!$BQ$4:$BQ$34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'Data'!$C$4:$C$34</f>
            </numRef>
          </cat>
          <val>
            <numRef>
              <f>'Data'!$BM$4:$BM$34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'Data'!$C$4:$C$34</f>
            </numRef>
          </cat>
          <val>
            <numRef>
              <f>'Data'!$BN$4:$BN$34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'Data'!$C$35:$C$65</f>
            </numRef>
          </cat>
          <val>
            <numRef>
              <f>'Data'!$BL$35:$BL$65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'Data'!$C$35:$C$65</f>
            </numRef>
          </cat>
          <val>
            <numRef>
              <f>'Data'!$BO$35:$BO$65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'Data'!$C$35:$C$65</f>
            </numRef>
          </cat>
          <val>
            <numRef>
              <f>'Data'!$BP$35:$BP$65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'Data'!$C$35:$C$65</f>
            </numRef>
          </cat>
          <val>
            <numRef>
              <f>'Data'!$BQ$35:$BQ$65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'Data'!$C$35:$C$65</f>
            </numRef>
          </cat>
          <val>
            <numRef>
              <f>'Data'!$BM$35:$BM$65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'Data'!$C$35:$C$65</f>
            </numRef>
          </cat>
          <val>
            <numRef>
              <f>'Data'!$BN$35:$BN$65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'Data'!$C$66:$C$96</f>
            </numRef>
          </cat>
          <val>
            <numRef>
              <f>'Data'!$BL$66:$BL$96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'Data'!$C$66:$C$96</f>
            </numRef>
          </cat>
          <val>
            <numRef>
              <f>'Data'!$BO$66:$BO$96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'Data'!$C$66:$C$96</f>
            </numRef>
          </cat>
          <val>
            <numRef>
              <f>'Data'!$BP$66:$BP$96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'Data'!$C$66:$C$96</f>
            </numRef>
          </cat>
          <val>
            <numRef>
              <f>'Data'!$BQ$66:$BQ$96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'Data'!$C$66:$C$96</f>
            </numRef>
          </cat>
          <val>
            <numRef>
              <f>'Data'!$BM$66:$BM$96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'Data'!$C$66:$C$96</f>
            </numRef>
          </cat>
          <val>
            <numRef>
              <f>'Data'!$BN$66:$BN$96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'Data'!$C$97:$C$127</f>
            </numRef>
          </cat>
          <val>
            <numRef>
              <f>'Data'!$BL$97:$BL$127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'Data'!$C$97:$C$127</f>
            </numRef>
          </cat>
          <val>
            <numRef>
              <f>'Data'!$BO$97:$BO$127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'Data'!$C$97:$C$127</f>
            </numRef>
          </cat>
          <val>
            <numRef>
              <f>'Data'!$BP$97:$BP$127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'Data'!$C$97:$C$127</f>
            </numRef>
          </cat>
          <val>
            <numRef>
              <f>'Data'!$BQ$97:$BQ$127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'Data'!$C$97:$C$127</f>
            </numRef>
          </cat>
          <val>
            <numRef>
              <f>'Data'!$BM$97:$BM$127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'Data'!$C$97:$C$127</f>
            </numRef>
          </cat>
          <val>
            <numRef>
              <f>'Data'!$BN$97:$BN$127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'Data'!$C$128:$C$158</f>
            </numRef>
          </cat>
          <val>
            <numRef>
              <f>'Data'!$BL$128:$BL$158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'Data'!$C$128:$C$158</f>
            </numRef>
          </cat>
          <val>
            <numRef>
              <f>'Data'!$BO$128:$BO$158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'Data'!$C$128:$C$158</f>
            </numRef>
          </cat>
          <val>
            <numRef>
              <f>'Data'!$BP$128:$BP$158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'Data'!$C$128:$C$158</f>
            </numRef>
          </cat>
          <val>
            <numRef>
              <f>'Data'!$BQ$128:$BQ$158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'Data'!$C$128:$C$158</f>
            </numRef>
          </cat>
          <val>
            <numRef>
              <f>'Data'!$BM$128:$BM$158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'Data'!$C$128:$C$158</f>
            </numRef>
          </cat>
          <val>
            <numRef>
              <f>'Data'!$BN$128:$BN$158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'Data'!$C$159:$C$189</f>
            </numRef>
          </cat>
          <val>
            <numRef>
              <f>'Data'!$BL$159:$BL$189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'Data'!$C$159:$C$189</f>
            </numRef>
          </cat>
          <val>
            <numRef>
              <f>'Data'!$BO$159:$BO$189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'Data'!$C$159:$C$189</f>
            </numRef>
          </cat>
          <val>
            <numRef>
              <f>'Data'!$BP$159:$BP$189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'Data'!$C$159:$C$189</f>
            </numRef>
          </cat>
          <val>
            <numRef>
              <f>'Data'!$BQ$159:$BQ$189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'Data'!$C$159:$C$189</f>
            </numRef>
          </cat>
          <val>
            <numRef>
              <f>'Data'!$BM$159:$BM$189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'Data'!$C$159:$C$189</f>
            </numRef>
          </cat>
          <val>
            <numRef>
              <f>'Data'!$BN$159:$BN$189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'Data'!$C$190:$C$220</f>
            </numRef>
          </cat>
          <val>
            <numRef>
              <f>'Data'!$BL$190:$BL$220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'Data'!$C$190:$C$220</f>
            </numRef>
          </cat>
          <val>
            <numRef>
              <f>'Data'!$BO$190:$BO$220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'Data'!$C$190:$C$220</f>
            </numRef>
          </cat>
          <val>
            <numRef>
              <f>'Data'!$BP$190:$BP$220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'Data'!$C$190:$C$220</f>
            </numRef>
          </cat>
          <val>
            <numRef>
              <f>'Data'!$BQ$190:$BQ$220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'Data'!$C$190:$C$220</f>
            </numRef>
          </cat>
          <val>
            <numRef>
              <f>'Data'!$BM$190:$BM$220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'Data'!$C$190:$C$220</f>
            </numRef>
          </cat>
          <val>
            <numRef>
              <f>'Data'!$BN$190:$BN$220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'Data'!$C$221:$C$251</f>
            </numRef>
          </cat>
          <val>
            <numRef>
              <f>'Data'!$BL$221:$BL$251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'Data'!$C$221:$C$251</f>
            </numRef>
          </cat>
          <val>
            <numRef>
              <f>'Data'!$BO$221:$BO$251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'Data'!$C$221:$C$251</f>
            </numRef>
          </cat>
          <val>
            <numRef>
              <f>'Data'!$BP$221:$BP$251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'Data'!$C$221:$C$251</f>
            </numRef>
          </cat>
          <val>
            <numRef>
              <f>'Data'!$BQ$221:$BQ$251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'Data'!$C$221:$C$251</f>
            </numRef>
          </cat>
          <val>
            <numRef>
              <f>'Data'!$BM$221:$BM$251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'Data'!$C$221:$C$251</f>
            </numRef>
          </cat>
          <val>
            <numRef>
              <f>'Data'!$BN$221:$BN$251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'Data'!$C$252:$C$282</f>
            </numRef>
          </cat>
          <val>
            <numRef>
              <f>'Data'!$BL$252:$BL$282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'Data'!$C$252:$C$282</f>
            </numRef>
          </cat>
          <val>
            <numRef>
              <f>'Data'!$BO$252:$BO$282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'Data'!$C$252:$C$282</f>
            </numRef>
          </cat>
          <val>
            <numRef>
              <f>'Data'!$BP$252:$BP$282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'Data'!$C$252:$C$282</f>
            </numRef>
          </cat>
          <val>
            <numRef>
              <f>'Data'!$BQ$252:$BQ$282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'Data'!$C$252:$C$282</f>
            </numRef>
          </cat>
          <val>
            <numRef>
              <f>'Data'!$BM$252:$BM$282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'Data'!$C$252:$C$282</f>
            </numRef>
          </cat>
          <val>
            <numRef>
              <f>'Data'!$BN$252:$BN$282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'Data'!$C$283:$C$313</f>
            </numRef>
          </cat>
          <val>
            <numRef>
              <f>'Data'!$BL$283:$BL$313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'Data'!$C$283:$C$313</f>
            </numRef>
          </cat>
          <val>
            <numRef>
              <f>'Data'!$BO$283:$BO$313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'Data'!$C$283:$C$313</f>
            </numRef>
          </cat>
          <val>
            <numRef>
              <f>'Data'!$BP$283:$BP$313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'Data'!$C$283:$C$313</f>
            </numRef>
          </cat>
          <val>
            <numRef>
              <f>'Data'!$BQ$283:$BQ$313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'Data'!$C$283:$C$313</f>
            </numRef>
          </cat>
          <val>
            <numRef>
              <f>'Data'!$BM$283:$BM$313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'Data'!$C$283:$C$313</f>
            </numRef>
          </cat>
          <val>
            <numRef>
              <f>'Data'!$BN$283:$BN$313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'Data'!$C$314:$C$344</f>
            </numRef>
          </cat>
          <val>
            <numRef>
              <f>'Data'!$BL$314:$BL$344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'Data'!$C$314:$C$344</f>
            </numRef>
          </cat>
          <val>
            <numRef>
              <f>'Data'!$BO$314:$BO$344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'Data'!$C$314:$C$344</f>
            </numRef>
          </cat>
          <val>
            <numRef>
              <f>'Data'!$BP$314:$BP$344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'Data'!$C$314:$C$344</f>
            </numRef>
          </cat>
          <val>
            <numRef>
              <f>'Data'!$BQ$314:$BQ$344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'Data'!$C$314:$C$344</f>
            </numRef>
          </cat>
          <val>
            <numRef>
              <f>'Data'!$BM$314:$BM$344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'Data'!$C$314:$C$344</f>
            </numRef>
          </cat>
          <val>
            <numRef>
              <f>'Data'!$BN$314:$BN$344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chart>
    <plotArea>
      <areaChart>
        <grouping val="standard"/>
        <ser>
          <idx val="0"/>
          <order val="0"/>
          <spPr>
            <a:solidFill xmlns:a="http://schemas.openxmlformats.org/drawingml/2006/main">
              <a:srgbClr val="1B6C77"/>
            </a:solidFill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cat>
            <numRef>
              <f>'Data'!$C$345:$C$375</f>
            </numRef>
          </cat>
          <val>
            <numRef>
              <f>'Data'!$BL$345:$BL$375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0.25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Energy</v>
          </tx>
          <spPr>
            <a:ln xmlns:a="http://schemas.openxmlformats.org/drawingml/2006/main" w="22000">
              <a:solidFill>
                <a:srgbClr val="F5C5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'Data'!$C$345:$C$375</f>
            </numRef>
          </cat>
          <val>
            <numRef>
              <f>'Data'!$BO$345:$BO$375</f>
            </numRef>
          </val>
          <smooth val="1"/>
        </ser>
        <ser>
          <idx val="1"/>
          <order val="1"/>
          <tx>
            <v>Stress</v>
          </tx>
          <spPr>
            <a:ln xmlns:a="http://schemas.openxmlformats.org/drawingml/2006/main" w="22000">
              <a:solidFill>
                <a:srgbClr val="F050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'Data'!$C$345:$C$375</f>
            </numRef>
          </cat>
          <val>
            <numRef>
              <f>'Data'!$BP$345:$BP$375</f>
            </numRef>
          </val>
          <smooth val="1"/>
        </ser>
        <ser>
          <idx val="2"/>
          <order val="2"/>
          <tx>
            <v>Mood</v>
          </tx>
          <spPr>
            <a:ln xmlns:a="http://schemas.openxmlformats.org/drawingml/2006/main" w="22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'Data'!$C$345:$C$375</f>
            </numRef>
          </cat>
          <val>
            <numRef>
              <f>'Data'!$BQ$345:$BQ$375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  <majorUnit val="2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Daily</v>
          </tx>
          <spPr>
            <a:ln xmlns:a="http://schemas.openxmlformats.org/drawingml/2006/main" w="12000">
              <a:noFill/>
              <a:solidFill>
                <a:srgbClr val="6A4B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'Data'!$C$345:$C$375</f>
            </numRef>
          </cat>
          <val>
            <numRef>
              <f>'Data'!$BM$345:$BM$375</f>
            </numRef>
          </val>
          <smooth val="0"/>
        </ser>
        <ser>
          <idx val="1"/>
          <order val="1"/>
          <tx>
            <v>7-day avg</v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'Data'!$C$345:$C$375</f>
            </numRef>
          </cat>
          <val>
            <numRef>
              <f>'Data'!$BN$345:$BN$375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D97B0"/>
              </a:solidFill>
              <a:latin typeface="Montserrat"/>
            </a:defRPr>
          </a:pPr>
          <a:r>
            <a:t/>
          </a:r>
          <a:endParaRPr sz="800" b="0">
            <a:solidFill>
              <a:srgbClr val="8D97B0"/>
            </a:solidFill>
            <a:latin typeface="Montserrat"/>
          </a:endParaRPr>
        </a:p>
      </txPr>
    </legend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'Calc'!Q3</f>
            </strRef>
          </tx>
          <spPr>
            <a:ln xmlns:a="http://schemas.openxmlformats.org/drawingml/2006/main" w="28000">
              <a:solidFill>
                <a:srgbClr val="8B5CF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'Calc'!$P$4:$P$56</f>
            </numRef>
          </cat>
          <val>
            <numRef>
              <f>'Calc'!$Q$4:$Q$56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'Calc'!T3</f>
            </strRef>
          </tx>
          <spPr>
            <a:ln xmlns:a="http://schemas.openxmlformats.org/drawingml/2006/main" w="28000">
              <a:solidFill>
                <a:srgbClr val="19C3C3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9C3C3"/>
              </a:solidFill>
              <a:ln xmlns:a="http://schemas.openxmlformats.org/drawingml/2006/main">
                <a:noFill/>
                <a:prstDash val="solid"/>
              </a:ln>
            </spPr>
          </marker>
          <cat>
            <numRef>
              <f>'Calc'!$S$4:$S$30</f>
            </numRef>
          </cat>
          <val>
            <numRef>
              <f>'Calc'!$T$4:$T$30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E3852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2E385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00" b="0">
                <a:solidFill>
                  <a:srgbClr val="8D97B0"/>
                </a:solidFill>
                <a:latin typeface="Montserrat"/>
              </a:defRPr>
            </a:pPr>
            <a:r>
              <a:t/>
            </a:r>
            <a:endParaRPr sz="700" b="0">
              <a:solidFill>
                <a:srgbClr val="8D97B0"/>
              </a:solidFill>
              <a:latin typeface="Montserrat"/>
            </a:endParaRPr>
          </a:p>
        </txPr>
        <crossAx val="10"/>
      </valAx>
      <spPr>
        <a:solidFill xmlns:a="http://schemas.openxmlformats.org/drawingml/2006/main">
          <a:srgbClr val="1C2438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438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Relationship Type="http://schemas.openxmlformats.org/officeDocument/2006/relationships/chart" Target="/xl/charts/chart11.xml" Id="rId7"/><Relationship Type="http://schemas.openxmlformats.org/officeDocument/2006/relationships/chart" Target="/xl/charts/chart12.xml" Id="rId8"/><Relationship Type="http://schemas.openxmlformats.org/officeDocument/2006/relationships/chart" Target="/xl/charts/chart13.xml" Id="rId9"/><Relationship Type="http://schemas.openxmlformats.org/officeDocument/2006/relationships/chart" Target="/xl/charts/chart14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Relationship Type="http://schemas.openxmlformats.org/officeDocument/2006/relationships/chart" Target="/xl/charts/chart41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2.xml" Id="rId1"/><Relationship Type="http://schemas.openxmlformats.org/officeDocument/2006/relationships/chart" Target="/xl/charts/chart43.xml" Id="rId2"/><Relationship Type="http://schemas.openxmlformats.org/officeDocument/2006/relationships/chart" Target="/xl/charts/chart44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Relationship Type="http://schemas.openxmlformats.org/officeDocument/2006/relationships/chart" Target="/xl/charts/chart47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8.xml" Id="rId1"/><Relationship Type="http://schemas.openxmlformats.org/officeDocument/2006/relationships/chart" Target="/xl/charts/chart49.xml" Id="rId2"/><Relationship Type="http://schemas.openxmlformats.org/officeDocument/2006/relationships/chart" Target="/xl/charts/chart50.xml" Id="rId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54</row>
      <rowOff>0</rowOff>
    </from>
    <ext cx="5700000" cy="3428571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54</row>
      <rowOff>0</rowOff>
    </from>
    <ext cx="5700000" cy="3428571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71</row>
      <rowOff>0</rowOff>
    </from>
    <ext cx="5700000" cy="3428571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71</row>
      <rowOff>0</rowOff>
    </from>
    <ext cx="5700000" cy="3428571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4013333" cy="215873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5</row>
      <rowOff>0</rowOff>
    </from>
    <ext cx="1373333" cy="1726984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5</row>
      <rowOff>0</rowOff>
    </from>
    <ext cx="4013333" cy="215873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20</row>
      <rowOff>0</rowOff>
    </from>
    <ext cx="1266666" cy="1511111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20</row>
      <rowOff>0</rowOff>
    </from>
    <ext cx="1266666" cy="1511111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20</row>
      <rowOff>0</rowOff>
    </from>
    <ext cx="1266666" cy="1511111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10</col>
      <colOff>0</colOff>
      <row>20</row>
      <rowOff>0</rowOff>
    </from>
    <ext cx="1266666" cy="1511111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13</col>
      <colOff>0</colOff>
      <row>20</row>
      <rowOff>0</rowOff>
    </from>
    <ext cx="1266666" cy="1511111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16</col>
      <colOff>0</colOff>
      <row>20</row>
      <rowOff>0</rowOff>
    </from>
    <ext cx="1266666" cy="1511111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19</col>
      <colOff>0</colOff>
      <row>20</row>
      <rowOff>0</rowOff>
    </from>
    <ext cx="1266666" cy="1511111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4</col>
      <colOff>0</colOff>
      <row>42</row>
      <rowOff>0</rowOff>
    </from>
    <ext cx="7646666" cy="243809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71</row>
      <rowOff>0</rowOff>
    </from>
    <ext cx="3946666" cy="264126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71</row>
      <rowOff>0</rowOff>
    </from>
    <ext cx="3700000" cy="264126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12</col>
      <colOff>0</colOff>
      <row>5</row>
      <rowOff>0</rowOff>
    </from>
    <ext cx="5866666" cy="434285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26</row>
      <rowOff>0</rowOff>
    </from>
    <ext cx="5866666" cy="411428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tabColor rgb="00F5C542"/>
    <outlinePr summaryBelow="1" summaryRight="1"/>
    <pageSetUpPr fitToPage="1"/>
  </sheetPr>
  <dimension ref="A1:G33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8" customWidth="1" min="3" max="3"/>
    <col width="3" customWidth="1" min="4" max="4"/>
    <col width="16" customWidth="1" min="5" max="5"/>
    <col width="58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2" t="inlineStr">
        <is>
          <t>LIFE OS · START HERE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Lucas's personal operating system. Consistency &gt; Intensity · Progress &gt; Perfection · Systems &gt; Motivation · Health &gt; Extreme results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0" customHeight="1">
      <c r="A5" s="1" t="n"/>
      <c r="B5" s="4" t="inlineStr">
        <is>
          <t>THE 60-SECOND DAILY CHECK-IN</t>
        </is>
      </c>
      <c r="C5" s="1" t="n"/>
      <c r="D5" s="1" t="n"/>
      <c r="E5" s="5" t="inlineStr">
        <is>
          <t>THE TABS</t>
        </is>
      </c>
      <c r="F5" s="1" t="n"/>
      <c r="G5" s="1" t="n"/>
    </row>
    <row r="6" ht="29" customHeight="1">
      <c r="A6" s="1" t="n"/>
      <c r="B6" s="6" t="inlineStr">
        <is>
          <t>1</t>
        </is>
      </c>
      <c r="C6" s="7" t="inlineStr">
        <is>
          <t>Open this month's tab (Oct 2026, Nov 2026…). Today's date is highlighted in yellow.</t>
        </is>
      </c>
      <c r="D6" s="1" t="n"/>
      <c r="E6" s="8" t="inlineStr">
        <is>
          <t>Dashboard</t>
        </is>
      </c>
      <c r="F6" s="7" t="inlineStr">
        <is>
          <t>Today · this week · this month · coach · system check · pillars · charts. Change the yellow date to look back.</t>
        </is>
      </c>
      <c r="G6" s="1" t="n"/>
    </row>
    <row r="7" ht="29" customHeight="1">
      <c r="A7" s="1" t="n"/>
      <c r="B7" s="6" t="inlineStr">
        <is>
          <t>2</t>
        </is>
      </c>
      <c r="C7" s="7" t="inlineStr">
        <is>
          <t>Tick the habits you did. Level 3 is bonus only.</t>
        </is>
      </c>
      <c r="D7" s="1" t="n"/>
      <c r="E7" s="8" t="inlineStr">
        <is>
          <t>Week Plan</t>
        </is>
      </c>
      <c r="F7" s="7" t="inlineStr">
        <is>
          <t>Top 3 and tasks for each day, daily donuts and check-ins (task-tracker layout).</t>
        </is>
      </c>
      <c r="G7" s="1" t="n"/>
    </row>
    <row r="8" ht="29" customHeight="1">
      <c r="A8" s="1" t="n"/>
      <c r="B8" s="6" t="inlineStr">
        <is>
          <t>3</t>
        </is>
      </c>
      <c r="C8" s="7" t="inlineStr">
        <is>
          <t>Type the numbers you have in BODY &amp; MIND: weight, steps, protein, water, sleep, energy, stress, mood. Blank is fine.</t>
        </is>
      </c>
      <c r="D8" s="1" t="n"/>
      <c r="E8" s="8" t="inlineStr">
        <is>
          <t>Month tabs</t>
        </is>
      </c>
      <c r="F8" s="7" t="inlineStr">
        <is>
          <t>The habit grid, scores, body &amp; mind numbers, charts. This is where you log.</t>
        </is>
      </c>
      <c r="G8" s="1" t="n"/>
    </row>
    <row r="9" ht="29" customHeight="1">
      <c r="A9" s="1" t="n"/>
      <c r="B9" s="6" t="inlineStr">
        <is>
          <t>4</t>
        </is>
      </c>
      <c r="C9" s="7" t="inlineStr">
        <is>
          <t>Hard day? Type M in the Day mode row. Sick? Type S. Planned rest? R.</t>
        </is>
      </c>
      <c r="D9" s="1" t="n"/>
      <c r="E9" s="8" t="inlineStr">
        <is>
          <t>Body</t>
        </is>
      </c>
      <c r="F9" s="7" t="inlineStr">
        <is>
          <t>Profile, goal estimate, measurements every 2 weeks, monthly photos, trend charts.</t>
        </is>
      </c>
      <c r="G9" s="1" t="n"/>
    </row>
    <row r="10" ht="29" customHeight="1">
      <c r="A10" s="1" t="n"/>
      <c r="B10" s="6" t="inlineStr">
        <is>
          <t>5</t>
        </is>
      </c>
      <c r="C10" s="7" t="inlineStr">
        <is>
          <t>Glance at the Dashboard: Foundation score, rolling 7-day, Smart Coach.</t>
        </is>
      </c>
      <c r="D10" s="1" t="n"/>
      <c r="E10" s="8" t="inlineStr">
        <is>
          <t>Weekly Review</t>
        </is>
      </c>
      <c r="F10" s="7" t="inlineStr">
        <is>
          <t>Sunday, 15–30 min. Numbers fill themselves; write wins, problems and ONE change.</t>
        </is>
      </c>
      <c r="G10" s="1" t="n"/>
    </row>
    <row r="11" ht="29" customHeight="1">
      <c r="A11" s="1" t="n"/>
      <c r="B11" s="9" t="n"/>
      <c r="C11" s="9" t="n"/>
      <c r="D11" s="1" t="n"/>
      <c r="E11" s="8" t="inlineStr">
        <is>
          <t>Monthly Review</t>
        </is>
      </c>
      <c r="F11" s="7" t="inlineStr">
        <is>
          <t>Once a month: body, health, mind, spirit, relationships, business, stop/start/continue.</t>
        </is>
      </c>
      <c r="G11" s="1" t="n"/>
    </row>
    <row r="12" ht="29" customHeight="1">
      <c r="A12" s="1" t="n"/>
      <c r="B12" s="9" t="n"/>
      <c r="C12" s="9" t="n"/>
      <c r="D12" s="1" t="n"/>
      <c r="E12" s="8" t="inlineStr">
        <is>
          <t>Habit Library</t>
        </is>
      </c>
      <c r="F12" s="7" t="inlineStr">
        <is>
          <t>Every habit with level, pillar, target, what counts, and 7/30-day scores.</t>
        </is>
      </c>
      <c r="G12" s="1" t="n"/>
    </row>
    <row r="13" ht="29" customHeight="1">
      <c r="A13" s="1" t="n"/>
      <c r="B13" s="9" t="n"/>
      <c r="C13" s="9" t="n"/>
      <c r="D13" s="1" t="n"/>
      <c r="E13" s="8" t="inlineStr">
        <is>
          <t>Plan &amp; Routines</t>
        </is>
      </c>
      <c r="F13" s="7" t="inlineStr">
        <is>
          <t>The playbook: routines, training, nutrition, MVD, sick days, eye and jaw notes.</t>
        </is>
      </c>
      <c r="G13" s="1" t="n"/>
    </row>
    <row r="14" ht="17" customHeight="1">
      <c r="A14" s="1" t="n"/>
      <c r="B14" s="9" t="n"/>
      <c r="C14" s="9" t="n"/>
      <c r="D14" s="1" t="n"/>
      <c r="E14" s="8" t="inlineStr">
        <is>
          <t>Settings</t>
        </is>
      </c>
      <c r="F14" s="7" t="inlineStr">
        <is>
          <t>Targets and thresholds. Change them here and everything follows.</t>
        </is>
      </c>
      <c r="G14" s="1" t="n"/>
    </row>
    <row r="15" ht="17" customHeight="1">
      <c r="A15" s="1" t="n"/>
      <c r="B15" s="9" t="n"/>
      <c r="C15" s="9" t="n"/>
      <c r="D15" s="1" t="n"/>
      <c r="E15" s="8" t="inlineStr">
        <is>
          <t>Calc · Data</t>
        </is>
      </c>
      <c r="F15" s="7" t="inlineStr">
        <is>
          <t>The engine. Don't type there.</t>
        </is>
      </c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0" customHeight="1">
      <c r="A17" s="1" t="n"/>
      <c r="B17" s="10" t="inlineStr">
        <is>
          <t>THREE LEVELS</t>
        </is>
      </c>
      <c r="C17" s="1" t="n"/>
      <c r="D17" s="1" t="n"/>
      <c r="E17" s="11" t="inlineStr">
        <is>
          <t>HOW SCORING WORKS</t>
        </is>
      </c>
      <c r="F17" s="1" t="n"/>
      <c r="G17" s="1" t="n"/>
    </row>
    <row r="18" ht="41" customHeight="1">
      <c r="A18" s="1" t="n"/>
      <c r="B18" s="12" t="inlineStr">
        <is>
          <t>Level 1</t>
        </is>
      </c>
      <c r="C18" s="7" t="inlineStr">
        <is>
          <t>Non-negotiables. The small daily foundation: morning reset, prayer, mobility, movement, Top 3, fiancée, read/learn, shutdown, lights out (+ protein, water, steps, sleep from your numbers).</t>
        </is>
      </c>
      <c r="D18" s="1" t="n"/>
      <c r="E18" s="13" t="inlineStr">
        <is>
          <t>Foundation</t>
        </is>
      </c>
      <c r="F18" s="7" t="inlineStr">
        <is>
          <t>Each day gets one score from 9 things: sleep, movement, protein, water, steps, prayer, Top 3 (work days only), fiancée, read/learn.</t>
        </is>
      </c>
      <c r="G18" s="1" t="n"/>
    </row>
    <row r="19" ht="41" customHeight="1">
      <c r="A19" s="1" t="n"/>
      <c r="B19" s="12" t="inlineStr">
        <is>
          <t>Level 2</t>
        </is>
      </c>
      <c r="C19" s="7" t="inlineStr">
        <is>
          <t>High value, scored against weekly targets: strength 4×, progression, core 3×, calves 3×, cardio 2×, deep work, breaks, home reset, son, couple time, family, church, meal prep.</t>
        </is>
      </c>
      <c r="D19" s="1" t="n"/>
      <c r="E19" s="13" t="inlineStr">
        <is>
          <t>Rolling</t>
        </is>
      </c>
      <c r="F19" s="7" t="inlineStr">
        <is>
          <t>The headline numbers are rolling 7-day and 30-day averages, not streaks. One missed day can't wipe anything out.</t>
        </is>
      </c>
      <c r="G19" s="1" t="n"/>
    </row>
    <row r="20" ht="17" customHeight="1">
      <c r="A20" s="1" t="n"/>
      <c r="B20" s="12" t="inlineStr">
        <is>
          <t>Level 3</t>
        </is>
      </c>
      <c r="C20" s="7" t="inlineStr">
        <is>
          <t>Optional. Never counts against you.</t>
        </is>
      </c>
      <c r="D20" s="1" t="n"/>
      <c r="E20" s="13" t="inlineStr">
        <is>
          <t>Bands</t>
        </is>
      </c>
      <c r="F20" s="7" t="inlineStr">
        <is>
          <t>Green ≥ 85% · Good 70–84% · Needs attention 50–69% · Reset &lt; 50%</t>
        </is>
      </c>
      <c r="G20" s="1" t="n"/>
    </row>
    <row r="21" ht="29" customHeight="1">
      <c r="A21" s="1" t="n"/>
      <c r="B21" s="9" t="n"/>
      <c r="C21" s="9" t="n"/>
      <c r="D21" s="1" t="n"/>
      <c r="E21" s="13" t="inlineStr">
        <is>
          <t>Modes</t>
        </is>
      </c>
      <c r="F21" s="7" t="inlineStr">
        <is>
          <t>M days are scored on the Minimum Viable Day list. S days are paused.</t>
        </is>
      </c>
      <c r="G21" s="1" t="n"/>
    </row>
    <row r="22" ht="41" customHeight="1">
      <c r="A22" s="1" t="n"/>
      <c r="B22" s="9" t="n"/>
      <c r="C22" s="9" t="n"/>
      <c r="D22" s="1" t="n"/>
      <c r="E22" s="13" t="inlineStr">
        <is>
          <t>Missed vs failed</t>
        </is>
      </c>
      <c r="F22" s="7" t="inlineStr">
        <is>
          <t>The System Check separates 'one off day', 'missed a few habits' and 'the system is too complicated'. It never says 'failed'. When adherence drops, it tells you to simplify, not to try harder.</t>
        </is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 ht="20" customHeight="1">
      <c r="A24" s="1" t="n"/>
      <c r="B24" s="14" t="inlineStr">
        <is>
          <t>PRINCIPLES</t>
        </is>
      </c>
      <c r="C24" s="1" t="n"/>
      <c r="D24" s="1" t="n"/>
      <c r="E24" s="15" t="inlineStr">
        <is>
          <t>GOOGLE SHEETS SETUP · once</t>
        </is>
      </c>
      <c r="F24" s="1" t="n"/>
      <c r="G24" s="1" t="n"/>
    </row>
    <row r="25" ht="29" customHeight="1">
      <c r="A25" s="1" t="n"/>
      <c r="B25" s="16" t="inlineStr">
        <is>
          <t>1</t>
        </is>
      </c>
      <c r="C25" s="7" t="inlineStr">
        <is>
          <t>Consistency &gt; intensity</t>
        </is>
      </c>
      <c r="D25" s="1" t="n"/>
      <c r="E25" s="17" t="inlineStr">
        <is>
          <t>1</t>
        </is>
      </c>
      <c r="F25" s="7" t="inlineStr">
        <is>
          <t>Google Drive → New → File upload → Lucas-Life-OS.xlsx → open it → File → Save as Google Sheets.</t>
        </is>
      </c>
      <c r="G25" s="1" t="n"/>
    </row>
    <row r="26" ht="41" customHeight="1">
      <c r="A26" s="1" t="n"/>
      <c r="B26" s="16" t="inlineStr">
        <is>
          <t>2</t>
        </is>
      </c>
      <c r="C26" s="7" t="inlineStr">
        <is>
          <t>Progress &gt; perfection</t>
        </is>
      </c>
      <c r="D26" s="1" t="n"/>
      <c r="E26" s="17" t="inlineStr">
        <is>
          <t>2</t>
        </is>
      </c>
      <c r="F26" s="7" t="inlineStr">
        <is>
          <t>In the Google Sheet: Extensions → Apps Script. Paste the contents of life_os_setup.gs, save, click Run on finishSetup and allow access.</t>
        </is>
      </c>
      <c r="G26" s="1" t="n"/>
    </row>
    <row r="27" ht="41" customHeight="1">
      <c r="A27" s="1" t="n"/>
      <c r="B27" s="16" t="inlineStr">
        <is>
          <t>3</t>
        </is>
      </c>
      <c r="C27" s="7" t="inlineStr">
        <is>
          <t>Systems &gt; motivation</t>
        </is>
      </c>
      <c r="D27" s="1" t="n"/>
      <c r="E27" s="17" t="inlineStr">
        <is>
          <t>3</t>
        </is>
      </c>
      <c r="F27" s="7" t="inlineStr">
        <is>
          <t>That converts the grids to real checkboxes, applies Montserrat, dark-styles the charts and adds a 'Life OS' menu (Go to today · New week).</t>
        </is>
      </c>
      <c r="G27" s="1" t="n"/>
    </row>
    <row r="28" ht="29" customHeight="1">
      <c r="A28" s="1" t="n"/>
      <c r="B28" s="16" t="inlineStr">
        <is>
          <t>4</t>
        </is>
      </c>
      <c r="C28" s="7" t="inlineStr">
        <is>
          <t>Health &gt; extreme results</t>
        </is>
      </c>
      <c r="D28" s="1" t="n"/>
      <c r="E28" s="17" t="inlineStr">
        <is>
          <t>No script?</t>
        </is>
      </c>
      <c r="F28" s="7" t="inlineStr">
        <is>
          <t>Everything still works: type x in a cell instead of ticking. Or select a grid and use Insert → Checkbox.</t>
        </is>
      </c>
      <c r="G28" s="1" t="n"/>
    </row>
    <row r="29" ht="29" customHeight="1">
      <c r="A29" s="1" t="n"/>
      <c r="B29" s="16" t="inlineStr">
        <is>
          <t>Note</t>
        </is>
      </c>
      <c r="C29" s="7" t="inlineStr">
        <is>
          <t>This is a personal planning tool, not medical advice. For eyes, jaw or anything persistent, see a professional.</t>
        </is>
      </c>
      <c r="D29" s="1" t="n"/>
      <c r="E29" s="9" t="n"/>
      <c r="F29" s="9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</sheetData>
  <mergeCells count="8">
    <mergeCell ref="B24:C24"/>
    <mergeCell ref="B2:F2"/>
    <mergeCell ref="E24:F24"/>
    <mergeCell ref="B5:C5"/>
    <mergeCell ref="B3:F3"/>
    <mergeCell ref="E5:F5"/>
    <mergeCell ref="B17:C17"/>
    <mergeCell ref="E17:F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C542"/>
    <outlinePr summaryBelow="1" summaryRight="1"/>
    <pageSetUpPr fitToPage="1"/>
  </sheetPr>
  <dimension ref="A1:T86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2" customWidth="1" min="20" max="2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" customHeight="1">
      <c r="A2" s="1" t="n"/>
      <c r="B2" s="18" t="inlineStr">
        <is>
          <t>LIFE OS</t>
        </is>
      </c>
      <c r="K2" s="1" t="n"/>
      <c r="L2" s="1" t="n"/>
      <c r="M2" s="1" t="n"/>
      <c r="N2" s="19" t="inlineStr">
        <is>
          <t>SHOWING</t>
        </is>
      </c>
      <c r="P2" s="20">
        <f>TODAY()</f>
        <v/>
      </c>
      <c r="T2" s="1" t="n"/>
    </row>
    <row r="3" ht="22" customHeight="1">
      <c r="A3" s="1" t="n"/>
      <c r="K3" s="1" t="n"/>
      <c r="L3" s="1" t="n"/>
      <c r="M3" s="1" t="n"/>
      <c r="N3" s="19" t="inlineStr">
        <is>
          <t>DAY MODE</t>
        </is>
      </c>
      <c r="P3" s="21">
        <f>IF(k_Mode="M","Minimum Viable Day",IF(k_Mode="S","Sick day · score paused",IF(k_Mode="R","Rest / recovery day","Normal day")))</f>
        <v/>
      </c>
      <c r="T3" s="1" t="n"/>
    </row>
    <row r="4" ht="18" customHeight="1">
      <c r="A4" s="1" t="n"/>
      <c r="B4" s="22" t="inlineStr">
        <is>
          <t>Lucas · personal operating system  ·  Consistency &gt; Intensity  ·  Progress &gt; Perfection  ·  Systems &gt; Motivation  ·  Health &gt; Extreme results</t>
        </is>
      </c>
      <c r="N4" s="23" t="inlineStr">
        <is>
          <t>type any date in the yellow cell to look back · =TODAY() for live</t>
        </is>
      </c>
      <c r="T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8" customHeight="1">
      <c r="A6" s="1" t="n"/>
      <c r="B6" s="24" t="inlineStr">
        <is>
          <t>FOUNDATION · TODAY</t>
        </is>
      </c>
      <c r="E6" s="24" t="inlineStr">
        <is>
          <t>ROLLING 7-DAY</t>
        </is>
      </c>
      <c r="H6" s="24" t="inlineStr">
        <is>
          <t>ROLLING 30-DAY</t>
        </is>
      </c>
      <c r="K6" s="24" t="inlineStr">
        <is>
          <t>STATUS · 7 DAY</t>
        </is>
      </c>
      <c r="N6" s="24" t="inlineStr">
        <is>
          <t>WEIGHT · 7-DAY AVG</t>
        </is>
      </c>
      <c r="Q6" s="24" t="inlineStr">
        <is>
          <t>WEEKLY RATE</t>
        </is>
      </c>
      <c r="T6" s="1" t="n"/>
    </row>
    <row r="7" ht="18" customHeight="1">
      <c r="A7" s="1" t="n"/>
      <c r="B7" s="25">
        <f>k_T_score</f>
        <v/>
      </c>
      <c r="E7" s="26">
        <f>k_T_r7</f>
        <v/>
      </c>
      <c r="H7" s="26">
        <f>k_T_r30</f>
        <v/>
      </c>
      <c r="K7" s="27">
        <f>k_Status7</f>
        <v/>
      </c>
      <c r="N7" s="28">
        <f>IF(ISNUMBER(k_T_w7),k_T_w7,"—")</f>
        <v/>
      </c>
      <c r="Q7" s="29">
        <f>IF(ISNUMBER(k_Rate),k_Rate,"—")</f>
        <v/>
      </c>
      <c r="T7" s="1" t="n"/>
    </row>
    <row r="8" ht="18" customHeight="1">
      <c r="A8" s="1" t="n"/>
      <c r="T8" s="1" t="n"/>
    </row>
    <row r="9" ht="18" customHeight="1">
      <c r="A9" s="1" t="n"/>
      <c r="B9" s="30">
        <f>IF(NOT(ISNUMBER(k_T_score)),IF(k_Mode="S","sick day · paused","not logged yet"),k_T_l1done&amp;" of "&amp;k_T_l1app&amp;" non-negotiables")</f>
        <v/>
      </c>
      <c r="E9" s="30">
        <f>k_Status7</f>
        <v/>
      </c>
      <c r="H9" s="30">
        <f>k_Status30</f>
        <v/>
      </c>
      <c r="K9" s="31">
        <f>"Green ≥85 · Good 70–84 · Attention 50–69 · Reset &lt;50"</f>
        <v/>
      </c>
      <c r="N9" s="30">
        <f>IF(ISNUMBER(k_T_weight),"today "&amp;TEXT(k_T_weight,"0.0")&amp;" kg","no weigh-in today")</f>
        <v/>
      </c>
      <c r="Q9" s="30">
        <f>k_RateFlag</f>
        <v/>
      </c>
      <c r="T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4" customHeight="1">
      <c r="A11" s="1" t="n"/>
      <c r="B11" s="32">
        <f>"TODAY  ·  "&amp;UPPER(TEXT(AsOf,"dddd"))&amp;"   ·   06:00 wake + reset   ·   06:30 "&amp;k_PlanT&amp;"   ·   10:00–20:00 work   ·   "&amp;k_PlanR&amp;"   ·   22:00 lights out"</f>
        <v/>
      </c>
      <c r="T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8" customHeight="1">
      <c r="A13" s="1" t="n"/>
      <c r="B13" s="33" t="inlineStr">
        <is>
          <t>TODAY</t>
        </is>
      </c>
      <c r="T13" s="1" t="n"/>
    </row>
    <row r="14" ht="18" customHeight="1">
      <c r="A14" s="1" t="n"/>
      <c r="B14" s="34" t="inlineStr">
        <is>
          <t>BODY</t>
        </is>
      </c>
      <c r="F14" s="35" t="inlineStr">
        <is>
          <t>MIND</t>
        </is>
      </c>
      <c r="I14" s="36" t="inlineStr">
        <is>
          <t>SPIRIT</t>
        </is>
      </c>
      <c r="L14" s="37" t="inlineStr">
        <is>
          <t>LIFE</t>
        </is>
      </c>
      <c r="P14" s="38" t="inlineStr">
        <is>
          <t>RECOVERY</t>
        </is>
      </c>
      <c r="T14" s="1" t="n"/>
    </row>
    <row r="15" ht="18" customHeight="1">
      <c r="A15" s="1" t="n"/>
      <c r="B15" s="39" t="inlineStr">
        <is>
          <t>Weight</t>
        </is>
      </c>
      <c r="D15" s="40">
        <f>IF(ISNUMBER(k_T_weight),TEXT(k_T_weight,"0.0")&amp;" kg","—")</f>
        <v/>
      </c>
      <c r="F15" s="39" t="inlineStr">
        <is>
          <t>Read / learn</t>
        </is>
      </c>
      <c r="H15" s="40">
        <f>IF(k_T_read=1,"✓ done",IF(k_T_read="","—","○ open"))</f>
        <v/>
      </c>
      <c r="I15" s="39" t="inlineStr">
        <is>
          <t>Prayer + Word</t>
        </is>
      </c>
      <c r="K15" s="40">
        <f>IF(k_T_pray=1,"✓ done",IF(k_T_pray="","—","○ open"))</f>
        <v/>
      </c>
      <c r="L15" s="39" t="inlineStr">
        <is>
          <t>Top 3 set</t>
        </is>
      </c>
      <c r="N15" s="40">
        <f>IF(k_T_top3=1,"✓ done",IF(k_T_top3="","—","○ open"))</f>
        <v/>
      </c>
      <c r="P15" s="39" t="inlineStr">
        <is>
          <t>Sleep</t>
        </is>
      </c>
      <c r="R15" s="40">
        <f>IF(ISNUMBER(k_T_sleeph),TEXT(k_T_sleeph,"0.0")&amp;" h","—")</f>
        <v/>
      </c>
      <c r="T15" s="1" t="n"/>
    </row>
    <row r="16" ht="18" customHeight="1">
      <c r="A16" s="1" t="n"/>
      <c r="B16" s="39" t="inlineStr">
        <is>
          <t>Steps</t>
        </is>
      </c>
      <c r="D16" s="40">
        <f>IF(ISNUMBER(k_T_steps),TEXT(k_T_steps,"#,##0")&amp;" / "&amp;TEXT(k_T_stepT,"#,##0"),"— / "&amp;TEXT(k_T_stepT,"#,##0"))</f>
        <v/>
      </c>
      <c r="F16" s="39" t="inlineStr">
        <is>
          <t>Deep work</t>
        </is>
      </c>
      <c r="H16" s="40">
        <f>IF(k_T_deep=1,"✓ done",IF(k_T_deep="","—","○ open"))</f>
        <v/>
      </c>
      <c r="I16" s="39" t="inlineStr">
        <is>
          <t>Church · wk</t>
        </is>
      </c>
      <c r="K16" s="40">
        <f>IF(k_Church7&gt;0,"✓ "&amp;k_Church7,"○ 0")</f>
        <v/>
      </c>
      <c r="L16" s="39" t="inlineStr">
        <is>
          <t>Fiancée time</t>
        </is>
      </c>
      <c r="N16" s="40">
        <f>IF(k_T_love=1,"✓ done",IF(k_T_love="","—","○ open"))</f>
        <v/>
      </c>
      <c r="P16" s="39" t="inlineStr">
        <is>
          <t>Lights out</t>
        </is>
      </c>
      <c r="R16" s="40">
        <f>IF(k_T_sleep=1,"✓ done",IF(k_T_sleep="","—","○ open"))</f>
        <v/>
      </c>
      <c r="T16" s="1" t="n"/>
    </row>
    <row r="17" ht="18" customHeight="1">
      <c r="A17" s="1" t="n"/>
      <c r="B17" s="39" t="inlineStr">
        <is>
          <t>Workout</t>
        </is>
      </c>
      <c r="D17" s="40">
        <f>IF(k_T_move=1,"✓ done",IF(k_T_move="","—","○ open"))</f>
        <v/>
      </c>
      <c r="F17" s="39" t="inlineStr">
        <is>
          <t>Med / journal</t>
        </is>
      </c>
      <c r="H17" s="40">
        <f>IF(k_T_med=1,"✓ done",IF(k_T_med="","—","○ open"))</f>
        <v/>
      </c>
      <c r="I17" s="39" t="inlineStr">
        <is>
          <t>Prayer · 7d</t>
        </is>
      </c>
      <c r="K17" s="40">
        <f>k_Pray7&amp;" / 7"</f>
        <v/>
      </c>
      <c r="L17" s="39" t="inlineStr">
        <is>
          <t>Son · this week</t>
        </is>
      </c>
      <c r="N17" s="40">
        <f>IF(k_Son7&gt;0,"✓ "&amp;k_Son7,"○ 0")</f>
        <v/>
      </c>
      <c r="P17" s="39" t="inlineStr">
        <is>
          <t>Energy</t>
        </is>
      </c>
      <c r="R17" s="40">
        <f>IF(ISNUMBER(k_T_energy),TEXT(k_T_energy,"0")&amp;"/10","—")</f>
        <v/>
      </c>
      <c r="T17" s="1" t="n"/>
    </row>
    <row r="18" ht="18" customHeight="1">
      <c r="A18" s="1" t="n"/>
      <c r="B18" s="39" t="inlineStr">
        <is>
          <t>Protein</t>
        </is>
      </c>
      <c r="D18" s="40">
        <f>IF(ISNUMBER(k_T_protein),TEXT(k_T_protein,"0")&amp;" / "&amp;ProtTarget&amp;" g","— / "&amp;ProtTarget&amp;" g")</f>
        <v/>
      </c>
      <c r="F18" s="39" t="inlineStr">
        <is>
          <t>Mood</t>
        </is>
      </c>
      <c r="H18" s="40">
        <f>IF(ISNUMBER(k_T_mood),TEXT(k_T_mood,"0")&amp;"/10","—")</f>
        <v/>
      </c>
      <c r="I18" s="9" t="n"/>
      <c r="J18" s="9" t="n"/>
      <c r="K18" s="9" t="n"/>
      <c r="L18" s="39" t="inlineStr">
        <is>
          <t>Family · this week</t>
        </is>
      </c>
      <c r="N18" s="40">
        <f>IF(k_Family7&gt;0,"✓ "&amp;k_Family7,"○ 0")</f>
        <v/>
      </c>
      <c r="P18" s="39" t="inlineStr">
        <is>
          <t>Stress</t>
        </is>
      </c>
      <c r="R18" s="40">
        <f>IF(ISNUMBER(k_T_stress),TEXT(k_T_stress,"0")&amp;"/10","—")</f>
        <v/>
      </c>
      <c r="T18" s="1" t="n"/>
    </row>
    <row r="19" ht="18" customHeight="1">
      <c r="A19" s="1" t="n"/>
      <c r="B19" s="39" t="inlineStr">
        <is>
          <t>Water</t>
        </is>
      </c>
      <c r="D19" s="40">
        <f>IF(ISNUMBER(k_T_water),TEXT(k_T_water,"0.0")&amp;" / "&amp;TEXT(WaterHit,"0.0")&amp;" L","— / "&amp;TEXT(WaterHit,"0.0")&amp;" L")</f>
        <v/>
      </c>
      <c r="F19" s="9" t="n"/>
      <c r="G19" s="9" t="n"/>
      <c r="H19" s="9" t="n"/>
      <c r="I19" s="9" t="n"/>
      <c r="J19" s="9" t="n"/>
      <c r="K19" s="9" t="n"/>
      <c r="L19" s="39" t="inlineStr">
        <is>
          <t>Home reset</t>
        </is>
      </c>
      <c r="N19" s="40">
        <f>IF(k_T_home=1,"✓ done",IF(k_T_home="","—","○ open"))</f>
        <v/>
      </c>
      <c r="P19" s="39" t="inlineStr">
        <is>
          <t>Recovery · 7d</t>
        </is>
      </c>
      <c r="R19" s="40">
        <f>IF(ISNUMBER(k_Recovery),k_Recovery&amp;" / 100","—")</f>
        <v/>
      </c>
      <c r="T19" s="1" t="n"/>
    </row>
    <row r="20" ht="18" customHeight="1">
      <c r="A20" s="1" t="n"/>
      <c r="B20" s="39" t="inlineStr">
        <is>
          <t>Calories</t>
        </is>
      </c>
      <c r="D20" s="40">
        <f>IF(ISNUMBER(k_T_kcal),TEXT(k_T_kcal,"#,##0"),"—")</f>
        <v/>
      </c>
      <c r="F20" s="9" t="n"/>
      <c r="G20" s="9" t="n"/>
      <c r="H20" s="9" t="n"/>
      <c r="I20" s="9" t="n"/>
      <c r="J20" s="9" t="n"/>
      <c r="K20" s="9" t="n"/>
      <c r="L20" s="39" t="inlineStr">
        <is>
          <t>Shutdown</t>
        </is>
      </c>
      <c r="N20" s="40">
        <f>IF(k_T_shut=1,"✓ done",IF(k_T_shut="","—","○ open"))</f>
        <v/>
      </c>
      <c r="P20" s="9" t="n"/>
      <c r="Q20" s="9" t="n"/>
      <c r="R20" s="9" t="n"/>
      <c r="S20" s="9" t="n"/>
      <c r="T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8" customHeight="1">
      <c r="A22" s="1" t="n"/>
      <c r="B22" s="41" t="inlineStr">
        <is>
          <t>SMART COACH · adaptive recommendations</t>
        </is>
      </c>
      <c r="M22" s="1" t="n"/>
      <c r="N22" s="42" t="inlineStr">
        <is>
          <t>SYSTEM CHECK</t>
        </is>
      </c>
      <c r="T22" s="1" t="n"/>
    </row>
    <row r="23" ht="18" customHeight="1">
      <c r="A23" s="1" t="n"/>
      <c r="B23" s="43">
        <f>IF(k_Mode="S","🤒 Sick-day rule: rest, fluids, protein-conscious food, sleep. No hard training, no deficit, no forced cardio. Resume gradually.","✓ Not a sick day.")</f>
        <v/>
      </c>
      <c r="M23" s="1" t="n"/>
      <c r="N23" s="44">
        <f>IF(NOT(ISNUMBER(k_T_r7)),"Start logging",IF(k_L1low&gt;=3,"The system is too complicated",IF(k_T_r7&lt;Band3,"Reset week, not a failure",IF(k_T_r7&lt;Band2,"Missed a few habits",IF(AND(ISNUMBER(k_Y_score),k_Y_score&lt;0.5),"One off day","System working")))))</f>
        <v/>
      </c>
      <c r="T23" s="1" t="n"/>
    </row>
    <row r="24" ht="18" customHeight="1">
      <c r="A24" s="1" t="n"/>
      <c r="B24" s="45">
        <f>IF(NOT(ISNUMBER(k_T_sleeph)),"· Log sleep hours to unlock recovery advice.",IF(k_T_sleeph&lt;SleepLow,"⚠ Under "&amp;SleepLow&amp;" h sleep → make today a recovery day: walk + mobility, or cut the session to 2 easy sets per move.","✓ Sleep "&amp;TEXT(k_T_sleeph,"0.0")&amp;" h, train as planned."))</f>
        <v/>
      </c>
      <c r="M24" s="1" t="n"/>
      <c r="T24" s="1" t="n"/>
    </row>
    <row r="25" ht="18" customHeight="1">
      <c r="A25" s="1" t="n"/>
      <c r="B25" s="43">
        <f>IF(NOT(ISNUMBER(k_T_protein)),"· Log protein to get a dinner nudge.",IF(k_T_protein&lt;ProtDinner,"⚠ Protein at "&amp;k_T_protein&amp;" g → make dinner high-protein: chicken, eggs, lean beef, dholl + a whey shake (+25 g).","✓ Protein on track ("&amp;k_T_protein&amp;" g)."))</f>
        <v/>
      </c>
      <c r="M25" s="1" t="n"/>
      <c r="T25" s="1" t="n"/>
    </row>
    <row r="26" ht="18" customHeight="1">
      <c r="A26" s="1" t="n"/>
      <c r="B26" s="45">
        <f>IF(AND(AsOf=TODAY(),HOUR(NOW())&gt;=18,ISNUMBER(k_T_steps),k_T_steps&lt;StepsAlert),"⚠ Under "&amp;TEXT(StepsAlert,"#,##0")&amp;" steps after 18:00 → 20–30 min walk (with your fiancée or son counts twice).",IF(ISNUMBER(k_T_steps),"✓ Steps "&amp;TEXT(k_T_steps,"#,##0")&amp;" of "&amp;TEXT(k_T_stepT,"#,##0")&amp;" target.","· Steps target today: "&amp;TEXT(k_T_stepT,"#,##0")&amp;"."))</f>
        <v/>
      </c>
      <c r="M26" s="1" t="n"/>
      <c r="N26" s="46">
        <f>IF(NOT(ISNUMBER(k_T_r7)),"Tick today's habits on the month tab. The scores appear from the first logged day.",IF(k_L1low&gt;=3,"3+ non-negotiables under 50% this week. That's a design problem, not a character problem. Run Minimum Viable Days for 7 days and drop one high-value habit.",IF(k_T_r7&lt;Band3,"Rolling 7-day under 50%. Don't add motivation tactics. Shrink to the Minimum Viable Day until it's back above 70%.",IF(k_T_r7&lt;Band2,"You missed some habits. That's data, not failure. Pick the one that matters most and protect it tomorrow.",IF(AND(ISNUMBER(k_Y_score),k_Y_score&lt;0.5),"Yesterday was low, the rolling average is still healthy. Restart today. No make-up work, no punishment.","Consistency &gt; intensity. Keep the system the same size; don't add habits just because it's going well.")))))</f>
        <v/>
      </c>
      <c r="T26" s="1" t="n"/>
    </row>
    <row r="27" ht="18" customHeight="1">
      <c r="A27" s="1" t="n"/>
      <c r="B27" s="43">
        <f>IF(AND(k_Y_strday=1,k_Y_active=1,k_Y_mode&lt;&gt;"S",k_Y_str=0),"⚠ Yesterday's session was missed → don't reshuffle the week. Do the 20-minute minimum workout today (Plan &amp; Routines).","✓ Training on plan. Today: "&amp;k_PlanT&amp;".")</f>
        <v/>
      </c>
      <c r="M27" s="1" t="n"/>
      <c r="T27" s="1" t="n"/>
    </row>
    <row r="28" ht="18" customHeight="1">
      <c r="A28" s="1" t="n"/>
      <c r="B28" s="45">
        <f>IF(AND(ISNUMBER(k_T_w7),ISNUMBER(k_W7_m14)),IF(k_T_w7&gt;=k_W7_m14,"⚠ 7-day average hasn't dropped in 14 days → trim 150–200 kcal or add ~2,000 steps a day. One change only.","✓ Weight trend moving the right way."),"· The weight rules switch on after 2 weeks of weigh-ins.")</f>
        <v/>
      </c>
      <c r="M28" s="1" t="n"/>
      <c r="T28" s="1" t="n"/>
    </row>
    <row r="29" ht="18" customHeight="1">
      <c r="A29" s="1" t="n"/>
      <c r="B29" s="43">
        <f>IF(k_LossTooFast=1,"⚠ Losing more than 1% bodyweight a week, twice in a row → add 150–200 kcal and check recovery. Fat loss, not muscle loss.",IF(ISNUMBER(k_Rate),"✓ Rate of loss is sustainable (target 0.4–0.8 kg/week).","· The pace check starts after 2 weeks of weigh-ins."))</f>
        <v/>
      </c>
      <c r="M29" s="1" t="n"/>
      <c r="T29" s="1" t="n"/>
    </row>
    <row r="30" ht="18" customHeight="1">
      <c r="A30" s="1" t="n"/>
      <c r="B30" s="45">
        <f>IF(NOT(ISNUMBER(k_Prot7)),"· Protein average appears after a few logged days.",IF(k_Prot7&lt;ProtHit,"⚠ Protein averaging "&amp;TEXT(k_Prot7,"0")&amp;" g this week → muscle-preservation risk. Add one whey serving or an extra egg/chicken portion.","✓ Protein averaging "&amp;TEXT(k_Prot7,"0")&amp;" g."))</f>
        <v/>
      </c>
      <c r="M30" s="1" t="n"/>
      <c r="N30" s="39" t="inlineStr">
        <is>
          <t>Non-negotiables · 7d</t>
        </is>
      </c>
      <c r="R30" s="47">
        <f>k_L1avg7</f>
        <v/>
      </c>
      <c r="T30" s="1" t="n"/>
    </row>
    <row r="31" ht="18" customHeight="1">
      <c r="A31" s="1" t="n"/>
      <c r="B31" s="43">
        <f>IF(NOT(ISNUMBER(k_Sleep7)),"· Sleep average appears after a few logged nights.",IF(k_Sleep7&lt;SleepMin,"⚠ Sleep averaging "&amp;TEXT(k_Sleep7,"0.0")&amp;" h → protect 22:00 lights out before adding anything else.","✓ Sleep averaging "&amp;TEXT(k_Sleep7,"0.0")&amp;" h."))</f>
        <v/>
      </c>
      <c r="M31" s="1" t="n"/>
      <c r="N31" s="39" t="inlineStr">
        <is>
          <t>High-value vs targets · 7d</t>
        </is>
      </c>
      <c r="R31" s="47">
        <f>k_L2avg7</f>
        <v/>
      </c>
      <c r="T31" s="1" t="n"/>
    </row>
    <row r="32" ht="18" customHeight="1">
      <c r="A32" s="1" t="n"/>
      <c r="B32" s="45">
        <f>IF(AND(k_Str14&gt;=3,ISNUMBER(k_ProgRate14),k_ProgRate14&lt;0.25),"⚠ Strength is stalling (progress in "&amp;TEXT(k_ProgRate14,"0%")&amp;" of sessions) → check sleep, protein and calories before pushing harder.",IF(ISNUMBER(k_ProgRate14),"✓ Progressive overload: "&amp;TEXT(k_ProgRate14,"0%")&amp;" of sessions improved something.","· Tick Progression achieved after each session to track overload."))</f>
        <v/>
      </c>
      <c r="M32" s="1" t="n"/>
      <c r="N32" s="39" t="inlineStr">
        <is>
          <t>Non-negotiables under 50%</t>
        </is>
      </c>
      <c r="R32" s="48">
        <f>k_L1low</f>
        <v/>
      </c>
      <c r="T32" s="1" t="n"/>
    </row>
    <row r="33" ht="18" customHeight="1">
      <c r="A33" s="1" t="n"/>
      <c r="B33" s="43">
        <f>IF(AND(ISNUMBER(k_Recovery),k_Recovery&lt;RecoveryLow),"⚠ Recovery score "&amp;k_Recovery&amp;" → lighter training this week: one set fewer, stop 2–3 reps before failure.",IF(ISNUMBER(k_Recovery),"✓ Recovery score "&amp;k_Recovery&amp;" / 100.","· Recovery score appears once you log sleep, energy and stress."))</f>
        <v/>
      </c>
      <c r="M33" s="1" t="n"/>
      <c r="N33" s="39" t="inlineStr">
        <is>
          <t>Recovery score · 7d</t>
        </is>
      </c>
      <c r="R33" s="48">
        <f>IF(ISNUMBER(k_Recovery),k_Recovery,"—")</f>
        <v/>
      </c>
      <c r="T33" s="1" t="n"/>
    </row>
    <row r="34" ht="18" customHeight="1">
      <c r="A34" s="1" t="n"/>
      <c r="B34" s="45">
        <f>IF(k_Cardio7&gt;4,"⚠ "&amp;k_Cardio7&amp;" cardio sessions this week → too much cardio eats into recovery and muscle. Keep it to 2–3.","✓ Cardio "&amp;k_Cardio7&amp;" / 2–3 this week.")</f>
        <v/>
      </c>
      <c r="M34" s="1" t="n"/>
      <c r="N34" s="39" t="inlineStr">
        <is>
          <t>Days logged · 7d</t>
        </is>
      </c>
      <c r="R34" s="40">
        <f>k_Logged7&amp;" / 7"</f>
        <v/>
      </c>
      <c r="T34" s="1" t="n"/>
    </row>
    <row r="35" ht="18" customHeight="1">
      <c r="A35" s="1" t="n"/>
      <c r="B35" s="43">
        <f>IF(AND(ISNUMBER(k_Energy7),k_Energy7&lt;=4),"⚠ Energy low all week → treat it as a recovery week. If it keeps happening, talk to a doctor.",IF(ISNUMBER(k_Energy7),"✓ Energy "&amp;TEXT(k_Energy7,"0.0")&amp;" / 10 this week.","· Log energy 1–10 to track fatigue."))</f>
        <v/>
      </c>
      <c r="M35" s="1" t="n"/>
      <c r="N35" s="49" t="inlineStr">
        <is>
          <t>MINIMUM VIABLE DAY  ·  water · 10-min walk · protein as close as possible · 5-min mobility · prayer · 10 min with your fiancée · lights out on time</t>
        </is>
      </c>
      <c r="T35" s="1" t="n"/>
    </row>
    <row r="36" ht="18" customHeight="1">
      <c r="A36" s="1" t="n"/>
      <c r="B36" s="45">
        <f>IF(k_L1low&gt;=3,"⚠ "&amp;k_L1low&amp;" non-negotiables slipped this week → SIMPLIFY THIS WEEK: run Minimum Viable Days, skip the optional list, add nothing new.","✓ No need to simplify. Keep the system the same size.")</f>
        <v/>
      </c>
      <c r="M36" s="1" t="n"/>
      <c r="T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8" customHeight="1">
      <c r="A38" s="1" t="n"/>
      <c r="B38" s="50" t="inlineStr">
        <is>
          <t>THIS WEEK · last 7 days</t>
        </is>
      </c>
      <c r="K38" s="50" t="inlineStr">
        <is>
          <t>THIS MONTH · last 30 days</t>
        </is>
      </c>
      <c r="T38" s="1" t="n"/>
    </row>
    <row r="39" ht="18" customHeight="1">
      <c r="A39" s="1" t="n"/>
      <c r="B39" s="51" t="inlineStr">
        <is>
          <t>Weight trend (7-day avg vs last week)</t>
        </is>
      </c>
      <c r="G39" s="52">
        <f>IF(ISNUMBER(k_Rate),TEXT(k_Rate,"+0.00;-0.00")&amp;" kg · "&amp;k_RateFlag,"—")</f>
        <v/>
      </c>
      <c r="K39" s="51" t="inlineStr">
        <is>
          <t>Weight change (7-day avg)</t>
        </is>
      </c>
      <c r="P39" s="52">
        <f>IF(ISNUMBER(k_Change30),TEXT(k_Change30,"+0.0;-0.0")&amp;" kg","—")</f>
        <v/>
      </c>
      <c r="T39" s="1" t="n"/>
    </row>
    <row r="40" ht="18" customHeight="1">
      <c r="A40" s="1" t="n"/>
      <c r="B40" s="39" t="inlineStr">
        <is>
          <t>Strength sessions</t>
        </is>
      </c>
      <c r="G40" s="40">
        <f>k_Str7&amp;" / 4"</f>
        <v/>
      </c>
      <c r="K40" s="39" t="inlineStr">
        <is>
          <t>Waist (latest)</t>
        </is>
      </c>
      <c r="P40" s="40">
        <f>IF(ISNUMBER(k_Waist),TEXT(k_Waist,"0.0")&amp;" cm"&amp;IF(ISNUMBER(k_WaistPrev),"  ("&amp;TEXT(k_Waist-k_WaistPrev,"+0.0;-0.0")&amp;")",""),"measure every 2 weeks")</f>
        <v/>
      </c>
      <c r="T40" s="1" t="n"/>
    </row>
    <row r="41" ht="18" customHeight="1">
      <c r="A41" s="1" t="n"/>
      <c r="B41" s="51" t="inlineStr">
        <is>
          <t>Progression rate (14 days)</t>
        </is>
      </c>
      <c r="G41" s="52">
        <f>IF(ISNUMBER(k_ProgRate14),TEXT(k_ProgRate14,"0%"),"—")</f>
        <v/>
      </c>
      <c r="K41" s="51" t="inlineStr">
        <is>
          <t>Progress photos</t>
        </is>
      </c>
      <c r="P41" s="52">
        <f>IF(k_Photo30&gt;0,"✓ taken","○ due this month")</f>
        <v/>
      </c>
      <c r="T41" s="1" t="n"/>
    </row>
    <row r="42" ht="18" customHeight="1">
      <c r="A42" s="1" t="n"/>
      <c r="B42" s="39" t="inlineStr">
        <is>
          <t>Core · calves · cardio</t>
        </is>
      </c>
      <c r="G42" s="40">
        <f>k_Core7&amp;"/3 · "&amp;k_Calf7&amp;"/3 · "&amp;k_Cardio7&amp;"/2"</f>
        <v/>
      </c>
      <c r="K42" s="39" t="inlineStr">
        <is>
          <t>Strength sessions</t>
        </is>
      </c>
      <c r="P42" s="40">
        <f>k_Str30&amp;" (target ~17)"</f>
        <v/>
      </c>
      <c r="T42" s="1" t="n"/>
    </row>
    <row r="43" ht="18" customHeight="1">
      <c r="A43" s="1" t="n"/>
      <c r="B43" s="51" t="inlineStr">
        <is>
          <t>Protein average</t>
        </is>
      </c>
      <c r="G43" s="52">
        <f>IF(ISNUMBER(k_Prot7),TEXT(k_Prot7,"0")&amp;" g / "&amp;ProtTarget,"—")</f>
        <v/>
      </c>
      <c r="K43" s="51" t="inlineStr">
        <is>
          <t>Reading / learning days</t>
        </is>
      </c>
      <c r="P43" s="52">
        <f>k_Read30&amp;" / 30"</f>
        <v/>
      </c>
      <c r="T43" s="1" t="n"/>
    </row>
    <row r="44" ht="18" customHeight="1">
      <c r="A44" s="1" t="n"/>
      <c r="B44" s="39" t="inlineStr">
        <is>
          <t>Steps average</t>
        </is>
      </c>
      <c r="G44" s="40">
        <f>IF(ISNUMBER(k_Steps7),TEXT(k_Steps7,"#,##0")&amp;" / "&amp;TEXT(k_T_stepT,"#,##0"),"—")</f>
        <v/>
      </c>
      <c r="K44" s="39" t="inlineStr">
        <is>
          <t>Prayer days</t>
        </is>
      </c>
      <c r="P44" s="40">
        <f>k_Pray30&amp;" / 30"</f>
        <v/>
      </c>
      <c r="T44" s="1" t="n"/>
    </row>
    <row r="45" ht="18" customHeight="1">
      <c r="A45" s="1" t="n"/>
      <c r="B45" s="51" t="inlineStr">
        <is>
          <t>Sleep average</t>
        </is>
      </c>
      <c r="G45" s="52">
        <f>IF(ISNUMBER(k_Sleep7),TEXT(k_Sleep7,"0.0")&amp;" h","—")</f>
        <v/>
      </c>
      <c r="K45" s="51" t="inlineStr">
        <is>
          <t>Goal weight (if muscle kept)</t>
        </is>
      </c>
      <c r="P45" s="52">
        <f>TEXT(GoalWeight,"0.0")&amp;" kg"</f>
        <v/>
      </c>
      <c r="T45" s="1" t="n"/>
    </row>
    <row r="46" ht="18" customHeight="1">
      <c r="A46" s="1" t="n"/>
      <c r="B46" s="39" t="inlineStr">
        <is>
          <t>Couple time · son · church · meal prep</t>
        </is>
      </c>
      <c r="G46" s="40">
        <f>k_Date7&amp;" · "&amp;k_Son7&amp;" · "&amp;k_Church7&amp;" · "&amp;k_Prep7</f>
        <v/>
      </c>
      <c r="K46" s="39" t="inlineStr">
        <is>
          <t>Weeks to goal at this pace</t>
        </is>
      </c>
      <c r="P46" s="40">
        <f>IF(ISNUMBER(k_WeeksToGoal),TEXT(k_WeeksToGoal,"0")&amp;" weeks","needs a downward trend")</f>
        <v/>
      </c>
      <c r="T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18" customHeight="1">
      <c r="A48" s="1" t="n"/>
      <c r="B48" s="50" t="inlineStr">
        <is>
          <t>PILLARS · 30-day consistency (high-value habits are scored against their weekly targets)</t>
        </is>
      </c>
      <c r="T48" s="1" t="n"/>
    </row>
    <row r="49" ht="18" customHeight="1">
      <c r="A49" s="1" t="n"/>
      <c r="B49" s="53" t="inlineStr">
        <is>
          <t>BODY</t>
        </is>
      </c>
      <c r="E49" s="54">
        <f>IF(ISNUMBER(I49),REPT("█",ROUND(MAX(0,MIN(1,I49))*16,0))&amp;REPT("░",16-ROUND(MAX(0,MIN(1,I49))*16,0)),"")</f>
        <v/>
      </c>
      <c r="I49" s="55">
        <f>IFERROR(AVERAGEIFS('Habit Library'!$M$6:$M$40,'Habit Library'!$D$6:$D$40,"Body"),"")</f>
        <v/>
      </c>
      <c r="K49" s="56" t="inlineStr">
        <is>
          <t>SPIRIT</t>
        </is>
      </c>
      <c r="N49" s="57">
        <f>IF(ISNUMBER(R49),REPT("█",ROUND(MAX(0,MIN(1,R49))*16,0))&amp;REPT("░",16-ROUND(MAX(0,MIN(1,R49))*16,0)),"")</f>
        <v/>
      </c>
      <c r="R49" s="55">
        <f>IFERROR(AVERAGEIFS('Habit Library'!$M$6:$M$40,'Habit Library'!$D$6:$D$40,"Spirit"),"")</f>
        <v/>
      </c>
      <c r="T49" s="1" t="n"/>
    </row>
    <row r="50" ht="18" customHeight="1">
      <c r="A50" s="1" t="n"/>
      <c r="B50" s="58" t="inlineStr">
        <is>
          <t>HEALTH</t>
        </is>
      </c>
      <c r="E50" s="59">
        <f>IF(ISNUMBER(I50),REPT("█",ROUND(MAX(0,MIN(1,I50))*16,0))&amp;REPT("░",16-ROUND(MAX(0,MIN(1,I50))*16,0)),"")</f>
        <v/>
      </c>
      <c r="I50" s="55">
        <f>IFERROR(AVERAGEIFS('Habit Library'!$M$6:$M$40,'Habit Library'!$D$6:$D$40,"Health"),"")</f>
        <v/>
      </c>
      <c r="K50" s="60" t="inlineStr">
        <is>
          <t>WORK</t>
        </is>
      </c>
      <c r="N50" s="61">
        <f>IF(ISNUMBER(R50),REPT("█",ROUND(MAX(0,MIN(1,R50))*16,0))&amp;REPT("░",16-ROUND(MAX(0,MIN(1,R50))*16,0)),"")</f>
        <v/>
      </c>
      <c r="R50" s="55">
        <f>IFERROR(AVERAGEIFS('Habit Library'!$M$6:$M$40,'Habit Library'!$D$6:$D$40,"Work"),"")</f>
        <v/>
      </c>
      <c r="T50" s="1" t="n"/>
    </row>
    <row r="51" ht="18" customHeight="1">
      <c r="A51" s="1" t="n"/>
      <c r="B51" s="62" t="inlineStr">
        <is>
          <t>POSTURE</t>
        </is>
      </c>
      <c r="E51" s="63">
        <f>IF(ISNUMBER(I51),REPT("█",ROUND(MAX(0,MIN(1,I51))*16,0))&amp;REPT("░",16-ROUND(MAX(0,MIN(1,I51))*16,0)),"")</f>
        <v/>
      </c>
      <c r="I51" s="55">
        <f>IFERROR(AVERAGEIFS('Habit Library'!$M$6:$M$40,'Habit Library'!$D$6:$D$40,"Posture"),"")</f>
        <v/>
      </c>
      <c r="K51" s="64" t="inlineStr">
        <is>
          <t>RELATIONSHIPS</t>
        </is>
      </c>
      <c r="N51" s="65">
        <f>IF(ISNUMBER(R51),REPT("█",ROUND(MAX(0,MIN(1,R51))*16,0))&amp;REPT("░",16-ROUND(MAX(0,MIN(1,R51))*16,0)),"")</f>
        <v/>
      </c>
      <c r="R51" s="55">
        <f>IFERROR(AVERAGEIFS('Habit Library'!$M$6:$M$40,'Habit Library'!$D$6:$D$40,"Relationships"),"")</f>
        <v/>
      </c>
      <c r="T51" s="1" t="n"/>
    </row>
    <row r="52" ht="18" customHeight="1">
      <c r="A52" s="1" t="n"/>
      <c r="B52" s="66" t="inlineStr">
        <is>
          <t>MIND</t>
        </is>
      </c>
      <c r="E52" s="67">
        <f>IF(ISNUMBER(I52),REPT("█",ROUND(MAX(0,MIN(1,I52))*16,0))&amp;REPT("░",16-ROUND(MAX(0,MIN(1,I52))*16,0)),"")</f>
        <v/>
      </c>
      <c r="I52" s="55">
        <f>IFERROR(AVERAGEIFS('Habit Library'!$M$6:$M$40,'Habit Library'!$D$6:$D$40,"Mind"),"")</f>
        <v/>
      </c>
      <c r="K52" s="68" t="inlineStr">
        <is>
          <t>LIFE ADMIN</t>
        </is>
      </c>
      <c r="N52" s="69">
        <f>IF(ISNUMBER(R52),REPT("█",ROUND(MAX(0,MIN(1,R52))*16,0))&amp;REPT("░",16-ROUND(MAX(0,MIN(1,R52))*16,0)),"")</f>
        <v/>
      </c>
      <c r="R52" s="55">
        <f>IFERROR(AVERAGEIFS('Habit Library'!$M$6:$M$40,'Habit Library'!$D$6:$D$40,"Life admin"),"")</f>
        <v/>
      </c>
      <c r="T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18" customHeight="1">
      <c r="A54" s="1" t="n"/>
      <c r="B54" s="56" t="inlineStr">
        <is>
          <t>FOUNDATION SCORE · last 30 days</t>
        </is>
      </c>
      <c r="K54" s="66" t="inlineStr">
        <is>
          <t>WEIGHT · daily vs 7-day average · 60 days</t>
        </is>
      </c>
      <c r="T54" s="1" t="n"/>
    </row>
    <row r="55" ht="18" customHeight="1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1" t="n"/>
    </row>
    <row r="56" ht="18" customHeight="1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1" t="n"/>
    </row>
    <row r="57" ht="18" customHeight="1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1" t="n"/>
    </row>
    <row r="58" ht="18" customHeight="1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1" t="n"/>
    </row>
    <row r="59" ht="18" customHeight="1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1" t="n"/>
    </row>
    <row r="60" ht="18" customHeight="1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1" t="n"/>
    </row>
    <row r="61" ht="18" customHeight="1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1" t="n"/>
    </row>
    <row r="62" ht="18" customHeight="1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1" t="n"/>
    </row>
    <row r="63" ht="18" customHeight="1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1" t="n"/>
    </row>
    <row r="64" ht="18" customHeight="1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1" t="n"/>
    </row>
    <row r="65" ht="18" customHeight="1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1" t="n"/>
    </row>
    <row r="66" ht="18" customHeight="1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1" t="n"/>
    </row>
    <row r="67" ht="18" customHeight="1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1" t="n"/>
    </row>
    <row r="68" ht="18" customHeight="1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1" t="n"/>
    </row>
    <row r="69" ht="18" customHeight="1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 ht="18" customHeight="1">
      <c r="A71" s="1" t="n"/>
      <c r="B71" s="58" t="inlineStr">
        <is>
          <t>STEPS vs adaptive target · 14 days</t>
        </is>
      </c>
      <c r="K71" s="53" t="inlineStr">
        <is>
          <t>SLEEP · ENERGY · STRESS · MOOD · 14 days</t>
        </is>
      </c>
      <c r="T71" s="1" t="n"/>
    </row>
    <row r="72" ht="18" customHeight="1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1" t="n"/>
    </row>
    <row r="73" ht="18" customHeight="1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1" t="n"/>
    </row>
    <row r="74" ht="18" customHeight="1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1" t="n"/>
    </row>
    <row r="75" ht="18" customHeight="1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1" t="n"/>
    </row>
    <row r="76" ht="18" customHeight="1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1" t="n"/>
    </row>
    <row r="77" ht="18" customHeight="1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1" t="n"/>
    </row>
    <row r="78" ht="18" customHeight="1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1" t="n"/>
    </row>
    <row r="79" ht="18" customHeight="1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1" t="n"/>
    </row>
    <row r="80" ht="18" customHeight="1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1" t="n"/>
    </row>
    <row r="81" ht="18" customHeight="1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1" t="n"/>
    </row>
    <row r="82" ht="18" customHeight="1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1" t="n"/>
    </row>
    <row r="83" ht="18" customHeight="1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1" t="n"/>
    </row>
    <row r="84" ht="18" customHeight="1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1" t="n"/>
    </row>
    <row r="85" ht="18" customHeight="1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1" t="n"/>
    </row>
    <row r="86" ht="18" customHeight="1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1" t="n"/>
    </row>
  </sheetData>
  <mergeCells count="165">
    <mergeCell ref="D20:E20"/>
    <mergeCell ref="L17:M17"/>
    <mergeCell ref="N20:O20"/>
    <mergeCell ref="F16:G16"/>
    <mergeCell ref="N34:Q34"/>
    <mergeCell ref="L19:M19"/>
    <mergeCell ref="B22:L22"/>
    <mergeCell ref="B31:L31"/>
    <mergeCell ref="P42:S42"/>
    <mergeCell ref="B38:J38"/>
    <mergeCell ref="Q6:S6"/>
    <mergeCell ref="B13:S13"/>
    <mergeCell ref="G46:J46"/>
    <mergeCell ref="N49:Q49"/>
    <mergeCell ref="G40:J40"/>
    <mergeCell ref="N3:O3"/>
    <mergeCell ref="R30:S30"/>
    <mergeCell ref="F15:G15"/>
    <mergeCell ref="I16:J16"/>
    <mergeCell ref="B42:F42"/>
    <mergeCell ref="N26:S29"/>
    <mergeCell ref="N9:P9"/>
    <mergeCell ref="K41:O41"/>
    <mergeCell ref="B6:D6"/>
    <mergeCell ref="B23:L23"/>
    <mergeCell ref="B44:F44"/>
    <mergeCell ref="F14:H14"/>
    <mergeCell ref="P44:S44"/>
    <mergeCell ref="K43:O43"/>
    <mergeCell ref="R51:S51"/>
    <mergeCell ref="E51:H51"/>
    <mergeCell ref="R32:S32"/>
    <mergeCell ref="I52:J52"/>
    <mergeCell ref="P46:S46"/>
    <mergeCell ref="B14:E14"/>
    <mergeCell ref="L14:O14"/>
    <mergeCell ref="N15:O15"/>
    <mergeCell ref="K9:M9"/>
    <mergeCell ref="P39:S39"/>
    <mergeCell ref="P15:Q15"/>
    <mergeCell ref="B33:L33"/>
    <mergeCell ref="N22:S22"/>
    <mergeCell ref="R18:S18"/>
    <mergeCell ref="R33:S33"/>
    <mergeCell ref="B32:L32"/>
    <mergeCell ref="E49:H49"/>
    <mergeCell ref="B35:L35"/>
    <mergeCell ref="B16:C16"/>
    <mergeCell ref="B11:S11"/>
    <mergeCell ref="N31:Q31"/>
    <mergeCell ref="D19:E19"/>
    <mergeCell ref="I15:J15"/>
    <mergeCell ref="L16:M16"/>
    <mergeCell ref="N16:O16"/>
    <mergeCell ref="B25:L25"/>
    <mergeCell ref="P43:S43"/>
    <mergeCell ref="R19:S19"/>
    <mergeCell ref="B18:C18"/>
    <mergeCell ref="K45:O45"/>
    <mergeCell ref="E6:G6"/>
    <mergeCell ref="B27:L27"/>
    <mergeCell ref="G44:J44"/>
    <mergeCell ref="R34:S34"/>
    <mergeCell ref="B43:F43"/>
    <mergeCell ref="R16:S16"/>
    <mergeCell ref="I14:K14"/>
    <mergeCell ref="N2:O2"/>
    <mergeCell ref="N23:S25"/>
    <mergeCell ref="F18:G18"/>
    <mergeCell ref="B9:D9"/>
    <mergeCell ref="K44:O44"/>
    <mergeCell ref="K46:O46"/>
    <mergeCell ref="F17:G17"/>
    <mergeCell ref="N50:Q50"/>
    <mergeCell ref="K40:O40"/>
    <mergeCell ref="N51:Q51"/>
    <mergeCell ref="L20:M20"/>
    <mergeCell ref="B29:L29"/>
    <mergeCell ref="K49:M49"/>
    <mergeCell ref="B4:M4"/>
    <mergeCell ref="P2:S2"/>
    <mergeCell ref="I17:J17"/>
    <mergeCell ref="G45:J45"/>
    <mergeCell ref="B54:J54"/>
    <mergeCell ref="B15:C15"/>
    <mergeCell ref="N52:Q52"/>
    <mergeCell ref="D15:E15"/>
    <mergeCell ref="B24:L24"/>
    <mergeCell ref="B45:F45"/>
    <mergeCell ref="K54:S54"/>
    <mergeCell ref="B71:J71"/>
    <mergeCell ref="H6:J6"/>
    <mergeCell ref="B26:L26"/>
    <mergeCell ref="E9:G9"/>
    <mergeCell ref="B46:F46"/>
    <mergeCell ref="B7:D8"/>
    <mergeCell ref="R49:S49"/>
    <mergeCell ref="B39:F39"/>
    <mergeCell ref="N7:P8"/>
    <mergeCell ref="E50:H50"/>
    <mergeCell ref="B49:D49"/>
    <mergeCell ref="K71:S71"/>
    <mergeCell ref="L18:M18"/>
    <mergeCell ref="N18:O18"/>
    <mergeCell ref="B17:C17"/>
    <mergeCell ref="D17:E17"/>
    <mergeCell ref="N32:Q32"/>
    <mergeCell ref="B51:D51"/>
    <mergeCell ref="N17:O17"/>
    <mergeCell ref="P41:S41"/>
    <mergeCell ref="E52:H52"/>
    <mergeCell ref="P17:Q17"/>
    <mergeCell ref="G39:J39"/>
    <mergeCell ref="B19:C19"/>
    <mergeCell ref="B50:D50"/>
    <mergeCell ref="B34:L34"/>
    <mergeCell ref="N19:O19"/>
    <mergeCell ref="B28:L28"/>
    <mergeCell ref="R17:S17"/>
    <mergeCell ref="P19:Q19"/>
    <mergeCell ref="K39:O39"/>
    <mergeCell ref="N33:Q33"/>
    <mergeCell ref="I51:J51"/>
    <mergeCell ref="B30:L30"/>
    <mergeCell ref="B20:C20"/>
    <mergeCell ref="H9:J9"/>
    <mergeCell ref="I50:J50"/>
    <mergeCell ref="K51:M51"/>
    <mergeCell ref="R52:S52"/>
    <mergeCell ref="E7:G8"/>
    <mergeCell ref="B48:S48"/>
    <mergeCell ref="Q7:S8"/>
    <mergeCell ref="K50:M50"/>
    <mergeCell ref="P3:S3"/>
    <mergeCell ref="I49:J49"/>
    <mergeCell ref="N30:Q30"/>
    <mergeCell ref="G41:J41"/>
    <mergeCell ref="K52:M52"/>
    <mergeCell ref="R31:S31"/>
    <mergeCell ref="P14:S14"/>
    <mergeCell ref="P45:S45"/>
    <mergeCell ref="R15:S15"/>
    <mergeCell ref="Q9:S9"/>
    <mergeCell ref="N35:S36"/>
    <mergeCell ref="L15:M15"/>
    <mergeCell ref="G43:J43"/>
    <mergeCell ref="N6:P6"/>
    <mergeCell ref="G42:J42"/>
    <mergeCell ref="B2:J3"/>
    <mergeCell ref="D16:E16"/>
    <mergeCell ref="K38:S38"/>
    <mergeCell ref="K6:M6"/>
    <mergeCell ref="P40:S40"/>
    <mergeCell ref="P16:Q16"/>
    <mergeCell ref="R50:S50"/>
    <mergeCell ref="K42:O42"/>
    <mergeCell ref="D18:E18"/>
    <mergeCell ref="N4:S4"/>
    <mergeCell ref="B40:F40"/>
    <mergeCell ref="H7:J8"/>
    <mergeCell ref="P18:Q18"/>
    <mergeCell ref="B52:D52"/>
    <mergeCell ref="B36:L36"/>
    <mergeCell ref="B41:F41"/>
    <mergeCell ref="K7:M8"/>
  </mergeCells>
  <conditionalFormatting sqref="K7:M8">
    <cfRule type="expression" priority="1" dxfId="0" stopIfTrue="1">
      <formula>$K$7="GREEN"</formula>
    </cfRule>
    <cfRule type="expression" priority="2" dxfId="1" stopIfTrue="1">
      <formula>$K$7="GOOD"</formula>
    </cfRule>
    <cfRule type="expression" priority="3" dxfId="2" stopIfTrue="1">
      <formula>$K$7="NEEDS ATTENTION"</formula>
    </cfRule>
    <cfRule type="expression" priority="4" dxfId="3" stopIfTrue="1">
      <formula>$K$7="RESET"</formula>
    </cfRule>
  </conditionalFormatting>
  <conditionalFormatting sqref="E9:J9">
    <cfRule type="expression" priority="5" dxfId="0" stopIfTrue="1">
      <formula>E9="GREEN"</formula>
    </cfRule>
    <cfRule type="expression" priority="6" dxfId="1" stopIfTrue="1">
      <formula>E9="GOOD"</formula>
    </cfRule>
    <cfRule type="expression" priority="7" dxfId="2" stopIfTrue="1">
      <formula>E9="NEEDS ATTENTION"</formula>
    </cfRule>
    <cfRule type="expression" priority="8" dxfId="3" stopIfTrue="1">
      <formula>E9="RESET"</formula>
    </cfRule>
  </conditionalFormatting>
  <conditionalFormatting sqref="B7:J8">
    <cfRule type="expression" priority="9" dxfId="0" stopIfTrue="1">
      <formula>AND(ISNUMBER(B7),B7&gt;=0.85)</formula>
    </cfRule>
    <cfRule type="expression" priority="10" dxfId="1" stopIfTrue="1">
      <formula>AND(ISNUMBER(B7),B7&gt;=0.7)</formula>
    </cfRule>
    <cfRule type="expression" priority="11" dxfId="2" stopIfTrue="1">
      <formula>AND(ISNUMBER(B7),B7&gt;=0.5)</formula>
    </cfRule>
    <cfRule type="expression" priority="12" dxfId="3" stopIfTrue="1">
      <formula>AND(ISNUMBER(B7),B7&lt;0.5)</formula>
    </cfRule>
  </conditionalFormatting>
  <conditionalFormatting sqref="D15:E20">
    <cfRule type="expression" priority="13" dxfId="0" stopIfTrue="1">
      <formula>LEFT(D15,1)="✓"</formula>
    </cfRule>
    <cfRule type="expression" priority="14" dxfId="4" stopIfTrue="1">
      <formula>LEFT(D15,1)="○"</formula>
    </cfRule>
  </conditionalFormatting>
  <conditionalFormatting sqref="H15:H20">
    <cfRule type="expression" priority="15" dxfId="0" stopIfTrue="1">
      <formula>LEFT(H15,1)="✓"</formula>
    </cfRule>
    <cfRule type="expression" priority="16" dxfId="4" stopIfTrue="1">
      <formula>LEFT(H15,1)="○"</formula>
    </cfRule>
  </conditionalFormatting>
  <conditionalFormatting sqref="K15:K20">
    <cfRule type="expression" priority="17" dxfId="0" stopIfTrue="1">
      <formula>LEFT(K15,1)="✓"</formula>
    </cfRule>
    <cfRule type="expression" priority="18" dxfId="4" stopIfTrue="1">
      <formula>LEFT(K15,1)="○"</formula>
    </cfRule>
  </conditionalFormatting>
  <conditionalFormatting sqref="N15:O20">
    <cfRule type="expression" priority="19" dxfId="0" stopIfTrue="1">
      <formula>LEFT(N15,1)="✓"</formula>
    </cfRule>
    <cfRule type="expression" priority="20" dxfId="4" stopIfTrue="1">
      <formula>LEFT(N15,1)="○"</formula>
    </cfRule>
  </conditionalFormatting>
  <conditionalFormatting sqref="R15:S20">
    <cfRule type="expression" priority="21" dxfId="0" stopIfTrue="1">
      <formula>LEFT(R15,1)="✓"</formula>
    </cfRule>
    <cfRule type="expression" priority="22" dxfId="4" stopIfTrue="1">
      <formula>LEFT(R15,1)="○"</formula>
    </cfRule>
  </conditionalFormatting>
  <conditionalFormatting sqref="B23:L36">
    <cfRule type="expression" priority="23" dxfId="5" stopIfTrue="1">
      <formula>LEFT($B23,1)="⚠"</formula>
    </cfRule>
    <cfRule type="expression" priority="24" dxfId="6" stopIfTrue="1">
      <formula>LEFT($B23,2)="🤒"</formula>
    </cfRule>
    <cfRule type="expression" priority="25" dxfId="7" stopIfTrue="1">
      <formula>LEFT($B23,1)="✓"</formula>
    </cfRule>
  </conditionalFormatting>
  <conditionalFormatting sqref="N23:S25">
    <cfRule type="expression" priority="26" dxfId="3" stopIfTrue="1">
      <formula>OR($N$23="The system is too complicated",$N$23="Reset week, not a failure")</formula>
    </cfRule>
    <cfRule type="expression" priority="27" dxfId="2" stopIfTrue="1">
      <formula>OR($N$23="Missed a few habits",$N$23="One off day")</formula>
    </cfRule>
    <cfRule type="expression" priority="28" dxfId="0" stopIfTrue="1">
      <formula>$N$23="System working"</formula>
    </cfRule>
  </conditionalFormatting>
  <conditionalFormatting sqref="R30:S31">
    <cfRule type="expression" priority="29" dxfId="0" stopIfTrue="1">
      <formula>AND(ISNUMBER(R30),R30&gt;=0.85)</formula>
    </cfRule>
    <cfRule type="expression" priority="30" dxfId="1" stopIfTrue="1">
      <formula>AND(ISNUMBER(R30),R30&gt;=0.7)</formula>
    </cfRule>
    <cfRule type="expression" priority="31" dxfId="2" stopIfTrue="1">
      <formula>AND(ISNUMBER(R30),R30&gt;=0.5)</formula>
    </cfRule>
    <cfRule type="expression" priority="32" dxfId="3" stopIfTrue="1">
      <formula>AND(ISNUMBER(R30),R30&lt;0.5)</formula>
    </cfRule>
  </conditionalFormatting>
  <conditionalFormatting sqref="P39:S46">
    <cfRule type="expression" priority="33" dxfId="0" stopIfTrue="1">
      <formula>LEFT(P39,1)="✓"</formula>
    </cfRule>
    <cfRule type="expression" priority="34" dxfId="2" stopIfTrue="1">
      <formula>LEFT(P39,1)="○"</formula>
    </cfRule>
  </conditionalFormatting>
  <conditionalFormatting sqref="I49:J52">
    <cfRule type="expression" priority="35" dxfId="0" stopIfTrue="1">
      <formula>AND(ISNUMBER($I49),$I49&gt;=0.85)</formula>
    </cfRule>
    <cfRule type="expression" priority="36" dxfId="1" stopIfTrue="1">
      <formula>AND(ISNUMBER($I49),$I49&gt;=0.7)</formula>
    </cfRule>
    <cfRule type="expression" priority="37" dxfId="2" stopIfTrue="1">
      <formula>AND(ISNUMBER($I49),$I49&gt;=0.5)</formula>
    </cfRule>
    <cfRule type="expression" priority="38" dxfId="3" stopIfTrue="1">
      <formula>AND(ISNUMBER($I49),$I49&lt;0.5)</formula>
    </cfRule>
  </conditionalFormatting>
  <conditionalFormatting sqref="R49:S52">
    <cfRule type="expression" priority="39" dxfId="0" stopIfTrue="1">
      <formula>AND(ISNUMBER($R49),$R49&gt;=0.85)</formula>
    </cfRule>
    <cfRule type="expression" priority="40" dxfId="1" stopIfTrue="1">
      <formula>AND(ISNUMBER($R49),$R49&gt;=0.7)</formula>
    </cfRule>
    <cfRule type="expression" priority="41" dxfId="2" stopIfTrue="1">
      <formula>AND(ISNUMBER($R49),$R49&gt;=0.5)</formula>
    </cfRule>
    <cfRule type="expression" priority="42" dxfId="3" stopIfTrue="1">
      <formula>AND(ISNUMBER($R49),$R49&lt;0.5)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F7CF7"/>
    <outlinePr summaryBelow="1" summaryRight="1"/>
    <pageSetUpPr fitToPage="1"/>
  </sheetPr>
  <dimension ref="A1:V66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4" customWidth="1" min="3" max="3"/>
    <col width="1.6" customWidth="1" min="4" max="4"/>
    <col width="15" customWidth="1" min="5" max="5"/>
    <col width="4" customWidth="1" min="6" max="6"/>
    <col width="1.6" customWidth="1" min="7" max="7"/>
    <col width="15" customWidth="1" min="8" max="8"/>
    <col width="4" customWidth="1" min="9" max="9"/>
    <col width="1.6" customWidth="1" min="10" max="10"/>
    <col width="15" customWidth="1" min="11" max="11"/>
    <col width="4" customWidth="1" min="12" max="12"/>
    <col width="1.6" customWidth="1" min="13" max="13"/>
    <col width="15" customWidth="1" min="14" max="14"/>
    <col width="4" customWidth="1" min="15" max="15"/>
    <col width="1.6" customWidth="1" min="16" max="16"/>
    <col width="15" customWidth="1" min="17" max="17"/>
    <col width="4" customWidth="1" min="18" max="18"/>
    <col width="1.6" customWidth="1" min="19" max="19"/>
    <col width="15" customWidth="1" min="20" max="20"/>
    <col width="4" customWidth="1" min="21" max="21"/>
    <col width="1.6" customWidth="1" min="22" max="22"/>
  </cols>
  <sheetData>
    <row r="1" ht="1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6" customHeight="1">
      <c r="A2" s="1" t="n"/>
      <c r="B2" s="2" t="inlineStr">
        <is>
          <t>WEEK PLAN</t>
        </is>
      </c>
      <c r="I2" s="1" t="n"/>
      <c r="J2" s="1" t="n"/>
      <c r="K2" s="1" t="n"/>
      <c r="L2" s="1" t="n"/>
      <c r="M2" s="1" t="n"/>
      <c r="N2" s="19" t="inlineStr">
        <is>
          <t>WEEK STARTING</t>
        </is>
      </c>
      <c r="P2" s="1" t="n"/>
      <c r="Q2" s="70">
        <f>TODAY()-WEEKDAY(TODAY(),3)</f>
        <v/>
      </c>
      <c r="S2" s="1" t="n"/>
      <c r="T2" s="1" t="n"/>
      <c r="U2" s="1" t="n"/>
      <c r="V2" s="1" t="n"/>
    </row>
    <row r="3" ht="17" customHeight="1">
      <c r="A3" s="1" t="n"/>
      <c r="B3" s="3" t="inlineStr">
        <is>
          <t>Plan the week · tick tasks here · check-ins and scores pull from your daily log</t>
        </is>
      </c>
      <c r="L3" s="1" t="n"/>
      <c r="M3" s="1" t="n"/>
      <c r="N3" s="23" t="inlineStr">
        <is>
          <t>type a Monday to plan ahead</t>
        </is>
      </c>
      <c r="S3" s="1" t="n"/>
      <c r="T3" s="1" t="n"/>
      <c r="U3" s="1" t="n"/>
      <c r="V3" s="1" t="n"/>
    </row>
    <row r="4" ht="17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7" customHeight="1">
      <c r="A5" s="1" t="n"/>
      <c r="B5" s="71" t="inlineStr">
        <is>
          <t>DAILY FOUNDATION SCORE</t>
        </is>
      </c>
      <c r="I5" s="1" t="n"/>
      <c r="J5" s="1" t="n"/>
      <c r="K5" s="72" t="inlineStr">
        <is>
          <t>WEEK</t>
        </is>
      </c>
      <c r="N5" s="71" t="inlineStr">
        <is>
          <t>CHECK-IN TREND</t>
        </is>
      </c>
      <c r="V5" s="1" t="n"/>
    </row>
    <row r="6" ht="17" customHeight="1">
      <c r="A6" s="1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1" t="n"/>
    </row>
    <row r="7" ht="17" customHeight="1">
      <c r="A7" s="1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1" t="n"/>
    </row>
    <row r="8" ht="17" customHeight="1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1" t="n"/>
    </row>
    <row r="9" ht="17" customHeight="1">
      <c r="A9" s="1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1" t="n"/>
    </row>
    <row r="10" ht="17" customHeight="1">
      <c r="A10" s="1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1" t="n"/>
    </row>
    <row r="11" ht="17" customHeight="1">
      <c r="A11" s="1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1" t="n"/>
    </row>
    <row r="12" ht="17" customHeight="1">
      <c r="A12" s="1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1" t="n"/>
    </row>
    <row r="13" ht="17" customHeight="1">
      <c r="A13" s="1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1" t="n"/>
    </row>
    <row r="14" ht="17" customHeight="1">
      <c r="A14" s="1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73">
        <f>IF(ISNUMBER(D64),TEXT(D64,"0%"),"—")</f>
        <v/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1" t="n"/>
    </row>
    <row r="15" ht="17" customHeight="1">
      <c r="A15" s="1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1" t="n"/>
    </row>
    <row r="16" ht="17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 ht="17" customHeight="1">
      <c r="A17" s="1" t="n"/>
      <c r="B17" s="74">
        <f>UPPER(TEXT((WeekStart+0),"dddd"))</f>
        <v/>
      </c>
      <c r="D17" s="1" t="n"/>
      <c r="E17" s="75">
        <f>UPPER(TEXT((WeekStart+1),"dddd"))</f>
        <v/>
      </c>
      <c r="G17" s="1" t="n"/>
      <c r="H17" s="76">
        <f>UPPER(TEXT((WeekStart+2),"dddd"))</f>
        <v/>
      </c>
      <c r="J17" s="1" t="n"/>
      <c r="K17" s="77">
        <f>UPPER(TEXT((WeekStart+3),"dddd"))</f>
        <v/>
      </c>
      <c r="M17" s="1" t="n"/>
      <c r="N17" s="78">
        <f>UPPER(TEXT((WeekStart+4),"dddd"))</f>
        <v/>
      </c>
      <c r="P17" s="1" t="n"/>
      <c r="Q17" s="79">
        <f>UPPER(TEXT((WeekStart+5),"dddd"))</f>
        <v/>
      </c>
      <c r="S17" s="1" t="n"/>
      <c r="T17" s="80">
        <f>UPPER(TEXT((WeekStart+6),"dddd"))</f>
        <v/>
      </c>
      <c r="V17" s="1" t="n"/>
    </row>
    <row r="18" ht="17" customHeight="1">
      <c r="A18" s="1" t="n"/>
      <c r="B18" s="81">
        <f>(WeekStart+0)</f>
        <v/>
      </c>
      <c r="D18" s="1" t="n"/>
      <c r="E18" s="82">
        <f>(WeekStart+1)</f>
        <v/>
      </c>
      <c r="G18" s="1" t="n"/>
      <c r="H18" s="83">
        <f>(WeekStart+2)</f>
        <v/>
      </c>
      <c r="J18" s="1" t="n"/>
      <c r="K18" s="84">
        <f>(WeekStart+3)</f>
        <v/>
      </c>
      <c r="M18" s="1" t="n"/>
      <c r="N18" s="85">
        <f>(WeekStart+4)</f>
        <v/>
      </c>
      <c r="P18" s="1" t="n"/>
      <c r="Q18" s="86">
        <f>(WeekStart+5)</f>
        <v/>
      </c>
      <c r="S18" s="1" t="n"/>
      <c r="T18" s="87">
        <f>(WeekStart+6)</f>
        <v/>
      </c>
      <c r="V18" s="1" t="n"/>
    </row>
    <row r="19" ht="17" customHeight="1">
      <c r="A19" s="1" t="n"/>
      <c r="B19" s="88">
        <f>"06:30 · "&amp;INDEX(PlanTraining,1)</f>
        <v/>
      </c>
      <c r="D19" s="1" t="n"/>
      <c r="E19" s="89">
        <f>"06:30 · "&amp;INDEX(PlanTraining,2)</f>
        <v/>
      </c>
      <c r="G19" s="1" t="n"/>
      <c r="H19" s="90">
        <f>"06:30 · "&amp;INDEX(PlanTraining,3)</f>
        <v/>
      </c>
      <c r="J19" s="1" t="n"/>
      <c r="K19" s="91">
        <f>"06:30 · "&amp;INDEX(PlanTraining,4)</f>
        <v/>
      </c>
      <c r="M19" s="1" t="n"/>
      <c r="N19" s="92">
        <f>"06:30 · "&amp;INDEX(PlanTraining,5)</f>
        <v/>
      </c>
      <c r="P19" s="1" t="n"/>
      <c r="Q19" s="93">
        <f>"06:30 · "&amp;INDEX(PlanTraining,6)</f>
        <v/>
      </c>
      <c r="S19" s="1" t="n"/>
      <c r="T19" s="94">
        <f>"06:30 · "&amp;INDEX(PlanTraining,7)</f>
        <v/>
      </c>
      <c r="V19" s="1" t="n"/>
    </row>
    <row r="20" ht="17" customHeight="1">
      <c r="A20" s="1" t="n"/>
      <c r="D20" s="1" t="n"/>
      <c r="G20" s="1" t="n"/>
      <c r="J20" s="1" t="n"/>
      <c r="M20" s="1" t="n"/>
      <c r="P20" s="1" t="n"/>
      <c r="S20" s="1" t="n"/>
      <c r="V20" s="1" t="n"/>
    </row>
    <row r="21" ht="17" customHeight="1">
      <c r="A21" s="1" t="n"/>
      <c r="B21" s="9" t="n"/>
      <c r="C21" s="9" t="n"/>
      <c r="D21" s="1" t="n"/>
      <c r="E21" s="9" t="n"/>
      <c r="F21" s="9" t="n"/>
      <c r="G21" s="1" t="n"/>
      <c r="H21" s="9" t="n"/>
      <c r="I21" s="9" t="n"/>
      <c r="J21" s="1" t="n"/>
      <c r="K21" s="9" t="n"/>
      <c r="L21" s="9" t="n"/>
      <c r="M21" s="1" t="n"/>
      <c r="N21" s="9" t="n"/>
      <c r="O21" s="9" t="n"/>
      <c r="P21" s="1" t="n"/>
      <c r="Q21" s="9" t="n"/>
      <c r="R21" s="9" t="n"/>
      <c r="S21" s="1" t="n"/>
      <c r="T21" s="9" t="n"/>
      <c r="U21" s="9" t="n"/>
      <c r="V21" s="1" t="n"/>
    </row>
    <row r="22" ht="17" customHeight="1">
      <c r="A22" s="1" t="n"/>
      <c r="B22" s="9" t="n"/>
      <c r="C22" s="9" t="n"/>
      <c r="D22" s="1" t="n"/>
      <c r="E22" s="9" t="n"/>
      <c r="F22" s="9" t="n"/>
      <c r="G22" s="1" t="n"/>
      <c r="H22" s="9" t="n"/>
      <c r="I22" s="9" t="n"/>
      <c r="J22" s="1" t="n"/>
      <c r="K22" s="9" t="n"/>
      <c r="L22" s="9" t="n"/>
      <c r="M22" s="1" t="n"/>
      <c r="N22" s="9" t="n"/>
      <c r="O22" s="9" t="n"/>
      <c r="P22" s="1" t="n"/>
      <c r="Q22" s="9" t="n"/>
      <c r="R22" s="9" t="n"/>
      <c r="S22" s="1" t="n"/>
      <c r="T22" s="9" t="n"/>
      <c r="U22" s="9" t="n"/>
      <c r="V22" s="1" t="n"/>
    </row>
    <row r="23" ht="17" customHeight="1">
      <c r="A23" s="1" t="n"/>
      <c r="B23" s="9" t="n"/>
      <c r="C23" s="9" t="n"/>
      <c r="D23" s="1" t="n"/>
      <c r="E23" s="9" t="n"/>
      <c r="F23" s="9" t="n"/>
      <c r="G23" s="1" t="n"/>
      <c r="H23" s="9" t="n"/>
      <c r="I23" s="9" t="n"/>
      <c r="J23" s="1" t="n"/>
      <c r="K23" s="9" t="n"/>
      <c r="L23" s="9" t="n"/>
      <c r="M23" s="1" t="n"/>
      <c r="N23" s="9" t="n"/>
      <c r="O23" s="9" t="n"/>
      <c r="P23" s="1" t="n"/>
      <c r="Q23" s="9" t="n"/>
      <c r="R23" s="9" t="n"/>
      <c r="S23" s="1" t="n"/>
      <c r="T23" s="9" t="n"/>
      <c r="U23" s="9" t="n"/>
      <c r="V23" s="1" t="n"/>
    </row>
    <row r="24" ht="17" customHeight="1">
      <c r="A24" s="1" t="n"/>
      <c r="B24" s="9" t="n"/>
      <c r="C24" s="9" t="n"/>
      <c r="D24" s="1" t="n"/>
      <c r="E24" s="9" t="n"/>
      <c r="F24" s="9" t="n"/>
      <c r="G24" s="1" t="n"/>
      <c r="H24" s="9" t="n"/>
      <c r="I24" s="9" t="n"/>
      <c r="J24" s="1" t="n"/>
      <c r="K24" s="9" t="n"/>
      <c r="L24" s="9" t="n"/>
      <c r="M24" s="1" t="n"/>
      <c r="N24" s="9" t="n"/>
      <c r="O24" s="9" t="n"/>
      <c r="P24" s="1" t="n"/>
      <c r="Q24" s="9" t="n"/>
      <c r="R24" s="9" t="n"/>
      <c r="S24" s="1" t="n"/>
      <c r="T24" s="9" t="n"/>
      <c r="U24" s="9" t="n"/>
      <c r="V24" s="1" t="n"/>
    </row>
    <row r="25" ht="17" customHeight="1">
      <c r="A25" s="1" t="n"/>
      <c r="B25" s="9" t="n"/>
      <c r="C25" s="9" t="n"/>
      <c r="D25" s="1" t="n"/>
      <c r="E25" s="9" t="n"/>
      <c r="F25" s="9" t="n"/>
      <c r="G25" s="1" t="n"/>
      <c r="H25" s="9" t="n"/>
      <c r="I25" s="9" t="n"/>
      <c r="J25" s="1" t="n"/>
      <c r="K25" s="9" t="n"/>
      <c r="L25" s="9" t="n"/>
      <c r="M25" s="1" t="n"/>
      <c r="N25" s="9" t="n"/>
      <c r="O25" s="9" t="n"/>
      <c r="P25" s="1" t="n"/>
      <c r="Q25" s="9" t="n"/>
      <c r="R25" s="9" t="n"/>
      <c r="S25" s="1" t="n"/>
      <c r="T25" s="9" t="n"/>
      <c r="U25" s="9" t="n"/>
      <c r="V25" s="1" t="n"/>
    </row>
    <row r="26" ht="17" customHeight="1">
      <c r="A26" s="1" t="n"/>
      <c r="B26" s="9" t="n"/>
      <c r="C26" s="9" t="n"/>
      <c r="D26" s="1" t="n"/>
      <c r="E26" s="9" t="n"/>
      <c r="F26" s="9" t="n"/>
      <c r="G26" s="1" t="n"/>
      <c r="H26" s="9" t="n"/>
      <c r="I26" s="9" t="n"/>
      <c r="J26" s="1" t="n"/>
      <c r="K26" s="9" t="n"/>
      <c r="L26" s="9" t="n"/>
      <c r="M26" s="1" t="n"/>
      <c r="N26" s="9" t="n"/>
      <c r="O26" s="9" t="n"/>
      <c r="P26" s="1" t="n"/>
      <c r="Q26" s="9" t="n"/>
      <c r="R26" s="9" t="n"/>
      <c r="S26" s="1" t="n"/>
      <c r="T26" s="9" t="n"/>
      <c r="U26" s="9" t="n"/>
      <c r="V26" s="1" t="n"/>
    </row>
    <row r="27" ht="17" customHeight="1">
      <c r="A27" s="1" t="n"/>
      <c r="B27" s="9" t="n"/>
      <c r="C27" s="9" t="n"/>
      <c r="D27" s="1" t="n"/>
      <c r="E27" s="9" t="n"/>
      <c r="F27" s="9" t="n"/>
      <c r="G27" s="1" t="n"/>
      <c r="H27" s="9" t="n"/>
      <c r="I27" s="9" t="n"/>
      <c r="J27" s="1" t="n"/>
      <c r="K27" s="9" t="n"/>
      <c r="L27" s="9" t="n"/>
      <c r="M27" s="1" t="n"/>
      <c r="N27" s="9" t="n"/>
      <c r="O27" s="9" t="n"/>
      <c r="P27" s="1" t="n"/>
      <c r="Q27" s="9" t="n"/>
      <c r="R27" s="9" t="n"/>
      <c r="S27" s="1" t="n"/>
      <c r="T27" s="9" t="n"/>
      <c r="U27" s="9" t="n"/>
      <c r="V27" s="1" t="n"/>
    </row>
    <row r="28" ht="17" customHeight="1">
      <c r="A28" s="1" t="n"/>
      <c r="B28" s="95">
        <f>IF(ISNUMBER(D57),TEXT(D57,"0%"),"—")</f>
        <v/>
      </c>
      <c r="D28" s="1" t="n"/>
      <c r="E28" s="96">
        <f>IF(ISNUMBER(D58),TEXT(D58,"0%"),"—")</f>
        <v/>
      </c>
      <c r="G28" s="1" t="n"/>
      <c r="H28" s="97">
        <f>IF(ISNUMBER(D59),TEXT(D59,"0%"),"—")</f>
        <v/>
      </c>
      <c r="J28" s="1" t="n"/>
      <c r="K28" s="98">
        <f>IF(ISNUMBER(D60),TEXT(D60,"0%"),"—")</f>
        <v/>
      </c>
      <c r="M28" s="1" t="n"/>
      <c r="N28" s="99">
        <f>IF(ISNUMBER(D61),TEXT(D61,"0%"),"—")</f>
        <v/>
      </c>
      <c r="P28" s="1" t="n"/>
      <c r="Q28" s="100">
        <f>IF(ISNUMBER(D62),TEXT(D62,"0%"),"—")</f>
        <v/>
      </c>
      <c r="S28" s="1" t="n"/>
      <c r="T28" s="101">
        <f>IF(ISNUMBER(D63),TEXT(D63,"0%"),"—")</f>
        <v/>
      </c>
      <c r="V28" s="1" t="n"/>
    </row>
    <row r="29" ht="17" customHeight="1">
      <c r="A29" s="1" t="n"/>
      <c r="B29" s="31" t="inlineStr">
        <is>
          <t>foundation score</t>
        </is>
      </c>
      <c r="D29" s="1" t="n"/>
      <c r="E29" s="31" t="inlineStr">
        <is>
          <t>foundation score</t>
        </is>
      </c>
      <c r="G29" s="1" t="n"/>
      <c r="H29" s="31" t="inlineStr">
        <is>
          <t>foundation score</t>
        </is>
      </c>
      <c r="J29" s="1" t="n"/>
      <c r="K29" s="31" t="inlineStr">
        <is>
          <t>foundation score</t>
        </is>
      </c>
      <c r="M29" s="1" t="n"/>
      <c r="N29" s="31" t="inlineStr">
        <is>
          <t>foundation score</t>
        </is>
      </c>
      <c r="P29" s="1" t="n"/>
      <c r="Q29" s="31" t="inlineStr">
        <is>
          <t>foundation score</t>
        </is>
      </c>
      <c r="S29" s="1" t="n"/>
      <c r="T29" s="31" t="inlineStr">
        <is>
          <t>foundation score</t>
        </is>
      </c>
      <c r="V29" s="1" t="n"/>
    </row>
    <row r="30" ht="17" customHeight="1">
      <c r="A30" s="1" t="n"/>
      <c r="B30" s="102" t="inlineStr">
        <is>
          <t>TOP 3 PRIORITIES</t>
        </is>
      </c>
      <c r="D30" s="1" t="n"/>
      <c r="E30" s="103" t="inlineStr">
        <is>
          <t>TOP 3 PRIORITIES</t>
        </is>
      </c>
      <c r="G30" s="1" t="n"/>
      <c r="H30" s="104" t="inlineStr">
        <is>
          <t>TOP 3 PRIORITIES</t>
        </is>
      </c>
      <c r="J30" s="1" t="n"/>
      <c r="K30" s="105" t="inlineStr">
        <is>
          <t>TOP 3 PRIORITIES</t>
        </is>
      </c>
      <c r="M30" s="1" t="n"/>
      <c r="N30" s="106" t="inlineStr">
        <is>
          <t>TOP 3 PRIORITIES</t>
        </is>
      </c>
      <c r="P30" s="1" t="n"/>
      <c r="Q30" s="107" t="inlineStr">
        <is>
          <t>TOP 3 PRIORITIES</t>
        </is>
      </c>
      <c r="S30" s="1" t="n"/>
      <c r="T30" s="108" t="inlineStr">
        <is>
          <t>TOP 3 PRIORITIES</t>
        </is>
      </c>
      <c r="V30" s="1" t="n"/>
    </row>
    <row r="31" ht="17" customHeight="1">
      <c r="A31" s="1" t="n"/>
      <c r="B31" s="109" t="n"/>
      <c r="C31" s="110" t="n"/>
      <c r="D31" s="1" t="n"/>
      <c r="E31" s="109" t="n"/>
      <c r="F31" s="111" t="n"/>
      <c r="G31" s="1" t="n"/>
      <c r="H31" s="109" t="n"/>
      <c r="I31" s="112" t="n"/>
      <c r="J31" s="1" t="n"/>
      <c r="K31" s="109" t="n"/>
      <c r="L31" s="113" t="n"/>
      <c r="M31" s="1" t="n"/>
      <c r="N31" s="109" t="n"/>
      <c r="O31" s="114" t="n"/>
      <c r="P31" s="1" t="n"/>
      <c r="Q31" s="109" t="n"/>
      <c r="R31" s="115" t="n"/>
      <c r="S31" s="1" t="n"/>
      <c r="T31" s="109" t="n"/>
      <c r="U31" s="116" t="n"/>
      <c r="V31" s="1" t="n"/>
    </row>
    <row r="32" ht="17" customHeight="1">
      <c r="A32" s="1" t="n"/>
      <c r="B32" s="109" t="n"/>
      <c r="C32" s="110" t="n"/>
      <c r="D32" s="1" t="n"/>
      <c r="E32" s="109" t="n"/>
      <c r="F32" s="111" t="n"/>
      <c r="G32" s="1" t="n"/>
      <c r="H32" s="109" t="n"/>
      <c r="I32" s="112" t="n"/>
      <c r="J32" s="1" t="n"/>
      <c r="K32" s="109" t="n"/>
      <c r="L32" s="113" t="n"/>
      <c r="M32" s="1" t="n"/>
      <c r="N32" s="109" t="n"/>
      <c r="O32" s="114" t="n"/>
      <c r="P32" s="1" t="n"/>
      <c r="Q32" s="109" t="n"/>
      <c r="R32" s="115" t="n"/>
      <c r="S32" s="1" t="n"/>
      <c r="T32" s="109" t="n"/>
      <c r="U32" s="116" t="n"/>
      <c r="V32" s="1" t="n"/>
    </row>
    <row r="33" ht="17" customHeight="1">
      <c r="A33" s="1" t="n"/>
      <c r="B33" s="109" t="n"/>
      <c r="C33" s="110" t="n"/>
      <c r="D33" s="1" t="n"/>
      <c r="E33" s="109" t="n"/>
      <c r="F33" s="111" t="n"/>
      <c r="G33" s="1" t="n"/>
      <c r="H33" s="109" t="n"/>
      <c r="I33" s="112" t="n"/>
      <c r="J33" s="1" t="n"/>
      <c r="K33" s="109" t="n"/>
      <c r="L33" s="113" t="n"/>
      <c r="M33" s="1" t="n"/>
      <c r="N33" s="109" t="n"/>
      <c r="O33" s="114" t="n"/>
      <c r="P33" s="1" t="n"/>
      <c r="Q33" s="109" t="n"/>
      <c r="R33" s="115" t="n"/>
      <c r="S33" s="1" t="n"/>
      <c r="T33" s="109" t="n"/>
      <c r="U33" s="116" t="n"/>
      <c r="V33" s="1" t="n"/>
    </row>
    <row r="34" ht="17" customHeight="1">
      <c r="A34" s="1" t="n"/>
      <c r="B34" s="102" t="inlineStr">
        <is>
          <t>TASKS</t>
        </is>
      </c>
      <c r="D34" s="1" t="n"/>
      <c r="E34" s="103" t="inlineStr">
        <is>
          <t>TASKS</t>
        </is>
      </c>
      <c r="G34" s="1" t="n"/>
      <c r="H34" s="104" t="inlineStr">
        <is>
          <t>TASKS</t>
        </is>
      </c>
      <c r="J34" s="1" t="n"/>
      <c r="K34" s="105" t="inlineStr">
        <is>
          <t>TASKS</t>
        </is>
      </c>
      <c r="M34" s="1" t="n"/>
      <c r="N34" s="106" t="inlineStr">
        <is>
          <t>TASKS</t>
        </is>
      </c>
      <c r="P34" s="1" t="n"/>
      <c r="Q34" s="107" t="inlineStr">
        <is>
          <t>TASKS</t>
        </is>
      </c>
      <c r="S34" s="1" t="n"/>
      <c r="T34" s="108" t="inlineStr">
        <is>
          <t>TASKS</t>
        </is>
      </c>
      <c r="V34" s="1" t="n"/>
    </row>
    <row r="35" ht="17" customHeight="1">
      <c r="A35" s="1" t="n"/>
      <c r="B35" s="117" t="n"/>
      <c r="C35" s="118" t="n"/>
      <c r="D35" s="1" t="n"/>
      <c r="E35" s="117" t="n"/>
      <c r="F35" s="119" t="n"/>
      <c r="G35" s="1" t="n"/>
      <c r="H35" s="117" t="n"/>
      <c r="I35" s="120" t="n"/>
      <c r="J35" s="1" t="n"/>
      <c r="K35" s="117" t="n"/>
      <c r="L35" s="121" t="n"/>
      <c r="M35" s="1" t="n"/>
      <c r="N35" s="117" t="n"/>
      <c r="O35" s="122" t="n"/>
      <c r="P35" s="1" t="n"/>
      <c r="Q35" s="117" t="n"/>
      <c r="R35" s="123" t="n"/>
      <c r="S35" s="1" t="n"/>
      <c r="T35" s="117" t="n"/>
      <c r="U35" s="124" t="n"/>
      <c r="V35" s="1" t="n"/>
    </row>
    <row r="36" ht="17" customHeight="1">
      <c r="A36" s="1" t="n"/>
      <c r="B36" s="117" t="n"/>
      <c r="C36" s="118" t="n"/>
      <c r="D36" s="1" t="n"/>
      <c r="E36" s="117" t="n"/>
      <c r="F36" s="119" t="n"/>
      <c r="G36" s="1" t="n"/>
      <c r="H36" s="117" t="n"/>
      <c r="I36" s="120" t="n"/>
      <c r="J36" s="1" t="n"/>
      <c r="K36" s="117" t="n"/>
      <c r="L36" s="121" t="n"/>
      <c r="M36" s="1" t="n"/>
      <c r="N36" s="117" t="n"/>
      <c r="O36" s="122" t="n"/>
      <c r="P36" s="1" t="n"/>
      <c r="Q36" s="117" t="n"/>
      <c r="R36" s="123" t="n"/>
      <c r="S36" s="1" t="n"/>
      <c r="T36" s="117" t="n"/>
      <c r="U36" s="124" t="n"/>
      <c r="V36" s="1" t="n"/>
    </row>
    <row r="37" ht="17" customHeight="1">
      <c r="A37" s="1" t="n"/>
      <c r="B37" s="117" t="n"/>
      <c r="C37" s="118" t="n"/>
      <c r="D37" s="1" t="n"/>
      <c r="E37" s="117" t="n"/>
      <c r="F37" s="119" t="n"/>
      <c r="G37" s="1" t="n"/>
      <c r="H37" s="117" t="n"/>
      <c r="I37" s="120" t="n"/>
      <c r="J37" s="1" t="n"/>
      <c r="K37" s="117" t="n"/>
      <c r="L37" s="121" t="n"/>
      <c r="M37" s="1" t="n"/>
      <c r="N37" s="117" t="n"/>
      <c r="O37" s="122" t="n"/>
      <c r="P37" s="1" t="n"/>
      <c r="Q37" s="117" t="n"/>
      <c r="R37" s="123" t="n"/>
      <c r="S37" s="1" t="n"/>
      <c r="T37" s="117" t="n"/>
      <c r="U37" s="124" t="n"/>
      <c r="V37" s="1" t="n"/>
    </row>
    <row r="38" ht="17" customHeight="1">
      <c r="A38" s="1" t="n"/>
      <c r="B38" s="117" t="n"/>
      <c r="C38" s="118" t="n"/>
      <c r="D38" s="1" t="n"/>
      <c r="E38" s="117" t="n"/>
      <c r="F38" s="119" t="n"/>
      <c r="G38" s="1" t="n"/>
      <c r="H38" s="117" t="n"/>
      <c r="I38" s="120" t="n"/>
      <c r="J38" s="1" t="n"/>
      <c r="K38" s="117" t="n"/>
      <c r="L38" s="121" t="n"/>
      <c r="M38" s="1" t="n"/>
      <c r="N38" s="117" t="n"/>
      <c r="O38" s="122" t="n"/>
      <c r="P38" s="1" t="n"/>
      <c r="Q38" s="117" t="n"/>
      <c r="R38" s="123" t="n"/>
      <c r="S38" s="1" t="n"/>
      <c r="T38" s="117" t="n"/>
      <c r="U38" s="124" t="n"/>
      <c r="V38" s="1" t="n"/>
    </row>
    <row r="39" ht="17" customHeight="1">
      <c r="A39" s="1" t="n"/>
      <c r="B39" s="117" t="n"/>
      <c r="C39" s="118" t="n"/>
      <c r="D39" s="1" t="n"/>
      <c r="E39" s="117" t="n"/>
      <c r="F39" s="119" t="n"/>
      <c r="G39" s="1" t="n"/>
      <c r="H39" s="117" t="n"/>
      <c r="I39" s="120" t="n"/>
      <c r="J39" s="1" t="n"/>
      <c r="K39" s="117" t="n"/>
      <c r="L39" s="121" t="n"/>
      <c r="M39" s="1" t="n"/>
      <c r="N39" s="117" t="n"/>
      <c r="O39" s="122" t="n"/>
      <c r="P39" s="1" t="n"/>
      <c r="Q39" s="117" t="n"/>
      <c r="R39" s="123" t="n"/>
      <c r="S39" s="1" t="n"/>
      <c r="T39" s="117" t="n"/>
      <c r="U39" s="124" t="n"/>
      <c r="V39" s="1" t="n"/>
    </row>
    <row r="40" ht="17" customHeight="1">
      <c r="A40" s="1" t="n"/>
      <c r="B40" s="117" t="n"/>
      <c r="C40" s="118" t="n"/>
      <c r="D40" s="1" t="n"/>
      <c r="E40" s="117" t="n"/>
      <c r="F40" s="119" t="n"/>
      <c r="G40" s="1" t="n"/>
      <c r="H40" s="117" t="n"/>
      <c r="I40" s="120" t="n"/>
      <c r="J40" s="1" t="n"/>
      <c r="K40" s="117" t="n"/>
      <c r="L40" s="121" t="n"/>
      <c r="M40" s="1" t="n"/>
      <c r="N40" s="117" t="n"/>
      <c r="O40" s="122" t="n"/>
      <c r="P40" s="1" t="n"/>
      <c r="Q40" s="117" t="n"/>
      <c r="R40" s="123" t="n"/>
      <c r="S40" s="1" t="n"/>
      <c r="T40" s="117" t="n"/>
      <c r="U40" s="124" t="n"/>
      <c r="V40" s="1" t="n"/>
    </row>
    <row r="41" ht="17" customHeight="1">
      <c r="A41" s="1" t="n"/>
      <c r="B41" s="117" t="n"/>
      <c r="C41" s="118" t="n"/>
      <c r="D41" s="1" t="n"/>
      <c r="E41" s="117" t="n"/>
      <c r="F41" s="119" t="n"/>
      <c r="G41" s="1" t="n"/>
      <c r="H41" s="117" t="n"/>
      <c r="I41" s="120" t="n"/>
      <c r="J41" s="1" t="n"/>
      <c r="K41" s="117" t="n"/>
      <c r="L41" s="121" t="n"/>
      <c r="M41" s="1" t="n"/>
      <c r="N41" s="117" t="n"/>
      <c r="O41" s="122" t="n"/>
      <c r="P41" s="1" t="n"/>
      <c r="Q41" s="117" t="n"/>
      <c r="R41" s="123" t="n"/>
      <c r="S41" s="1" t="n"/>
      <c r="T41" s="117" t="n"/>
      <c r="U41" s="124" t="n"/>
      <c r="V41" s="1" t="n"/>
    </row>
    <row r="42" ht="17" customHeight="1">
      <c r="A42" s="1" t="n"/>
      <c r="B42" s="117" t="n"/>
      <c r="C42" s="118" t="n"/>
      <c r="D42" s="1" t="n"/>
      <c r="E42" s="117" t="n"/>
      <c r="F42" s="119" t="n"/>
      <c r="G42" s="1" t="n"/>
      <c r="H42" s="117" t="n"/>
      <c r="I42" s="120" t="n"/>
      <c r="J42" s="1" t="n"/>
      <c r="K42" s="117" t="n"/>
      <c r="L42" s="121" t="n"/>
      <c r="M42" s="1" t="n"/>
      <c r="N42" s="117" t="n"/>
      <c r="O42" s="122" t="n"/>
      <c r="P42" s="1" t="n"/>
      <c r="Q42" s="117" t="n"/>
      <c r="R42" s="123" t="n"/>
      <c r="S42" s="1" t="n"/>
      <c r="T42" s="117" t="n"/>
      <c r="U42" s="124" t="n"/>
      <c r="V42" s="1" t="n"/>
    </row>
    <row r="43" ht="17" customHeight="1">
      <c r="A43" s="1" t="n"/>
      <c r="B43" s="39" t="inlineStr">
        <is>
          <t>Completed</t>
        </is>
      </c>
      <c r="C43" s="125">
        <f>COUNTIF(C31:C42,TRUE)+COUNTIF(C31:C42,"x")</f>
        <v/>
      </c>
      <c r="D43" s="1" t="n"/>
      <c r="E43" s="39" t="inlineStr">
        <is>
          <t>Completed</t>
        </is>
      </c>
      <c r="F43" s="125">
        <f>COUNTIF(F31:F42,TRUE)+COUNTIF(F31:F42,"x")</f>
        <v/>
      </c>
      <c r="G43" s="1" t="n"/>
      <c r="H43" s="39" t="inlineStr">
        <is>
          <t>Completed</t>
        </is>
      </c>
      <c r="I43" s="125">
        <f>COUNTIF(I31:I42,TRUE)+COUNTIF(I31:I42,"x")</f>
        <v/>
      </c>
      <c r="J43" s="1" t="n"/>
      <c r="K43" s="39" t="inlineStr">
        <is>
          <t>Completed</t>
        </is>
      </c>
      <c r="L43" s="125">
        <f>COUNTIF(L31:L42,TRUE)+COUNTIF(L31:L42,"x")</f>
        <v/>
      </c>
      <c r="M43" s="1" t="n"/>
      <c r="N43" s="39" t="inlineStr">
        <is>
          <t>Completed</t>
        </is>
      </c>
      <c r="O43" s="125">
        <f>COUNTIF(O31:O42,TRUE)+COUNTIF(O31:O42,"x")</f>
        <v/>
      </c>
      <c r="P43" s="1" t="n"/>
      <c r="Q43" s="39" t="inlineStr">
        <is>
          <t>Completed</t>
        </is>
      </c>
      <c r="R43" s="125">
        <f>COUNTIF(R31:R42,TRUE)+COUNTIF(R31:R42,"x")</f>
        <v/>
      </c>
      <c r="S43" s="1" t="n"/>
      <c r="T43" s="39" t="inlineStr">
        <is>
          <t>Completed</t>
        </is>
      </c>
      <c r="U43" s="125">
        <f>COUNTIF(U31:U42,TRUE)+COUNTIF(U31:U42,"x")</f>
        <v/>
      </c>
      <c r="V43" s="1" t="n"/>
    </row>
    <row r="44" ht="17" customHeight="1">
      <c r="A44" s="1" t="n"/>
      <c r="B44" s="39" t="inlineStr">
        <is>
          <t>Not completed</t>
        </is>
      </c>
      <c r="C44" s="126">
        <f>MAX(0,COUNTA(B31:B33,B35:B42)-(COUNTIF(C31:C42,TRUE)+COUNTIF(C31:C42,"x")))</f>
        <v/>
      </c>
      <c r="D44" s="1" t="n"/>
      <c r="E44" s="39" t="inlineStr">
        <is>
          <t>Not completed</t>
        </is>
      </c>
      <c r="F44" s="126">
        <f>MAX(0,COUNTA(E31:E33,E35:E42)-(COUNTIF(F31:F42,TRUE)+COUNTIF(F31:F42,"x")))</f>
        <v/>
      </c>
      <c r="G44" s="1" t="n"/>
      <c r="H44" s="39" t="inlineStr">
        <is>
          <t>Not completed</t>
        </is>
      </c>
      <c r="I44" s="126">
        <f>MAX(0,COUNTA(H31:H33,H35:H42)-(COUNTIF(I31:I42,TRUE)+COUNTIF(I31:I42,"x")))</f>
        <v/>
      </c>
      <c r="J44" s="1" t="n"/>
      <c r="K44" s="39" t="inlineStr">
        <is>
          <t>Not completed</t>
        </is>
      </c>
      <c r="L44" s="126">
        <f>MAX(0,COUNTA(K31:K33,K35:K42)-(COUNTIF(L31:L42,TRUE)+COUNTIF(L31:L42,"x")))</f>
        <v/>
      </c>
      <c r="M44" s="1" t="n"/>
      <c r="N44" s="39" t="inlineStr">
        <is>
          <t>Not completed</t>
        </is>
      </c>
      <c r="O44" s="126">
        <f>MAX(0,COUNTA(N31:N33,N35:N42)-(COUNTIF(O31:O42,TRUE)+COUNTIF(O31:O42,"x")))</f>
        <v/>
      </c>
      <c r="P44" s="1" t="n"/>
      <c r="Q44" s="39" t="inlineStr">
        <is>
          <t>Not completed</t>
        </is>
      </c>
      <c r="R44" s="126">
        <f>MAX(0,COUNTA(Q31:Q33,Q35:Q42)-(COUNTIF(R31:R42,TRUE)+COUNTIF(R31:R42,"x")))</f>
        <v/>
      </c>
      <c r="S44" s="1" t="n"/>
      <c r="T44" s="39" t="inlineStr">
        <is>
          <t>Not completed</t>
        </is>
      </c>
      <c r="U44" s="126">
        <f>MAX(0,COUNTA(T31:T33,T35:T42)-(COUNTIF(U31:U42,TRUE)+COUNTIF(U31:U42,"x")))</f>
        <v/>
      </c>
      <c r="V44" s="1" t="n"/>
    </row>
    <row r="45" ht="17" customHeight="1">
      <c r="A45" s="1" t="n"/>
      <c r="B45" s="127" t="inlineStr">
        <is>
          <t>CHECK-IN · from daily log</t>
        </is>
      </c>
      <c r="D45" s="1" t="n"/>
      <c r="E45" s="128" t="inlineStr">
        <is>
          <t>CHECK-IN · from daily log</t>
        </is>
      </c>
      <c r="G45" s="1" t="n"/>
      <c r="H45" s="129" t="inlineStr">
        <is>
          <t>CHECK-IN · from daily log</t>
        </is>
      </c>
      <c r="J45" s="1" t="n"/>
      <c r="K45" s="130" t="inlineStr">
        <is>
          <t>CHECK-IN · from daily log</t>
        </is>
      </c>
      <c r="M45" s="1" t="n"/>
      <c r="N45" s="131" t="inlineStr">
        <is>
          <t>CHECK-IN · from daily log</t>
        </is>
      </c>
      <c r="P45" s="1" t="n"/>
      <c r="Q45" s="132" t="inlineStr">
        <is>
          <t>CHECK-IN · from daily log</t>
        </is>
      </c>
      <c r="S45" s="1" t="n"/>
      <c r="T45" s="133" t="inlineStr">
        <is>
          <t>CHECK-IN · from daily log</t>
        </is>
      </c>
      <c r="V45" s="1" t="n"/>
    </row>
    <row r="46" ht="17" customHeight="1">
      <c r="A46" s="1" t="n"/>
      <c r="B46" s="134">
        <f>"Sleep   "&amp;IF(ISNUMBER(IFERROR(INDEX(Data!$AK$4:$AK$375,MATCH((WeekStart+0),Data!$A$4:$A$375,0)),"")),IF(ISNUMBER((IFERROR(INDEX(Data!$AK$4:$AK$375,MATCH((WeekStart+0),Data!$A$4:$A$375,0)),""))/9),REPT("█",ROUND(MAX(0,MIN(1,(IFERROR(INDEX(Data!$AK$4:$AK$375,MATCH((WeekStart+0),Data!$A$4:$A$375,0)),""))/9))*6,0))&amp;REPT("░",6-ROUND(MAX(0,MIN(1,(IFERROR(INDEX(Data!$AK$4:$AK$375,MATCH((WeekStart+0),Data!$A$4:$A$375,0)),""))/9))*6,0)),""),"")</f>
        <v/>
      </c>
      <c r="C46" s="135">
        <f>IF(ISNUMBER(IFERROR(INDEX(Data!$AK$4:$AK$375,MATCH((WeekStart+0),Data!$A$4:$A$375,0)),"")),IFERROR(INDEX(Data!$AK$4:$AK$375,MATCH((WeekStart+0),Data!$A$4:$A$375,0)),""),"")</f>
        <v/>
      </c>
      <c r="D46" s="1" t="n"/>
      <c r="E46" s="134">
        <f>"Sleep   "&amp;IF(ISNUMBER(IFERROR(INDEX(Data!$AK$4:$AK$375,MATCH((WeekStart+1),Data!$A$4:$A$375,0)),"")),IF(ISNUMBER((IFERROR(INDEX(Data!$AK$4:$AK$375,MATCH((WeekStart+1),Data!$A$4:$A$375,0)),""))/9),REPT("█",ROUND(MAX(0,MIN(1,(IFERROR(INDEX(Data!$AK$4:$AK$375,MATCH((WeekStart+1),Data!$A$4:$A$375,0)),""))/9))*6,0))&amp;REPT("░",6-ROUND(MAX(0,MIN(1,(IFERROR(INDEX(Data!$AK$4:$AK$375,MATCH((WeekStart+1),Data!$A$4:$A$375,0)),""))/9))*6,0)),""),"")</f>
        <v/>
      </c>
      <c r="F46" s="135">
        <f>IF(ISNUMBER(IFERROR(INDEX(Data!$AK$4:$AK$375,MATCH((WeekStart+1),Data!$A$4:$A$375,0)),"")),IFERROR(INDEX(Data!$AK$4:$AK$375,MATCH((WeekStart+1),Data!$A$4:$A$375,0)),""),"")</f>
        <v/>
      </c>
      <c r="G46" s="1" t="n"/>
      <c r="H46" s="134">
        <f>"Sleep   "&amp;IF(ISNUMBER(IFERROR(INDEX(Data!$AK$4:$AK$375,MATCH((WeekStart+2),Data!$A$4:$A$375,0)),"")),IF(ISNUMBER((IFERROR(INDEX(Data!$AK$4:$AK$375,MATCH((WeekStart+2),Data!$A$4:$A$375,0)),""))/9),REPT("█",ROUND(MAX(0,MIN(1,(IFERROR(INDEX(Data!$AK$4:$AK$375,MATCH((WeekStart+2),Data!$A$4:$A$375,0)),""))/9))*6,0))&amp;REPT("░",6-ROUND(MAX(0,MIN(1,(IFERROR(INDEX(Data!$AK$4:$AK$375,MATCH((WeekStart+2),Data!$A$4:$A$375,0)),""))/9))*6,0)),""),"")</f>
        <v/>
      </c>
      <c r="I46" s="135">
        <f>IF(ISNUMBER(IFERROR(INDEX(Data!$AK$4:$AK$375,MATCH((WeekStart+2),Data!$A$4:$A$375,0)),"")),IFERROR(INDEX(Data!$AK$4:$AK$375,MATCH((WeekStart+2),Data!$A$4:$A$375,0)),""),"")</f>
        <v/>
      </c>
      <c r="J46" s="1" t="n"/>
      <c r="K46" s="134">
        <f>"Sleep   "&amp;IF(ISNUMBER(IFERROR(INDEX(Data!$AK$4:$AK$375,MATCH((WeekStart+3),Data!$A$4:$A$375,0)),"")),IF(ISNUMBER((IFERROR(INDEX(Data!$AK$4:$AK$375,MATCH((WeekStart+3),Data!$A$4:$A$375,0)),""))/9),REPT("█",ROUND(MAX(0,MIN(1,(IFERROR(INDEX(Data!$AK$4:$AK$375,MATCH((WeekStart+3),Data!$A$4:$A$375,0)),""))/9))*6,0))&amp;REPT("░",6-ROUND(MAX(0,MIN(1,(IFERROR(INDEX(Data!$AK$4:$AK$375,MATCH((WeekStart+3),Data!$A$4:$A$375,0)),""))/9))*6,0)),""),"")</f>
        <v/>
      </c>
      <c r="L46" s="135">
        <f>IF(ISNUMBER(IFERROR(INDEX(Data!$AK$4:$AK$375,MATCH((WeekStart+3),Data!$A$4:$A$375,0)),"")),IFERROR(INDEX(Data!$AK$4:$AK$375,MATCH((WeekStart+3),Data!$A$4:$A$375,0)),""),"")</f>
        <v/>
      </c>
      <c r="M46" s="1" t="n"/>
      <c r="N46" s="134">
        <f>"Sleep   "&amp;IF(ISNUMBER(IFERROR(INDEX(Data!$AK$4:$AK$375,MATCH((WeekStart+4),Data!$A$4:$A$375,0)),"")),IF(ISNUMBER((IFERROR(INDEX(Data!$AK$4:$AK$375,MATCH((WeekStart+4),Data!$A$4:$A$375,0)),""))/9),REPT("█",ROUND(MAX(0,MIN(1,(IFERROR(INDEX(Data!$AK$4:$AK$375,MATCH((WeekStart+4),Data!$A$4:$A$375,0)),""))/9))*6,0))&amp;REPT("░",6-ROUND(MAX(0,MIN(1,(IFERROR(INDEX(Data!$AK$4:$AK$375,MATCH((WeekStart+4),Data!$A$4:$A$375,0)),""))/9))*6,0)),""),"")</f>
        <v/>
      </c>
      <c r="O46" s="135">
        <f>IF(ISNUMBER(IFERROR(INDEX(Data!$AK$4:$AK$375,MATCH((WeekStart+4),Data!$A$4:$A$375,0)),"")),IFERROR(INDEX(Data!$AK$4:$AK$375,MATCH((WeekStart+4),Data!$A$4:$A$375,0)),""),"")</f>
        <v/>
      </c>
      <c r="P46" s="1" t="n"/>
      <c r="Q46" s="134">
        <f>"Sleep   "&amp;IF(ISNUMBER(IFERROR(INDEX(Data!$AK$4:$AK$375,MATCH((WeekStart+5),Data!$A$4:$A$375,0)),"")),IF(ISNUMBER((IFERROR(INDEX(Data!$AK$4:$AK$375,MATCH((WeekStart+5),Data!$A$4:$A$375,0)),""))/9),REPT("█",ROUND(MAX(0,MIN(1,(IFERROR(INDEX(Data!$AK$4:$AK$375,MATCH((WeekStart+5),Data!$A$4:$A$375,0)),""))/9))*6,0))&amp;REPT("░",6-ROUND(MAX(0,MIN(1,(IFERROR(INDEX(Data!$AK$4:$AK$375,MATCH((WeekStart+5),Data!$A$4:$A$375,0)),""))/9))*6,0)),""),"")</f>
        <v/>
      </c>
      <c r="R46" s="135">
        <f>IF(ISNUMBER(IFERROR(INDEX(Data!$AK$4:$AK$375,MATCH((WeekStart+5),Data!$A$4:$A$375,0)),"")),IFERROR(INDEX(Data!$AK$4:$AK$375,MATCH((WeekStart+5),Data!$A$4:$A$375,0)),""),"")</f>
        <v/>
      </c>
      <c r="S46" s="1" t="n"/>
      <c r="T46" s="134">
        <f>"Sleep   "&amp;IF(ISNUMBER(IFERROR(INDEX(Data!$AK$4:$AK$375,MATCH((WeekStart+6),Data!$A$4:$A$375,0)),"")),IF(ISNUMBER((IFERROR(INDEX(Data!$AK$4:$AK$375,MATCH((WeekStart+6),Data!$A$4:$A$375,0)),""))/9),REPT("█",ROUND(MAX(0,MIN(1,(IFERROR(INDEX(Data!$AK$4:$AK$375,MATCH((WeekStart+6),Data!$A$4:$A$375,0)),""))/9))*6,0))&amp;REPT("░",6-ROUND(MAX(0,MIN(1,(IFERROR(INDEX(Data!$AK$4:$AK$375,MATCH((WeekStart+6),Data!$A$4:$A$375,0)),""))/9))*6,0)),""),"")</f>
        <v/>
      </c>
      <c r="U46" s="135">
        <f>IF(ISNUMBER(IFERROR(INDEX(Data!$AK$4:$AK$375,MATCH((WeekStart+6),Data!$A$4:$A$375,0)),"")),IFERROR(INDEX(Data!$AK$4:$AK$375,MATCH((WeekStart+6),Data!$A$4:$A$375,0)),""),"")</f>
        <v/>
      </c>
      <c r="V46" s="1" t="n"/>
    </row>
    <row r="47" ht="17" customHeight="1">
      <c r="A47" s="1" t="n"/>
      <c r="B47" s="136">
        <f>"Energy  "&amp;IF(ISNUMBER(IFERROR(INDEX(Data!$AL$4:$AL$375,MATCH((WeekStart+0),Data!$A$4:$A$375,0)),"")),IF(ISNUMBER((IFERROR(INDEX(Data!$AL$4:$AL$375,MATCH((WeekStart+0),Data!$A$4:$A$375,0)),""))/10),REPT("█",ROUND(MAX(0,MIN(1,(IFERROR(INDEX(Data!$AL$4:$AL$375,MATCH((WeekStart+0),Data!$A$4:$A$375,0)),""))/10))*6,0))&amp;REPT("░",6-ROUND(MAX(0,MIN(1,(IFERROR(INDEX(Data!$AL$4:$AL$375,MATCH((WeekStart+0),Data!$A$4:$A$375,0)),""))/10))*6,0)),""),"")</f>
        <v/>
      </c>
      <c r="C47" s="137">
        <f>IF(ISNUMBER(IFERROR(INDEX(Data!$AL$4:$AL$375,MATCH((WeekStart+0),Data!$A$4:$A$375,0)),"")),IFERROR(INDEX(Data!$AL$4:$AL$375,MATCH((WeekStart+0),Data!$A$4:$A$375,0)),""),"")</f>
        <v/>
      </c>
      <c r="D47" s="1" t="n"/>
      <c r="E47" s="136">
        <f>"Energy  "&amp;IF(ISNUMBER(IFERROR(INDEX(Data!$AL$4:$AL$375,MATCH((WeekStart+1),Data!$A$4:$A$375,0)),"")),IF(ISNUMBER((IFERROR(INDEX(Data!$AL$4:$AL$375,MATCH((WeekStart+1),Data!$A$4:$A$375,0)),""))/10),REPT("█",ROUND(MAX(0,MIN(1,(IFERROR(INDEX(Data!$AL$4:$AL$375,MATCH((WeekStart+1),Data!$A$4:$A$375,0)),""))/10))*6,0))&amp;REPT("░",6-ROUND(MAX(0,MIN(1,(IFERROR(INDEX(Data!$AL$4:$AL$375,MATCH((WeekStart+1),Data!$A$4:$A$375,0)),""))/10))*6,0)),""),"")</f>
        <v/>
      </c>
      <c r="F47" s="137">
        <f>IF(ISNUMBER(IFERROR(INDEX(Data!$AL$4:$AL$375,MATCH((WeekStart+1),Data!$A$4:$A$375,0)),"")),IFERROR(INDEX(Data!$AL$4:$AL$375,MATCH((WeekStart+1),Data!$A$4:$A$375,0)),""),"")</f>
        <v/>
      </c>
      <c r="G47" s="1" t="n"/>
      <c r="H47" s="136">
        <f>"Energy  "&amp;IF(ISNUMBER(IFERROR(INDEX(Data!$AL$4:$AL$375,MATCH((WeekStart+2),Data!$A$4:$A$375,0)),"")),IF(ISNUMBER((IFERROR(INDEX(Data!$AL$4:$AL$375,MATCH((WeekStart+2),Data!$A$4:$A$375,0)),""))/10),REPT("█",ROUND(MAX(0,MIN(1,(IFERROR(INDEX(Data!$AL$4:$AL$375,MATCH((WeekStart+2),Data!$A$4:$A$375,0)),""))/10))*6,0))&amp;REPT("░",6-ROUND(MAX(0,MIN(1,(IFERROR(INDEX(Data!$AL$4:$AL$375,MATCH((WeekStart+2),Data!$A$4:$A$375,0)),""))/10))*6,0)),""),"")</f>
        <v/>
      </c>
      <c r="I47" s="137">
        <f>IF(ISNUMBER(IFERROR(INDEX(Data!$AL$4:$AL$375,MATCH((WeekStart+2),Data!$A$4:$A$375,0)),"")),IFERROR(INDEX(Data!$AL$4:$AL$375,MATCH((WeekStart+2),Data!$A$4:$A$375,0)),""),"")</f>
        <v/>
      </c>
      <c r="J47" s="1" t="n"/>
      <c r="K47" s="136">
        <f>"Energy  "&amp;IF(ISNUMBER(IFERROR(INDEX(Data!$AL$4:$AL$375,MATCH((WeekStart+3),Data!$A$4:$A$375,0)),"")),IF(ISNUMBER((IFERROR(INDEX(Data!$AL$4:$AL$375,MATCH((WeekStart+3),Data!$A$4:$A$375,0)),""))/10),REPT("█",ROUND(MAX(0,MIN(1,(IFERROR(INDEX(Data!$AL$4:$AL$375,MATCH((WeekStart+3),Data!$A$4:$A$375,0)),""))/10))*6,0))&amp;REPT("░",6-ROUND(MAX(0,MIN(1,(IFERROR(INDEX(Data!$AL$4:$AL$375,MATCH((WeekStart+3),Data!$A$4:$A$375,0)),""))/10))*6,0)),""),"")</f>
        <v/>
      </c>
      <c r="L47" s="137">
        <f>IF(ISNUMBER(IFERROR(INDEX(Data!$AL$4:$AL$375,MATCH((WeekStart+3),Data!$A$4:$A$375,0)),"")),IFERROR(INDEX(Data!$AL$4:$AL$375,MATCH((WeekStart+3),Data!$A$4:$A$375,0)),""),"")</f>
        <v/>
      </c>
      <c r="M47" s="1" t="n"/>
      <c r="N47" s="136">
        <f>"Energy  "&amp;IF(ISNUMBER(IFERROR(INDEX(Data!$AL$4:$AL$375,MATCH((WeekStart+4),Data!$A$4:$A$375,0)),"")),IF(ISNUMBER((IFERROR(INDEX(Data!$AL$4:$AL$375,MATCH((WeekStart+4),Data!$A$4:$A$375,0)),""))/10),REPT("█",ROUND(MAX(0,MIN(1,(IFERROR(INDEX(Data!$AL$4:$AL$375,MATCH((WeekStart+4),Data!$A$4:$A$375,0)),""))/10))*6,0))&amp;REPT("░",6-ROUND(MAX(0,MIN(1,(IFERROR(INDEX(Data!$AL$4:$AL$375,MATCH((WeekStart+4),Data!$A$4:$A$375,0)),""))/10))*6,0)),""),"")</f>
        <v/>
      </c>
      <c r="O47" s="137">
        <f>IF(ISNUMBER(IFERROR(INDEX(Data!$AL$4:$AL$375,MATCH((WeekStart+4),Data!$A$4:$A$375,0)),"")),IFERROR(INDEX(Data!$AL$4:$AL$375,MATCH((WeekStart+4),Data!$A$4:$A$375,0)),""),"")</f>
        <v/>
      </c>
      <c r="P47" s="1" t="n"/>
      <c r="Q47" s="136">
        <f>"Energy  "&amp;IF(ISNUMBER(IFERROR(INDEX(Data!$AL$4:$AL$375,MATCH((WeekStart+5),Data!$A$4:$A$375,0)),"")),IF(ISNUMBER((IFERROR(INDEX(Data!$AL$4:$AL$375,MATCH((WeekStart+5),Data!$A$4:$A$375,0)),""))/10),REPT("█",ROUND(MAX(0,MIN(1,(IFERROR(INDEX(Data!$AL$4:$AL$375,MATCH((WeekStart+5),Data!$A$4:$A$375,0)),""))/10))*6,0))&amp;REPT("░",6-ROUND(MAX(0,MIN(1,(IFERROR(INDEX(Data!$AL$4:$AL$375,MATCH((WeekStart+5),Data!$A$4:$A$375,0)),""))/10))*6,0)),""),"")</f>
        <v/>
      </c>
      <c r="R47" s="137">
        <f>IF(ISNUMBER(IFERROR(INDEX(Data!$AL$4:$AL$375,MATCH((WeekStart+5),Data!$A$4:$A$375,0)),"")),IFERROR(INDEX(Data!$AL$4:$AL$375,MATCH((WeekStart+5),Data!$A$4:$A$375,0)),""),"")</f>
        <v/>
      </c>
      <c r="S47" s="1" t="n"/>
      <c r="T47" s="136">
        <f>"Energy  "&amp;IF(ISNUMBER(IFERROR(INDEX(Data!$AL$4:$AL$375,MATCH((WeekStart+6),Data!$A$4:$A$375,0)),"")),IF(ISNUMBER((IFERROR(INDEX(Data!$AL$4:$AL$375,MATCH((WeekStart+6),Data!$A$4:$A$375,0)),""))/10),REPT("█",ROUND(MAX(0,MIN(1,(IFERROR(INDEX(Data!$AL$4:$AL$375,MATCH((WeekStart+6),Data!$A$4:$A$375,0)),""))/10))*6,0))&amp;REPT("░",6-ROUND(MAX(0,MIN(1,(IFERROR(INDEX(Data!$AL$4:$AL$375,MATCH((WeekStart+6),Data!$A$4:$A$375,0)),""))/10))*6,0)),""),"")</f>
        <v/>
      </c>
      <c r="U47" s="137">
        <f>IF(ISNUMBER(IFERROR(INDEX(Data!$AL$4:$AL$375,MATCH((WeekStart+6),Data!$A$4:$A$375,0)),"")),IFERROR(INDEX(Data!$AL$4:$AL$375,MATCH((WeekStart+6),Data!$A$4:$A$375,0)),""),"")</f>
        <v/>
      </c>
      <c r="V47" s="1" t="n"/>
    </row>
    <row r="48" ht="17" customHeight="1">
      <c r="A48" s="1" t="n"/>
      <c r="B48" s="138">
        <f>"Stress  "&amp;IF(ISNUMBER(IFERROR(INDEX(Data!$AM$4:$AM$375,MATCH((WeekStart+0),Data!$A$4:$A$375,0)),"")),IF(ISNUMBER((IFERROR(INDEX(Data!$AM$4:$AM$375,MATCH((WeekStart+0),Data!$A$4:$A$375,0)),""))/10),REPT("█",ROUND(MAX(0,MIN(1,(IFERROR(INDEX(Data!$AM$4:$AM$375,MATCH((WeekStart+0),Data!$A$4:$A$375,0)),""))/10))*6,0))&amp;REPT("░",6-ROUND(MAX(0,MIN(1,(IFERROR(INDEX(Data!$AM$4:$AM$375,MATCH((WeekStart+0),Data!$A$4:$A$375,0)),""))/10))*6,0)),""),"")</f>
        <v/>
      </c>
      <c r="C48" s="137">
        <f>IF(ISNUMBER(IFERROR(INDEX(Data!$AM$4:$AM$375,MATCH((WeekStart+0),Data!$A$4:$A$375,0)),"")),IFERROR(INDEX(Data!$AM$4:$AM$375,MATCH((WeekStart+0),Data!$A$4:$A$375,0)),""),"")</f>
        <v/>
      </c>
      <c r="D48" s="1" t="n"/>
      <c r="E48" s="138">
        <f>"Stress  "&amp;IF(ISNUMBER(IFERROR(INDEX(Data!$AM$4:$AM$375,MATCH((WeekStart+1),Data!$A$4:$A$375,0)),"")),IF(ISNUMBER((IFERROR(INDEX(Data!$AM$4:$AM$375,MATCH((WeekStart+1),Data!$A$4:$A$375,0)),""))/10),REPT("█",ROUND(MAX(0,MIN(1,(IFERROR(INDEX(Data!$AM$4:$AM$375,MATCH((WeekStart+1),Data!$A$4:$A$375,0)),""))/10))*6,0))&amp;REPT("░",6-ROUND(MAX(0,MIN(1,(IFERROR(INDEX(Data!$AM$4:$AM$375,MATCH((WeekStart+1),Data!$A$4:$A$375,0)),""))/10))*6,0)),""),"")</f>
        <v/>
      </c>
      <c r="F48" s="137">
        <f>IF(ISNUMBER(IFERROR(INDEX(Data!$AM$4:$AM$375,MATCH((WeekStart+1),Data!$A$4:$A$375,0)),"")),IFERROR(INDEX(Data!$AM$4:$AM$375,MATCH((WeekStart+1),Data!$A$4:$A$375,0)),""),"")</f>
        <v/>
      </c>
      <c r="G48" s="1" t="n"/>
      <c r="H48" s="138">
        <f>"Stress  "&amp;IF(ISNUMBER(IFERROR(INDEX(Data!$AM$4:$AM$375,MATCH((WeekStart+2),Data!$A$4:$A$375,0)),"")),IF(ISNUMBER((IFERROR(INDEX(Data!$AM$4:$AM$375,MATCH((WeekStart+2),Data!$A$4:$A$375,0)),""))/10),REPT("█",ROUND(MAX(0,MIN(1,(IFERROR(INDEX(Data!$AM$4:$AM$375,MATCH((WeekStart+2),Data!$A$4:$A$375,0)),""))/10))*6,0))&amp;REPT("░",6-ROUND(MAX(0,MIN(1,(IFERROR(INDEX(Data!$AM$4:$AM$375,MATCH((WeekStart+2),Data!$A$4:$A$375,0)),""))/10))*6,0)),""),"")</f>
        <v/>
      </c>
      <c r="I48" s="137">
        <f>IF(ISNUMBER(IFERROR(INDEX(Data!$AM$4:$AM$375,MATCH((WeekStart+2),Data!$A$4:$A$375,0)),"")),IFERROR(INDEX(Data!$AM$4:$AM$375,MATCH((WeekStart+2),Data!$A$4:$A$375,0)),""),"")</f>
        <v/>
      </c>
      <c r="J48" s="1" t="n"/>
      <c r="K48" s="138">
        <f>"Stress  "&amp;IF(ISNUMBER(IFERROR(INDEX(Data!$AM$4:$AM$375,MATCH((WeekStart+3),Data!$A$4:$A$375,0)),"")),IF(ISNUMBER((IFERROR(INDEX(Data!$AM$4:$AM$375,MATCH((WeekStart+3),Data!$A$4:$A$375,0)),""))/10),REPT("█",ROUND(MAX(0,MIN(1,(IFERROR(INDEX(Data!$AM$4:$AM$375,MATCH((WeekStart+3),Data!$A$4:$A$375,0)),""))/10))*6,0))&amp;REPT("░",6-ROUND(MAX(0,MIN(1,(IFERROR(INDEX(Data!$AM$4:$AM$375,MATCH((WeekStart+3),Data!$A$4:$A$375,0)),""))/10))*6,0)),""),"")</f>
        <v/>
      </c>
      <c r="L48" s="137">
        <f>IF(ISNUMBER(IFERROR(INDEX(Data!$AM$4:$AM$375,MATCH((WeekStart+3),Data!$A$4:$A$375,0)),"")),IFERROR(INDEX(Data!$AM$4:$AM$375,MATCH((WeekStart+3),Data!$A$4:$A$375,0)),""),"")</f>
        <v/>
      </c>
      <c r="M48" s="1" t="n"/>
      <c r="N48" s="138">
        <f>"Stress  "&amp;IF(ISNUMBER(IFERROR(INDEX(Data!$AM$4:$AM$375,MATCH((WeekStart+4),Data!$A$4:$A$375,0)),"")),IF(ISNUMBER((IFERROR(INDEX(Data!$AM$4:$AM$375,MATCH((WeekStart+4),Data!$A$4:$A$375,0)),""))/10),REPT("█",ROUND(MAX(0,MIN(1,(IFERROR(INDEX(Data!$AM$4:$AM$375,MATCH((WeekStart+4),Data!$A$4:$A$375,0)),""))/10))*6,0))&amp;REPT("░",6-ROUND(MAX(0,MIN(1,(IFERROR(INDEX(Data!$AM$4:$AM$375,MATCH((WeekStart+4),Data!$A$4:$A$375,0)),""))/10))*6,0)),""),"")</f>
        <v/>
      </c>
      <c r="O48" s="137">
        <f>IF(ISNUMBER(IFERROR(INDEX(Data!$AM$4:$AM$375,MATCH((WeekStart+4),Data!$A$4:$A$375,0)),"")),IFERROR(INDEX(Data!$AM$4:$AM$375,MATCH((WeekStart+4),Data!$A$4:$A$375,0)),""),"")</f>
        <v/>
      </c>
      <c r="P48" s="1" t="n"/>
      <c r="Q48" s="138">
        <f>"Stress  "&amp;IF(ISNUMBER(IFERROR(INDEX(Data!$AM$4:$AM$375,MATCH((WeekStart+5),Data!$A$4:$A$375,0)),"")),IF(ISNUMBER((IFERROR(INDEX(Data!$AM$4:$AM$375,MATCH((WeekStart+5),Data!$A$4:$A$375,0)),""))/10),REPT("█",ROUND(MAX(0,MIN(1,(IFERROR(INDEX(Data!$AM$4:$AM$375,MATCH((WeekStart+5),Data!$A$4:$A$375,0)),""))/10))*6,0))&amp;REPT("░",6-ROUND(MAX(0,MIN(1,(IFERROR(INDEX(Data!$AM$4:$AM$375,MATCH((WeekStart+5),Data!$A$4:$A$375,0)),""))/10))*6,0)),""),"")</f>
        <v/>
      </c>
      <c r="R48" s="137">
        <f>IF(ISNUMBER(IFERROR(INDEX(Data!$AM$4:$AM$375,MATCH((WeekStart+5),Data!$A$4:$A$375,0)),"")),IFERROR(INDEX(Data!$AM$4:$AM$375,MATCH((WeekStart+5),Data!$A$4:$A$375,0)),""),"")</f>
        <v/>
      </c>
      <c r="S48" s="1" t="n"/>
      <c r="T48" s="138">
        <f>"Stress  "&amp;IF(ISNUMBER(IFERROR(INDEX(Data!$AM$4:$AM$375,MATCH((WeekStart+6),Data!$A$4:$A$375,0)),"")),IF(ISNUMBER((IFERROR(INDEX(Data!$AM$4:$AM$375,MATCH((WeekStart+6),Data!$A$4:$A$375,0)),""))/10),REPT("█",ROUND(MAX(0,MIN(1,(IFERROR(INDEX(Data!$AM$4:$AM$375,MATCH((WeekStart+6),Data!$A$4:$A$375,0)),""))/10))*6,0))&amp;REPT("░",6-ROUND(MAX(0,MIN(1,(IFERROR(INDEX(Data!$AM$4:$AM$375,MATCH((WeekStart+6),Data!$A$4:$A$375,0)),""))/10))*6,0)),""),"")</f>
        <v/>
      </c>
      <c r="U48" s="137">
        <f>IF(ISNUMBER(IFERROR(INDEX(Data!$AM$4:$AM$375,MATCH((WeekStart+6),Data!$A$4:$A$375,0)),"")),IFERROR(INDEX(Data!$AM$4:$AM$375,MATCH((WeekStart+6),Data!$A$4:$A$375,0)),""),"")</f>
        <v/>
      </c>
      <c r="V48" s="1" t="n"/>
    </row>
    <row r="49" ht="17" customHeight="1">
      <c r="A49" s="1" t="n"/>
      <c r="B49" s="139">
        <f>"Mood    "&amp;IF(ISNUMBER(IFERROR(INDEX(Data!$AN$4:$AN$375,MATCH((WeekStart+0),Data!$A$4:$A$375,0)),"")),IF(ISNUMBER((IFERROR(INDEX(Data!$AN$4:$AN$375,MATCH((WeekStart+0),Data!$A$4:$A$375,0)),""))/10),REPT("█",ROUND(MAX(0,MIN(1,(IFERROR(INDEX(Data!$AN$4:$AN$375,MATCH((WeekStart+0),Data!$A$4:$A$375,0)),""))/10))*6,0))&amp;REPT("░",6-ROUND(MAX(0,MIN(1,(IFERROR(INDEX(Data!$AN$4:$AN$375,MATCH((WeekStart+0),Data!$A$4:$A$375,0)),""))/10))*6,0)),""),"")</f>
        <v/>
      </c>
      <c r="C49" s="137">
        <f>IF(ISNUMBER(IFERROR(INDEX(Data!$AN$4:$AN$375,MATCH((WeekStart+0),Data!$A$4:$A$375,0)),"")),IFERROR(INDEX(Data!$AN$4:$AN$375,MATCH((WeekStart+0),Data!$A$4:$A$375,0)),""),"")</f>
        <v/>
      </c>
      <c r="D49" s="1" t="n"/>
      <c r="E49" s="139">
        <f>"Mood    "&amp;IF(ISNUMBER(IFERROR(INDEX(Data!$AN$4:$AN$375,MATCH((WeekStart+1),Data!$A$4:$A$375,0)),"")),IF(ISNUMBER((IFERROR(INDEX(Data!$AN$4:$AN$375,MATCH((WeekStart+1),Data!$A$4:$A$375,0)),""))/10),REPT("█",ROUND(MAX(0,MIN(1,(IFERROR(INDEX(Data!$AN$4:$AN$375,MATCH((WeekStart+1),Data!$A$4:$A$375,0)),""))/10))*6,0))&amp;REPT("░",6-ROUND(MAX(0,MIN(1,(IFERROR(INDEX(Data!$AN$4:$AN$375,MATCH((WeekStart+1),Data!$A$4:$A$375,0)),""))/10))*6,0)),""),"")</f>
        <v/>
      </c>
      <c r="F49" s="137">
        <f>IF(ISNUMBER(IFERROR(INDEX(Data!$AN$4:$AN$375,MATCH((WeekStart+1),Data!$A$4:$A$375,0)),"")),IFERROR(INDEX(Data!$AN$4:$AN$375,MATCH((WeekStart+1),Data!$A$4:$A$375,0)),""),"")</f>
        <v/>
      </c>
      <c r="G49" s="1" t="n"/>
      <c r="H49" s="139">
        <f>"Mood    "&amp;IF(ISNUMBER(IFERROR(INDEX(Data!$AN$4:$AN$375,MATCH((WeekStart+2),Data!$A$4:$A$375,0)),"")),IF(ISNUMBER((IFERROR(INDEX(Data!$AN$4:$AN$375,MATCH((WeekStart+2),Data!$A$4:$A$375,0)),""))/10),REPT("█",ROUND(MAX(0,MIN(1,(IFERROR(INDEX(Data!$AN$4:$AN$375,MATCH((WeekStart+2),Data!$A$4:$A$375,0)),""))/10))*6,0))&amp;REPT("░",6-ROUND(MAX(0,MIN(1,(IFERROR(INDEX(Data!$AN$4:$AN$375,MATCH((WeekStart+2),Data!$A$4:$A$375,0)),""))/10))*6,0)),""),"")</f>
        <v/>
      </c>
      <c r="I49" s="137">
        <f>IF(ISNUMBER(IFERROR(INDEX(Data!$AN$4:$AN$375,MATCH((WeekStart+2),Data!$A$4:$A$375,0)),"")),IFERROR(INDEX(Data!$AN$4:$AN$375,MATCH((WeekStart+2),Data!$A$4:$A$375,0)),""),"")</f>
        <v/>
      </c>
      <c r="J49" s="1" t="n"/>
      <c r="K49" s="139">
        <f>"Mood    "&amp;IF(ISNUMBER(IFERROR(INDEX(Data!$AN$4:$AN$375,MATCH((WeekStart+3),Data!$A$4:$A$375,0)),"")),IF(ISNUMBER((IFERROR(INDEX(Data!$AN$4:$AN$375,MATCH((WeekStart+3),Data!$A$4:$A$375,0)),""))/10),REPT("█",ROUND(MAX(0,MIN(1,(IFERROR(INDEX(Data!$AN$4:$AN$375,MATCH((WeekStart+3),Data!$A$4:$A$375,0)),""))/10))*6,0))&amp;REPT("░",6-ROUND(MAX(0,MIN(1,(IFERROR(INDEX(Data!$AN$4:$AN$375,MATCH((WeekStart+3),Data!$A$4:$A$375,0)),""))/10))*6,0)),""),"")</f>
        <v/>
      </c>
      <c r="L49" s="137">
        <f>IF(ISNUMBER(IFERROR(INDEX(Data!$AN$4:$AN$375,MATCH((WeekStart+3),Data!$A$4:$A$375,0)),"")),IFERROR(INDEX(Data!$AN$4:$AN$375,MATCH((WeekStart+3),Data!$A$4:$A$375,0)),""),"")</f>
        <v/>
      </c>
      <c r="M49" s="1" t="n"/>
      <c r="N49" s="139">
        <f>"Mood    "&amp;IF(ISNUMBER(IFERROR(INDEX(Data!$AN$4:$AN$375,MATCH((WeekStart+4),Data!$A$4:$A$375,0)),"")),IF(ISNUMBER((IFERROR(INDEX(Data!$AN$4:$AN$375,MATCH((WeekStart+4),Data!$A$4:$A$375,0)),""))/10),REPT("█",ROUND(MAX(0,MIN(1,(IFERROR(INDEX(Data!$AN$4:$AN$375,MATCH((WeekStart+4),Data!$A$4:$A$375,0)),""))/10))*6,0))&amp;REPT("░",6-ROUND(MAX(0,MIN(1,(IFERROR(INDEX(Data!$AN$4:$AN$375,MATCH((WeekStart+4),Data!$A$4:$A$375,0)),""))/10))*6,0)),""),"")</f>
        <v/>
      </c>
      <c r="O49" s="137">
        <f>IF(ISNUMBER(IFERROR(INDEX(Data!$AN$4:$AN$375,MATCH((WeekStart+4),Data!$A$4:$A$375,0)),"")),IFERROR(INDEX(Data!$AN$4:$AN$375,MATCH((WeekStart+4),Data!$A$4:$A$375,0)),""),"")</f>
        <v/>
      </c>
      <c r="P49" s="1" t="n"/>
      <c r="Q49" s="139">
        <f>"Mood    "&amp;IF(ISNUMBER(IFERROR(INDEX(Data!$AN$4:$AN$375,MATCH((WeekStart+5),Data!$A$4:$A$375,0)),"")),IF(ISNUMBER((IFERROR(INDEX(Data!$AN$4:$AN$375,MATCH((WeekStart+5),Data!$A$4:$A$375,0)),""))/10),REPT("█",ROUND(MAX(0,MIN(1,(IFERROR(INDEX(Data!$AN$4:$AN$375,MATCH((WeekStart+5),Data!$A$4:$A$375,0)),""))/10))*6,0))&amp;REPT("░",6-ROUND(MAX(0,MIN(1,(IFERROR(INDEX(Data!$AN$4:$AN$375,MATCH((WeekStart+5),Data!$A$4:$A$375,0)),""))/10))*6,0)),""),"")</f>
        <v/>
      </c>
      <c r="R49" s="137">
        <f>IF(ISNUMBER(IFERROR(INDEX(Data!$AN$4:$AN$375,MATCH((WeekStart+5),Data!$A$4:$A$375,0)),"")),IFERROR(INDEX(Data!$AN$4:$AN$375,MATCH((WeekStart+5),Data!$A$4:$A$375,0)),""),"")</f>
        <v/>
      </c>
      <c r="S49" s="1" t="n"/>
      <c r="T49" s="139">
        <f>"Mood    "&amp;IF(ISNUMBER(IFERROR(INDEX(Data!$AN$4:$AN$375,MATCH((WeekStart+6),Data!$A$4:$A$375,0)),"")),IF(ISNUMBER((IFERROR(INDEX(Data!$AN$4:$AN$375,MATCH((WeekStart+6),Data!$A$4:$A$375,0)),""))/10),REPT("█",ROUND(MAX(0,MIN(1,(IFERROR(INDEX(Data!$AN$4:$AN$375,MATCH((WeekStart+6),Data!$A$4:$A$375,0)),""))/10))*6,0))&amp;REPT("░",6-ROUND(MAX(0,MIN(1,(IFERROR(INDEX(Data!$AN$4:$AN$375,MATCH((WeekStart+6),Data!$A$4:$A$375,0)),""))/10))*6,0)),""),"")</f>
        <v/>
      </c>
      <c r="U49" s="137">
        <f>IF(ISNUMBER(IFERROR(INDEX(Data!$AN$4:$AN$375,MATCH((WeekStart+6),Data!$A$4:$A$375,0)),"")),IFERROR(INDEX(Data!$AN$4:$AN$375,MATCH((WeekStart+6),Data!$A$4:$A$375,0)),""),"")</f>
        <v/>
      </c>
      <c r="V49" s="1" t="n"/>
    </row>
    <row r="50" ht="17" customHeight="1">
      <c r="A50" s="1" t="n"/>
      <c r="B50" s="140">
        <f>"Protein "&amp;IF(ISNUMBER(IFERROR(INDEX(Data!$AH$4:$AH$375,MATCH((WeekStart+0),Data!$A$4:$A$375,0)),"")),IF(ISNUMBER((IFERROR(INDEX(Data!$AH$4:$AH$375,MATCH((WeekStart+0),Data!$A$4:$A$375,0)),""))/150),REPT("█",ROUND(MAX(0,MIN(1,(IFERROR(INDEX(Data!$AH$4:$AH$375,MATCH((WeekStart+0),Data!$A$4:$A$375,0)),""))/150))*6,0))&amp;REPT("░",6-ROUND(MAX(0,MIN(1,(IFERROR(INDEX(Data!$AH$4:$AH$375,MATCH((WeekStart+0),Data!$A$4:$A$375,0)),""))/150))*6,0)),""),"")</f>
        <v/>
      </c>
      <c r="C50" s="137">
        <f>IF(ISNUMBER(IFERROR(INDEX(Data!$AH$4:$AH$375,MATCH((WeekStart+0),Data!$A$4:$A$375,0)),"")),IFERROR(INDEX(Data!$AH$4:$AH$375,MATCH((WeekStart+0),Data!$A$4:$A$375,0)),""),"")</f>
        <v/>
      </c>
      <c r="D50" s="1" t="n"/>
      <c r="E50" s="140">
        <f>"Protein "&amp;IF(ISNUMBER(IFERROR(INDEX(Data!$AH$4:$AH$375,MATCH((WeekStart+1),Data!$A$4:$A$375,0)),"")),IF(ISNUMBER((IFERROR(INDEX(Data!$AH$4:$AH$375,MATCH((WeekStart+1),Data!$A$4:$A$375,0)),""))/150),REPT("█",ROUND(MAX(0,MIN(1,(IFERROR(INDEX(Data!$AH$4:$AH$375,MATCH((WeekStart+1),Data!$A$4:$A$375,0)),""))/150))*6,0))&amp;REPT("░",6-ROUND(MAX(0,MIN(1,(IFERROR(INDEX(Data!$AH$4:$AH$375,MATCH((WeekStart+1),Data!$A$4:$A$375,0)),""))/150))*6,0)),""),"")</f>
        <v/>
      </c>
      <c r="F50" s="137">
        <f>IF(ISNUMBER(IFERROR(INDEX(Data!$AH$4:$AH$375,MATCH((WeekStart+1),Data!$A$4:$A$375,0)),"")),IFERROR(INDEX(Data!$AH$4:$AH$375,MATCH((WeekStart+1),Data!$A$4:$A$375,0)),""),"")</f>
        <v/>
      </c>
      <c r="G50" s="1" t="n"/>
      <c r="H50" s="140">
        <f>"Protein "&amp;IF(ISNUMBER(IFERROR(INDEX(Data!$AH$4:$AH$375,MATCH((WeekStart+2),Data!$A$4:$A$375,0)),"")),IF(ISNUMBER((IFERROR(INDEX(Data!$AH$4:$AH$375,MATCH((WeekStart+2),Data!$A$4:$A$375,0)),""))/150),REPT("█",ROUND(MAX(0,MIN(1,(IFERROR(INDEX(Data!$AH$4:$AH$375,MATCH((WeekStart+2),Data!$A$4:$A$375,0)),""))/150))*6,0))&amp;REPT("░",6-ROUND(MAX(0,MIN(1,(IFERROR(INDEX(Data!$AH$4:$AH$375,MATCH((WeekStart+2),Data!$A$4:$A$375,0)),""))/150))*6,0)),""),"")</f>
        <v/>
      </c>
      <c r="I50" s="137">
        <f>IF(ISNUMBER(IFERROR(INDEX(Data!$AH$4:$AH$375,MATCH((WeekStart+2),Data!$A$4:$A$375,0)),"")),IFERROR(INDEX(Data!$AH$4:$AH$375,MATCH((WeekStart+2),Data!$A$4:$A$375,0)),""),"")</f>
        <v/>
      </c>
      <c r="J50" s="1" t="n"/>
      <c r="K50" s="140">
        <f>"Protein "&amp;IF(ISNUMBER(IFERROR(INDEX(Data!$AH$4:$AH$375,MATCH((WeekStart+3),Data!$A$4:$A$375,0)),"")),IF(ISNUMBER((IFERROR(INDEX(Data!$AH$4:$AH$375,MATCH((WeekStart+3),Data!$A$4:$A$375,0)),""))/150),REPT("█",ROUND(MAX(0,MIN(1,(IFERROR(INDEX(Data!$AH$4:$AH$375,MATCH((WeekStart+3),Data!$A$4:$A$375,0)),""))/150))*6,0))&amp;REPT("░",6-ROUND(MAX(0,MIN(1,(IFERROR(INDEX(Data!$AH$4:$AH$375,MATCH((WeekStart+3),Data!$A$4:$A$375,0)),""))/150))*6,0)),""),"")</f>
        <v/>
      </c>
      <c r="L50" s="137">
        <f>IF(ISNUMBER(IFERROR(INDEX(Data!$AH$4:$AH$375,MATCH((WeekStart+3),Data!$A$4:$A$375,0)),"")),IFERROR(INDEX(Data!$AH$4:$AH$375,MATCH((WeekStart+3),Data!$A$4:$A$375,0)),""),"")</f>
        <v/>
      </c>
      <c r="M50" s="1" t="n"/>
      <c r="N50" s="140">
        <f>"Protein "&amp;IF(ISNUMBER(IFERROR(INDEX(Data!$AH$4:$AH$375,MATCH((WeekStart+4),Data!$A$4:$A$375,0)),"")),IF(ISNUMBER((IFERROR(INDEX(Data!$AH$4:$AH$375,MATCH((WeekStart+4),Data!$A$4:$A$375,0)),""))/150),REPT("█",ROUND(MAX(0,MIN(1,(IFERROR(INDEX(Data!$AH$4:$AH$375,MATCH((WeekStart+4),Data!$A$4:$A$375,0)),""))/150))*6,0))&amp;REPT("░",6-ROUND(MAX(0,MIN(1,(IFERROR(INDEX(Data!$AH$4:$AH$375,MATCH((WeekStart+4),Data!$A$4:$A$375,0)),""))/150))*6,0)),""),"")</f>
        <v/>
      </c>
      <c r="O50" s="137">
        <f>IF(ISNUMBER(IFERROR(INDEX(Data!$AH$4:$AH$375,MATCH((WeekStart+4),Data!$A$4:$A$375,0)),"")),IFERROR(INDEX(Data!$AH$4:$AH$375,MATCH((WeekStart+4),Data!$A$4:$A$375,0)),""),"")</f>
        <v/>
      </c>
      <c r="P50" s="1" t="n"/>
      <c r="Q50" s="140">
        <f>"Protein "&amp;IF(ISNUMBER(IFERROR(INDEX(Data!$AH$4:$AH$375,MATCH((WeekStart+5),Data!$A$4:$A$375,0)),"")),IF(ISNUMBER((IFERROR(INDEX(Data!$AH$4:$AH$375,MATCH((WeekStart+5),Data!$A$4:$A$375,0)),""))/150),REPT("█",ROUND(MAX(0,MIN(1,(IFERROR(INDEX(Data!$AH$4:$AH$375,MATCH((WeekStart+5),Data!$A$4:$A$375,0)),""))/150))*6,0))&amp;REPT("░",6-ROUND(MAX(0,MIN(1,(IFERROR(INDEX(Data!$AH$4:$AH$375,MATCH((WeekStart+5),Data!$A$4:$A$375,0)),""))/150))*6,0)),""),"")</f>
        <v/>
      </c>
      <c r="R50" s="137">
        <f>IF(ISNUMBER(IFERROR(INDEX(Data!$AH$4:$AH$375,MATCH((WeekStart+5),Data!$A$4:$A$375,0)),"")),IFERROR(INDEX(Data!$AH$4:$AH$375,MATCH((WeekStart+5),Data!$A$4:$A$375,0)),""),"")</f>
        <v/>
      </c>
      <c r="S50" s="1" t="n"/>
      <c r="T50" s="140">
        <f>"Protein "&amp;IF(ISNUMBER(IFERROR(INDEX(Data!$AH$4:$AH$375,MATCH((WeekStart+6),Data!$A$4:$A$375,0)),"")),IF(ISNUMBER((IFERROR(INDEX(Data!$AH$4:$AH$375,MATCH((WeekStart+6),Data!$A$4:$A$375,0)),""))/150),REPT("█",ROUND(MAX(0,MIN(1,(IFERROR(INDEX(Data!$AH$4:$AH$375,MATCH((WeekStart+6),Data!$A$4:$A$375,0)),""))/150))*6,0))&amp;REPT("░",6-ROUND(MAX(0,MIN(1,(IFERROR(INDEX(Data!$AH$4:$AH$375,MATCH((WeekStart+6),Data!$A$4:$A$375,0)),""))/150))*6,0)),""),"")</f>
        <v/>
      </c>
      <c r="U50" s="137">
        <f>IF(ISNUMBER(IFERROR(INDEX(Data!$AH$4:$AH$375,MATCH((WeekStart+6),Data!$A$4:$A$375,0)),"")),IFERROR(INDEX(Data!$AH$4:$AH$375,MATCH((WeekStart+6),Data!$A$4:$A$375,0)),""),"")</f>
        <v/>
      </c>
      <c r="V50" s="1" t="n"/>
    </row>
    <row r="51" ht="17" customHeight="1">
      <c r="A51" s="1" t="n"/>
      <c r="B51" s="141">
        <f>"Steps   "&amp;IF(ISNUMBER(IFERROR(INDEX(Data!$AG$4:$AG$375,MATCH((WeekStart+0),Data!$A$4:$A$375,0)),"")),IF(ISNUMBER((IFERROR(INDEX(Data!$AG$4:$AG$375,MATCH((WeekStart+0),Data!$A$4:$A$375,0)),""))/10000),REPT("█",ROUND(MAX(0,MIN(1,(IFERROR(INDEX(Data!$AG$4:$AG$375,MATCH((WeekStart+0),Data!$A$4:$A$375,0)),""))/10000))*6,0))&amp;REPT("░",6-ROUND(MAX(0,MIN(1,(IFERROR(INDEX(Data!$AG$4:$AG$375,MATCH((WeekStart+0),Data!$A$4:$A$375,0)),""))/10000))*6,0)),""),"")</f>
        <v/>
      </c>
      <c r="C51" s="142">
        <f>IF(ISNUMBER(IFERROR(INDEX(Data!$AG$4:$AG$375,MATCH((WeekStart+0),Data!$A$4:$A$375,0)),"")),(IFERROR(INDEX(Data!$AG$4:$AG$375,MATCH((WeekStart+0),Data!$A$4:$A$375,0)),""))/1000,"")</f>
        <v/>
      </c>
      <c r="D51" s="1" t="n"/>
      <c r="E51" s="141">
        <f>"Steps   "&amp;IF(ISNUMBER(IFERROR(INDEX(Data!$AG$4:$AG$375,MATCH((WeekStart+1),Data!$A$4:$A$375,0)),"")),IF(ISNUMBER((IFERROR(INDEX(Data!$AG$4:$AG$375,MATCH((WeekStart+1),Data!$A$4:$A$375,0)),""))/10000),REPT("█",ROUND(MAX(0,MIN(1,(IFERROR(INDEX(Data!$AG$4:$AG$375,MATCH((WeekStart+1),Data!$A$4:$A$375,0)),""))/10000))*6,0))&amp;REPT("░",6-ROUND(MAX(0,MIN(1,(IFERROR(INDEX(Data!$AG$4:$AG$375,MATCH((WeekStart+1),Data!$A$4:$A$375,0)),""))/10000))*6,0)),""),"")</f>
        <v/>
      </c>
      <c r="F51" s="142">
        <f>IF(ISNUMBER(IFERROR(INDEX(Data!$AG$4:$AG$375,MATCH((WeekStart+1),Data!$A$4:$A$375,0)),"")),(IFERROR(INDEX(Data!$AG$4:$AG$375,MATCH((WeekStart+1),Data!$A$4:$A$375,0)),""))/1000,"")</f>
        <v/>
      </c>
      <c r="G51" s="1" t="n"/>
      <c r="H51" s="141">
        <f>"Steps   "&amp;IF(ISNUMBER(IFERROR(INDEX(Data!$AG$4:$AG$375,MATCH((WeekStart+2),Data!$A$4:$A$375,0)),"")),IF(ISNUMBER((IFERROR(INDEX(Data!$AG$4:$AG$375,MATCH((WeekStart+2),Data!$A$4:$A$375,0)),""))/10000),REPT("█",ROUND(MAX(0,MIN(1,(IFERROR(INDEX(Data!$AG$4:$AG$375,MATCH((WeekStart+2),Data!$A$4:$A$375,0)),""))/10000))*6,0))&amp;REPT("░",6-ROUND(MAX(0,MIN(1,(IFERROR(INDEX(Data!$AG$4:$AG$375,MATCH((WeekStart+2),Data!$A$4:$A$375,0)),""))/10000))*6,0)),""),"")</f>
        <v/>
      </c>
      <c r="I51" s="142">
        <f>IF(ISNUMBER(IFERROR(INDEX(Data!$AG$4:$AG$375,MATCH((WeekStart+2),Data!$A$4:$A$375,0)),"")),(IFERROR(INDEX(Data!$AG$4:$AG$375,MATCH((WeekStart+2),Data!$A$4:$A$375,0)),""))/1000,"")</f>
        <v/>
      </c>
      <c r="J51" s="1" t="n"/>
      <c r="K51" s="141">
        <f>"Steps   "&amp;IF(ISNUMBER(IFERROR(INDEX(Data!$AG$4:$AG$375,MATCH((WeekStart+3),Data!$A$4:$A$375,0)),"")),IF(ISNUMBER((IFERROR(INDEX(Data!$AG$4:$AG$375,MATCH((WeekStart+3),Data!$A$4:$A$375,0)),""))/10000),REPT("█",ROUND(MAX(0,MIN(1,(IFERROR(INDEX(Data!$AG$4:$AG$375,MATCH((WeekStart+3),Data!$A$4:$A$375,0)),""))/10000))*6,0))&amp;REPT("░",6-ROUND(MAX(0,MIN(1,(IFERROR(INDEX(Data!$AG$4:$AG$375,MATCH((WeekStart+3),Data!$A$4:$A$375,0)),""))/10000))*6,0)),""),"")</f>
        <v/>
      </c>
      <c r="L51" s="142">
        <f>IF(ISNUMBER(IFERROR(INDEX(Data!$AG$4:$AG$375,MATCH((WeekStart+3),Data!$A$4:$A$375,0)),"")),(IFERROR(INDEX(Data!$AG$4:$AG$375,MATCH((WeekStart+3),Data!$A$4:$A$375,0)),""))/1000,"")</f>
        <v/>
      </c>
      <c r="M51" s="1" t="n"/>
      <c r="N51" s="141">
        <f>"Steps   "&amp;IF(ISNUMBER(IFERROR(INDEX(Data!$AG$4:$AG$375,MATCH((WeekStart+4),Data!$A$4:$A$375,0)),"")),IF(ISNUMBER((IFERROR(INDEX(Data!$AG$4:$AG$375,MATCH((WeekStart+4),Data!$A$4:$A$375,0)),""))/10000),REPT("█",ROUND(MAX(0,MIN(1,(IFERROR(INDEX(Data!$AG$4:$AG$375,MATCH((WeekStart+4),Data!$A$4:$A$375,0)),""))/10000))*6,0))&amp;REPT("░",6-ROUND(MAX(0,MIN(1,(IFERROR(INDEX(Data!$AG$4:$AG$375,MATCH((WeekStart+4),Data!$A$4:$A$375,0)),""))/10000))*6,0)),""),"")</f>
        <v/>
      </c>
      <c r="O51" s="142">
        <f>IF(ISNUMBER(IFERROR(INDEX(Data!$AG$4:$AG$375,MATCH((WeekStart+4),Data!$A$4:$A$375,0)),"")),(IFERROR(INDEX(Data!$AG$4:$AG$375,MATCH((WeekStart+4),Data!$A$4:$A$375,0)),""))/1000,"")</f>
        <v/>
      </c>
      <c r="P51" s="1" t="n"/>
      <c r="Q51" s="141">
        <f>"Steps   "&amp;IF(ISNUMBER(IFERROR(INDEX(Data!$AG$4:$AG$375,MATCH((WeekStart+5),Data!$A$4:$A$375,0)),"")),IF(ISNUMBER((IFERROR(INDEX(Data!$AG$4:$AG$375,MATCH((WeekStart+5),Data!$A$4:$A$375,0)),""))/10000),REPT("█",ROUND(MAX(0,MIN(1,(IFERROR(INDEX(Data!$AG$4:$AG$375,MATCH((WeekStart+5),Data!$A$4:$A$375,0)),""))/10000))*6,0))&amp;REPT("░",6-ROUND(MAX(0,MIN(1,(IFERROR(INDEX(Data!$AG$4:$AG$375,MATCH((WeekStart+5),Data!$A$4:$A$375,0)),""))/10000))*6,0)),""),"")</f>
        <v/>
      </c>
      <c r="R51" s="142">
        <f>IF(ISNUMBER(IFERROR(INDEX(Data!$AG$4:$AG$375,MATCH((WeekStart+5),Data!$A$4:$A$375,0)),"")),(IFERROR(INDEX(Data!$AG$4:$AG$375,MATCH((WeekStart+5),Data!$A$4:$A$375,0)),""))/1000,"")</f>
        <v/>
      </c>
      <c r="S51" s="1" t="n"/>
      <c r="T51" s="141">
        <f>"Steps   "&amp;IF(ISNUMBER(IFERROR(INDEX(Data!$AG$4:$AG$375,MATCH((WeekStart+6),Data!$A$4:$A$375,0)),"")),IF(ISNUMBER((IFERROR(INDEX(Data!$AG$4:$AG$375,MATCH((WeekStart+6),Data!$A$4:$A$375,0)),""))/10000),REPT("█",ROUND(MAX(0,MIN(1,(IFERROR(INDEX(Data!$AG$4:$AG$375,MATCH((WeekStart+6),Data!$A$4:$A$375,0)),""))/10000))*6,0))&amp;REPT("░",6-ROUND(MAX(0,MIN(1,(IFERROR(INDEX(Data!$AG$4:$AG$375,MATCH((WeekStart+6),Data!$A$4:$A$375,0)),""))/10000))*6,0)),""),"")</f>
        <v/>
      </c>
      <c r="U51" s="142">
        <f>IF(ISNUMBER(IFERROR(INDEX(Data!$AG$4:$AG$375,MATCH((WeekStart+6),Data!$A$4:$A$375,0)),"")),(IFERROR(INDEX(Data!$AG$4:$AG$375,MATCH((WeekStart+6),Data!$A$4:$A$375,0)),""))/1000,"")</f>
        <v/>
      </c>
      <c r="V51" s="1" t="n"/>
    </row>
    <row r="52" ht="17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 ht="17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 ht="17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 ht="17" customHeight="1">
      <c r="A55" s="1" t="n"/>
      <c r="B55" s="143" t="inlineStr">
        <is>
          <t>chart data below (kept invisible on purpose)</t>
        </is>
      </c>
      <c r="O55" s="1" t="n"/>
      <c r="P55" s="1" t="n"/>
      <c r="Q55" s="1" t="n"/>
      <c r="R55" s="1" t="n"/>
      <c r="S55" s="1" t="n"/>
      <c r="T55" s="1" t="n"/>
      <c r="U55" s="1" t="n"/>
      <c r="V55" s="1" t="n"/>
    </row>
    <row r="56" ht="17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 ht="17" customHeight="1">
      <c r="A57" s="1" t="n"/>
      <c r="B57" s="144">
        <f>TEXT((WeekStart+0),"ddd")</f>
        <v/>
      </c>
      <c r="C57" s="145">
        <f>(WeekStart+0)</f>
        <v/>
      </c>
      <c r="D57" s="146">
        <f>IFERROR(INDEX(Data!$BF$4:$BF$375,MATCH((WeekStart+0),Data!$A$4:$A$375,0)),"")</f>
        <v/>
      </c>
      <c r="E57" s="144">
        <f>IF(ISNUMBER(D57),D57,NA())</f>
        <v/>
      </c>
      <c r="F57" s="144">
        <f>IF(ISNUMBER(D57),D57,0)</f>
        <v/>
      </c>
      <c r="G57" s="144">
        <f>1-F57</f>
        <v/>
      </c>
      <c r="H57" s="144">
        <f>IF(ISNUMBER(IFERROR(INDEX(Data!$AL$4:$AL$375,MATCH((WeekStart+0),Data!$A$4:$A$375,0)),"")),IFERROR(INDEX(Data!$AL$4:$AL$375,MATCH((WeekStart+0),Data!$A$4:$A$375,0)),""),NA())</f>
        <v/>
      </c>
      <c r="I57" s="144">
        <f>IF(ISNUMBER(IFERROR(INDEX(Data!$AM$4:$AM$375,MATCH((WeekStart+0),Data!$A$4:$A$375,0)),"")),IFERROR(INDEX(Data!$AM$4:$AM$375,MATCH((WeekStart+0),Data!$A$4:$A$375,0)),""),NA())</f>
        <v/>
      </c>
      <c r="J57" s="144">
        <f>IF(ISNUMBER(IFERROR(INDEX(Data!$AN$4:$AN$375,MATCH((WeekStart+0),Data!$A$4:$A$375,0)),"")),IFERROR(INDEX(Data!$AN$4:$AN$375,MATCH((WeekStart+0),Data!$A$4:$A$375,0)),""),NA())</f>
        <v/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 ht="17" customHeight="1">
      <c r="A58" s="1" t="n"/>
      <c r="B58" s="144">
        <f>TEXT((WeekStart+1),"ddd")</f>
        <v/>
      </c>
      <c r="C58" s="145">
        <f>(WeekStart+1)</f>
        <v/>
      </c>
      <c r="D58" s="146">
        <f>IFERROR(INDEX(Data!$BF$4:$BF$375,MATCH((WeekStart+1),Data!$A$4:$A$375,0)),"")</f>
        <v/>
      </c>
      <c r="E58" s="144">
        <f>IF(ISNUMBER(D58),D58,NA())</f>
        <v/>
      </c>
      <c r="F58" s="144">
        <f>IF(ISNUMBER(D58),D58,0)</f>
        <v/>
      </c>
      <c r="G58" s="144">
        <f>1-F58</f>
        <v/>
      </c>
      <c r="H58" s="144">
        <f>IF(ISNUMBER(IFERROR(INDEX(Data!$AL$4:$AL$375,MATCH((WeekStart+1),Data!$A$4:$A$375,0)),"")),IFERROR(INDEX(Data!$AL$4:$AL$375,MATCH((WeekStart+1),Data!$A$4:$A$375,0)),""),NA())</f>
        <v/>
      </c>
      <c r="I58" s="144">
        <f>IF(ISNUMBER(IFERROR(INDEX(Data!$AM$4:$AM$375,MATCH((WeekStart+1),Data!$A$4:$A$375,0)),"")),IFERROR(INDEX(Data!$AM$4:$AM$375,MATCH((WeekStart+1),Data!$A$4:$A$375,0)),""),NA())</f>
        <v/>
      </c>
      <c r="J58" s="144">
        <f>IF(ISNUMBER(IFERROR(INDEX(Data!$AN$4:$AN$375,MATCH((WeekStart+1),Data!$A$4:$A$375,0)),"")),IFERROR(INDEX(Data!$AN$4:$AN$375,MATCH((WeekStart+1),Data!$A$4:$A$375,0)),""),NA())</f>
        <v/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 ht="17" customHeight="1">
      <c r="A59" s="1" t="n"/>
      <c r="B59" s="144">
        <f>TEXT((WeekStart+2),"ddd")</f>
        <v/>
      </c>
      <c r="C59" s="145">
        <f>(WeekStart+2)</f>
        <v/>
      </c>
      <c r="D59" s="146">
        <f>IFERROR(INDEX(Data!$BF$4:$BF$375,MATCH((WeekStart+2),Data!$A$4:$A$375,0)),"")</f>
        <v/>
      </c>
      <c r="E59" s="144">
        <f>IF(ISNUMBER(D59),D59,NA())</f>
        <v/>
      </c>
      <c r="F59" s="144">
        <f>IF(ISNUMBER(D59),D59,0)</f>
        <v/>
      </c>
      <c r="G59" s="144">
        <f>1-F59</f>
        <v/>
      </c>
      <c r="H59" s="144">
        <f>IF(ISNUMBER(IFERROR(INDEX(Data!$AL$4:$AL$375,MATCH((WeekStart+2),Data!$A$4:$A$375,0)),"")),IFERROR(INDEX(Data!$AL$4:$AL$375,MATCH((WeekStart+2),Data!$A$4:$A$375,0)),""),NA())</f>
        <v/>
      </c>
      <c r="I59" s="144">
        <f>IF(ISNUMBER(IFERROR(INDEX(Data!$AM$4:$AM$375,MATCH((WeekStart+2),Data!$A$4:$A$375,0)),"")),IFERROR(INDEX(Data!$AM$4:$AM$375,MATCH((WeekStart+2),Data!$A$4:$A$375,0)),""),NA())</f>
        <v/>
      </c>
      <c r="J59" s="144">
        <f>IF(ISNUMBER(IFERROR(INDEX(Data!$AN$4:$AN$375,MATCH((WeekStart+2),Data!$A$4:$A$375,0)),"")),IFERROR(INDEX(Data!$AN$4:$AN$375,MATCH((WeekStart+2),Data!$A$4:$A$375,0)),""),NA())</f>
        <v/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 ht="17" customHeight="1">
      <c r="A60" s="1" t="n"/>
      <c r="B60" s="144">
        <f>TEXT((WeekStart+3),"ddd")</f>
        <v/>
      </c>
      <c r="C60" s="145">
        <f>(WeekStart+3)</f>
        <v/>
      </c>
      <c r="D60" s="146">
        <f>IFERROR(INDEX(Data!$BF$4:$BF$375,MATCH((WeekStart+3),Data!$A$4:$A$375,0)),"")</f>
        <v/>
      </c>
      <c r="E60" s="144">
        <f>IF(ISNUMBER(D60),D60,NA())</f>
        <v/>
      </c>
      <c r="F60" s="144">
        <f>IF(ISNUMBER(D60),D60,0)</f>
        <v/>
      </c>
      <c r="G60" s="144">
        <f>1-F60</f>
        <v/>
      </c>
      <c r="H60" s="144">
        <f>IF(ISNUMBER(IFERROR(INDEX(Data!$AL$4:$AL$375,MATCH((WeekStart+3),Data!$A$4:$A$375,0)),"")),IFERROR(INDEX(Data!$AL$4:$AL$375,MATCH((WeekStart+3),Data!$A$4:$A$375,0)),""),NA())</f>
        <v/>
      </c>
      <c r="I60" s="144">
        <f>IF(ISNUMBER(IFERROR(INDEX(Data!$AM$4:$AM$375,MATCH((WeekStart+3),Data!$A$4:$A$375,0)),"")),IFERROR(INDEX(Data!$AM$4:$AM$375,MATCH((WeekStart+3),Data!$A$4:$A$375,0)),""),NA())</f>
        <v/>
      </c>
      <c r="J60" s="144">
        <f>IF(ISNUMBER(IFERROR(INDEX(Data!$AN$4:$AN$375,MATCH((WeekStart+3),Data!$A$4:$A$375,0)),"")),IFERROR(INDEX(Data!$AN$4:$AN$375,MATCH((WeekStart+3),Data!$A$4:$A$375,0)),""),NA())</f>
        <v/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 ht="17" customHeight="1">
      <c r="A61" s="1" t="n"/>
      <c r="B61" s="144">
        <f>TEXT((WeekStart+4),"ddd")</f>
        <v/>
      </c>
      <c r="C61" s="145">
        <f>(WeekStart+4)</f>
        <v/>
      </c>
      <c r="D61" s="146">
        <f>IFERROR(INDEX(Data!$BF$4:$BF$375,MATCH((WeekStart+4),Data!$A$4:$A$375,0)),"")</f>
        <v/>
      </c>
      <c r="E61" s="144">
        <f>IF(ISNUMBER(D61),D61,NA())</f>
        <v/>
      </c>
      <c r="F61" s="144">
        <f>IF(ISNUMBER(D61),D61,0)</f>
        <v/>
      </c>
      <c r="G61" s="144">
        <f>1-F61</f>
        <v/>
      </c>
      <c r="H61" s="144">
        <f>IF(ISNUMBER(IFERROR(INDEX(Data!$AL$4:$AL$375,MATCH((WeekStart+4),Data!$A$4:$A$375,0)),"")),IFERROR(INDEX(Data!$AL$4:$AL$375,MATCH((WeekStart+4),Data!$A$4:$A$375,0)),""),NA())</f>
        <v/>
      </c>
      <c r="I61" s="144">
        <f>IF(ISNUMBER(IFERROR(INDEX(Data!$AM$4:$AM$375,MATCH((WeekStart+4),Data!$A$4:$A$375,0)),"")),IFERROR(INDEX(Data!$AM$4:$AM$375,MATCH((WeekStart+4),Data!$A$4:$A$375,0)),""),NA())</f>
        <v/>
      </c>
      <c r="J61" s="144">
        <f>IF(ISNUMBER(IFERROR(INDEX(Data!$AN$4:$AN$375,MATCH((WeekStart+4),Data!$A$4:$A$375,0)),"")),IFERROR(INDEX(Data!$AN$4:$AN$375,MATCH((WeekStart+4),Data!$A$4:$A$375,0)),""),NA())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 ht="17" customHeight="1">
      <c r="A62" s="1" t="n"/>
      <c r="B62" s="144">
        <f>TEXT((WeekStart+5),"ddd")</f>
        <v/>
      </c>
      <c r="C62" s="145">
        <f>(WeekStart+5)</f>
        <v/>
      </c>
      <c r="D62" s="146">
        <f>IFERROR(INDEX(Data!$BF$4:$BF$375,MATCH((WeekStart+5),Data!$A$4:$A$375,0)),"")</f>
        <v/>
      </c>
      <c r="E62" s="144">
        <f>IF(ISNUMBER(D62),D62,NA())</f>
        <v/>
      </c>
      <c r="F62" s="144">
        <f>IF(ISNUMBER(D62),D62,0)</f>
        <v/>
      </c>
      <c r="G62" s="144">
        <f>1-F62</f>
        <v/>
      </c>
      <c r="H62" s="144">
        <f>IF(ISNUMBER(IFERROR(INDEX(Data!$AL$4:$AL$375,MATCH((WeekStart+5),Data!$A$4:$A$375,0)),"")),IFERROR(INDEX(Data!$AL$4:$AL$375,MATCH((WeekStart+5),Data!$A$4:$A$375,0)),""),NA())</f>
        <v/>
      </c>
      <c r="I62" s="144">
        <f>IF(ISNUMBER(IFERROR(INDEX(Data!$AM$4:$AM$375,MATCH((WeekStart+5),Data!$A$4:$A$375,0)),"")),IFERROR(INDEX(Data!$AM$4:$AM$375,MATCH((WeekStart+5),Data!$A$4:$A$375,0)),""),NA())</f>
        <v/>
      </c>
      <c r="J62" s="144">
        <f>IF(ISNUMBER(IFERROR(INDEX(Data!$AN$4:$AN$375,MATCH((WeekStart+5),Data!$A$4:$A$375,0)),"")),IFERROR(INDEX(Data!$AN$4:$AN$375,MATCH((WeekStart+5),Data!$A$4:$A$375,0)),""),NA())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 ht="17" customHeight="1">
      <c r="A63" s="1" t="n"/>
      <c r="B63" s="144">
        <f>TEXT((WeekStart+6),"ddd")</f>
        <v/>
      </c>
      <c r="C63" s="145">
        <f>(WeekStart+6)</f>
        <v/>
      </c>
      <c r="D63" s="146">
        <f>IFERROR(INDEX(Data!$BF$4:$BF$375,MATCH((WeekStart+6),Data!$A$4:$A$375,0)),"")</f>
        <v/>
      </c>
      <c r="E63" s="144">
        <f>IF(ISNUMBER(D63),D63,NA())</f>
        <v/>
      </c>
      <c r="F63" s="144">
        <f>IF(ISNUMBER(D63),D63,0)</f>
        <v/>
      </c>
      <c r="G63" s="144">
        <f>1-F63</f>
        <v/>
      </c>
      <c r="H63" s="144">
        <f>IF(ISNUMBER(IFERROR(INDEX(Data!$AL$4:$AL$375,MATCH((WeekStart+6),Data!$A$4:$A$375,0)),"")),IFERROR(INDEX(Data!$AL$4:$AL$375,MATCH((WeekStart+6),Data!$A$4:$A$375,0)),""),NA())</f>
        <v/>
      </c>
      <c r="I63" s="144">
        <f>IF(ISNUMBER(IFERROR(INDEX(Data!$AM$4:$AM$375,MATCH((WeekStart+6),Data!$A$4:$A$375,0)),"")),IFERROR(INDEX(Data!$AM$4:$AM$375,MATCH((WeekStart+6),Data!$A$4:$A$375,0)),""),NA())</f>
        <v/>
      </c>
      <c r="J63" s="144">
        <f>IF(ISNUMBER(IFERROR(INDEX(Data!$AN$4:$AN$375,MATCH((WeekStart+6),Data!$A$4:$A$375,0)),"")),IFERROR(INDEX(Data!$AN$4:$AN$375,MATCH((WeekStart+6),Data!$A$4:$A$375,0)),""),NA())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 ht="17" customHeight="1">
      <c r="A64" s="1" t="n"/>
      <c r="B64" s="144" t="inlineStr">
        <is>
          <t>week</t>
        </is>
      </c>
      <c r="C64" s="1" t="n"/>
      <c r="D64" s="144">
        <f>IFERROR(AVERAGE(D57:D63),"")</f>
        <v/>
      </c>
      <c r="E64" s="1" t="n"/>
      <c r="F64" s="144">
        <f>IF(ISNUMBER(D64),D64,0)</f>
        <v/>
      </c>
      <c r="G64" s="144">
        <f>1-F64</f>
        <v/>
      </c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 ht="17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 ht="17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</row>
  </sheetData>
  <mergeCells count="66">
    <mergeCell ref="K30:L30"/>
    <mergeCell ref="K34:L34"/>
    <mergeCell ref="T30:U30"/>
    <mergeCell ref="H29:I29"/>
    <mergeCell ref="Q19:R20"/>
    <mergeCell ref="T29:U29"/>
    <mergeCell ref="B19:C20"/>
    <mergeCell ref="Q28:R28"/>
    <mergeCell ref="T45:U45"/>
    <mergeCell ref="Q18:R18"/>
    <mergeCell ref="H19:I20"/>
    <mergeCell ref="K45:L45"/>
    <mergeCell ref="B18:C18"/>
    <mergeCell ref="E17:F17"/>
    <mergeCell ref="B55:N55"/>
    <mergeCell ref="B5:H5"/>
    <mergeCell ref="N19:O20"/>
    <mergeCell ref="H34:I34"/>
    <mergeCell ref="K29:L29"/>
    <mergeCell ref="N3:R3"/>
    <mergeCell ref="E29:F29"/>
    <mergeCell ref="Q29:R29"/>
    <mergeCell ref="N2:O2"/>
    <mergeCell ref="E28:F28"/>
    <mergeCell ref="T19:U20"/>
    <mergeCell ref="N18:O18"/>
    <mergeCell ref="K19:L20"/>
    <mergeCell ref="B17:C17"/>
    <mergeCell ref="N5:U5"/>
    <mergeCell ref="B3:K3"/>
    <mergeCell ref="H17:I17"/>
    <mergeCell ref="E34:F34"/>
    <mergeCell ref="N17:O17"/>
    <mergeCell ref="Q34:R34"/>
    <mergeCell ref="E30:F30"/>
    <mergeCell ref="B29:C29"/>
    <mergeCell ref="N29:O29"/>
    <mergeCell ref="H45:I45"/>
    <mergeCell ref="B34:C34"/>
    <mergeCell ref="B28:C28"/>
    <mergeCell ref="E45:F45"/>
    <mergeCell ref="N28:O28"/>
    <mergeCell ref="B2:H2"/>
    <mergeCell ref="H28:I28"/>
    <mergeCell ref="T17:U17"/>
    <mergeCell ref="K17:L17"/>
    <mergeCell ref="Q30:R30"/>
    <mergeCell ref="B30:C30"/>
    <mergeCell ref="Q2:R2"/>
    <mergeCell ref="N30:O30"/>
    <mergeCell ref="N34:O34"/>
    <mergeCell ref="Q17:R17"/>
    <mergeCell ref="K5:M5"/>
    <mergeCell ref="Q45:R45"/>
    <mergeCell ref="H18:I18"/>
    <mergeCell ref="K14:M15"/>
    <mergeCell ref="B45:C45"/>
    <mergeCell ref="E19:F20"/>
    <mergeCell ref="K28:L28"/>
    <mergeCell ref="T28:U28"/>
    <mergeCell ref="T34:U34"/>
    <mergeCell ref="T18:U18"/>
    <mergeCell ref="N45:O45"/>
    <mergeCell ref="E18:F18"/>
    <mergeCell ref="K18:L18"/>
    <mergeCell ref="H30:I30"/>
  </mergeCells>
  <conditionalFormatting sqref="B31:B42">
    <cfRule type="expression" priority="1" dxfId="4" stopIfTrue="0">
      <formula>OR(C31=TRUE,C31="x")</formula>
    </cfRule>
  </conditionalFormatting>
  <conditionalFormatting sqref="E31:E42">
    <cfRule type="expression" priority="2" dxfId="4" stopIfTrue="0">
      <formula>OR(F31=TRUE,F31="x")</formula>
    </cfRule>
  </conditionalFormatting>
  <conditionalFormatting sqref="H31:H42">
    <cfRule type="expression" priority="3" dxfId="4" stopIfTrue="0">
      <formula>OR(I31=TRUE,I31="x")</formula>
    </cfRule>
  </conditionalFormatting>
  <conditionalFormatting sqref="K31:K42">
    <cfRule type="expression" priority="4" dxfId="4" stopIfTrue="0">
      <formula>OR(L31=TRUE,L31="x")</formula>
    </cfRule>
  </conditionalFormatting>
  <conditionalFormatting sqref="N31:N42">
    <cfRule type="expression" priority="5" dxfId="4" stopIfTrue="0">
      <formula>OR(O31=TRUE,O31="x")</formula>
    </cfRule>
  </conditionalFormatting>
  <conditionalFormatting sqref="Q31:Q42">
    <cfRule type="expression" priority="6" dxfId="4" stopIfTrue="0">
      <formula>OR(R31=TRUE,R31="x")</formula>
    </cfRule>
  </conditionalFormatting>
  <conditionalFormatting sqref="T31:T42">
    <cfRule type="expression" priority="7" dxfId="4" stopIfTrue="0">
      <formula>OR(U31=TRUE,U31="x")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DATE(2026,10,1)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COUNTIFS(Data!$B$4:$B$375,1,Data!$AO$4:$AO$375,1,Data!$E$4:$E$375,"&lt;&gt;S")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COUNTIFS(Data!$B$4:$B$375,1,Data!$AO$4:$AO$375,1,Data!$E$4:$E$375,"&lt;&gt;S",Data!$AS$4:$AS$375,1)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_xlfn.MAXIFS(Data!$A$4:$A$375,Data!$B$4:$B$375,1,Data!$AF$4:$AF$375,"&gt;0")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_xlfn.MINIFS(Data!$A$4:$A$375,Data!$B$4:$B$375,1,Data!$AF$4:$AF$375,"&gt;0")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Data!BF4</f>
        <v/>
      </c>
      <c r="F39" s="206">
        <f>Data!BF5</f>
        <v/>
      </c>
      <c r="G39" s="206">
        <f>Data!BF6</f>
        <v/>
      </c>
      <c r="H39" s="206">
        <f>Data!BF7</f>
        <v/>
      </c>
      <c r="I39" s="206">
        <f>Data!BF8</f>
        <v/>
      </c>
      <c r="J39" s="206">
        <f>Data!BF9</f>
        <v/>
      </c>
      <c r="K39" s="206">
        <f>Data!BF10</f>
        <v/>
      </c>
      <c r="L39" s="206">
        <f>Data!BF11</f>
        <v/>
      </c>
      <c r="M39" s="206">
        <f>Data!BF12</f>
        <v/>
      </c>
      <c r="N39" s="206">
        <f>Data!BF13</f>
        <v/>
      </c>
      <c r="O39" s="206">
        <f>Data!BF14</f>
        <v/>
      </c>
      <c r="P39" s="206">
        <f>Data!BF15</f>
        <v/>
      </c>
      <c r="Q39" s="206">
        <f>Data!BF16</f>
        <v/>
      </c>
      <c r="R39" s="206">
        <f>Data!BF17</f>
        <v/>
      </c>
      <c r="S39" s="206">
        <f>Data!BF18</f>
        <v/>
      </c>
      <c r="T39" s="206">
        <f>Data!BF19</f>
        <v/>
      </c>
      <c r="U39" s="206">
        <f>Data!BF20</f>
        <v/>
      </c>
      <c r="V39" s="206">
        <f>Data!BF21</f>
        <v/>
      </c>
      <c r="W39" s="206">
        <f>Data!BF22</f>
        <v/>
      </c>
      <c r="X39" s="206">
        <f>Data!BF23</f>
        <v/>
      </c>
      <c r="Y39" s="206">
        <f>Data!BF24</f>
        <v/>
      </c>
      <c r="Z39" s="206">
        <f>Data!BF25</f>
        <v/>
      </c>
      <c r="AA39" s="206">
        <f>Data!BF26</f>
        <v/>
      </c>
      <c r="AB39" s="206">
        <f>Data!BF27</f>
        <v/>
      </c>
      <c r="AC39" s="206">
        <f>Data!BF28</f>
        <v/>
      </c>
      <c r="AD39" s="206">
        <f>Data!BF29</f>
        <v/>
      </c>
      <c r="AE39" s="206">
        <f>Data!BF30</f>
        <v/>
      </c>
      <c r="AF39" s="206">
        <f>Data!BF31</f>
        <v/>
      </c>
      <c r="AG39" s="206">
        <f>Data!BF32</f>
        <v/>
      </c>
      <c r="AH39" s="206">
        <f>Data!BF33</f>
        <v/>
      </c>
      <c r="AI39" s="206">
        <f>Data!BF34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IF(Data!BF4="","",Data!BJ4)</f>
        <v/>
      </c>
      <c r="F40" s="207">
        <f>IF(Data!BF5="","",Data!BJ5)</f>
        <v/>
      </c>
      <c r="G40" s="207">
        <f>IF(Data!BF6="","",Data!BJ6)</f>
        <v/>
      </c>
      <c r="H40" s="207">
        <f>IF(Data!BF7="","",Data!BJ7)</f>
        <v/>
      </c>
      <c r="I40" s="207">
        <f>IF(Data!BF8="","",Data!BJ8)</f>
        <v/>
      </c>
      <c r="J40" s="207">
        <f>IF(Data!BF9="","",Data!BJ9)</f>
        <v/>
      </c>
      <c r="K40" s="207">
        <f>IF(Data!BF10="","",Data!BJ10)</f>
        <v/>
      </c>
      <c r="L40" s="207">
        <f>IF(Data!BF11="","",Data!BJ11)</f>
        <v/>
      </c>
      <c r="M40" s="207">
        <f>IF(Data!BF12="","",Data!BJ12)</f>
        <v/>
      </c>
      <c r="N40" s="207">
        <f>IF(Data!BF13="","",Data!BJ13)</f>
        <v/>
      </c>
      <c r="O40" s="207">
        <f>IF(Data!BF14="","",Data!BJ14)</f>
        <v/>
      </c>
      <c r="P40" s="207">
        <f>IF(Data!BF15="","",Data!BJ15)</f>
        <v/>
      </c>
      <c r="Q40" s="207">
        <f>IF(Data!BF16="","",Data!BJ16)</f>
        <v/>
      </c>
      <c r="R40" s="207">
        <f>IF(Data!BF17="","",Data!BJ17)</f>
        <v/>
      </c>
      <c r="S40" s="207">
        <f>IF(Data!BF18="","",Data!BJ18)</f>
        <v/>
      </c>
      <c r="T40" s="207">
        <f>IF(Data!BF19="","",Data!BJ19)</f>
        <v/>
      </c>
      <c r="U40" s="207">
        <f>IF(Data!BF20="","",Data!BJ20)</f>
        <v/>
      </c>
      <c r="V40" s="207">
        <f>IF(Data!BF21="","",Data!BJ21)</f>
        <v/>
      </c>
      <c r="W40" s="207">
        <f>IF(Data!BF22="","",Data!BJ22)</f>
        <v/>
      </c>
      <c r="X40" s="207">
        <f>IF(Data!BF23="","",Data!BJ23)</f>
        <v/>
      </c>
      <c r="Y40" s="207">
        <f>IF(Data!BF24="","",Data!BJ24)</f>
        <v/>
      </c>
      <c r="Z40" s="207">
        <f>IF(Data!BF25="","",Data!BJ25)</f>
        <v/>
      </c>
      <c r="AA40" s="207">
        <f>IF(Data!BF26="","",Data!BJ26)</f>
        <v/>
      </c>
      <c r="AB40" s="207">
        <f>IF(Data!BF27="","",Data!BJ27)</f>
        <v/>
      </c>
      <c r="AC40" s="207">
        <f>IF(Data!BF28="","",Data!BJ28)</f>
        <v/>
      </c>
      <c r="AD40" s="207">
        <f>IF(Data!BF29="","",Data!BJ29)</f>
        <v/>
      </c>
      <c r="AE40" s="207">
        <f>IF(Data!BF30="","",Data!BJ30)</f>
        <v/>
      </c>
      <c r="AF40" s="207">
        <f>IF(Data!BF31="","",Data!BJ31)</f>
        <v/>
      </c>
      <c r="AG40" s="207">
        <f>IF(Data!BF32="","",Data!BJ32)</f>
        <v/>
      </c>
      <c r="AH40" s="207">
        <f>IF(Data!BF33="","",Data!BJ33)</f>
        <v/>
      </c>
      <c r="AI40" s="207">
        <f>IF(Data!BF34="","",Data!BJ34)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IFERROR(SUMIFS(Data!$AY$4:$AY$375,Data!$B$4:$B$375,1)/COUNTIFS(Data!$B$4:$B$375,1,Data!$AG$4:$AG$375,"&gt;0"),"")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IFERROR(SUMIFS(Data!$AW$4:$AW$375,Data!$B$4:$B$375,1)/COUNTIFS(Data!$B$4:$B$375,1,Data!$AH$4:$AH$375,"&gt;0"),"")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IFERROR(SUMIFS(Data!$AX$4:$AX$375,Data!$B$4:$B$375,1)/COUNTIFS(Data!$B$4:$B$375,1,Data!$AI$4:$AI$375,"&gt;0"),"")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Data!BI4</f>
        <v/>
      </c>
      <c r="F68" s="226">
        <f>Data!BI5</f>
        <v/>
      </c>
      <c r="G68" s="226">
        <f>Data!BI6</f>
        <v/>
      </c>
      <c r="H68" s="226">
        <f>Data!BI7</f>
        <v/>
      </c>
      <c r="I68" s="226">
        <f>Data!BI8</f>
        <v/>
      </c>
      <c r="J68" s="226">
        <f>Data!BI9</f>
        <v/>
      </c>
      <c r="K68" s="226">
        <f>Data!BI10</f>
        <v/>
      </c>
      <c r="L68" s="226">
        <f>Data!BI11</f>
        <v/>
      </c>
      <c r="M68" s="226">
        <f>Data!BI12</f>
        <v/>
      </c>
      <c r="N68" s="226">
        <f>Data!BI13</f>
        <v/>
      </c>
      <c r="O68" s="226">
        <f>Data!BI14</f>
        <v/>
      </c>
      <c r="P68" s="226">
        <f>Data!BI15</f>
        <v/>
      </c>
      <c r="Q68" s="226">
        <f>Data!BI16</f>
        <v/>
      </c>
      <c r="R68" s="226">
        <f>Data!BI17</f>
        <v/>
      </c>
      <c r="S68" s="226">
        <f>Data!BI18</f>
        <v/>
      </c>
      <c r="T68" s="226">
        <f>Data!BI19</f>
        <v/>
      </c>
      <c r="U68" s="226">
        <f>Data!BI20</f>
        <v/>
      </c>
      <c r="V68" s="226">
        <f>Data!BI21</f>
        <v/>
      </c>
      <c r="W68" s="226">
        <f>Data!BI22</f>
        <v/>
      </c>
      <c r="X68" s="226">
        <f>Data!BI23</f>
        <v/>
      </c>
      <c r="Y68" s="226">
        <f>Data!BI24</f>
        <v/>
      </c>
      <c r="Z68" s="226">
        <f>Data!BI25</f>
        <v/>
      </c>
      <c r="AA68" s="226">
        <f>Data!BI26</f>
        <v/>
      </c>
      <c r="AB68" s="226">
        <f>Data!BI27</f>
        <v/>
      </c>
      <c r="AC68" s="226">
        <f>Data!BI28</f>
        <v/>
      </c>
      <c r="AD68" s="226">
        <f>Data!BI29</f>
        <v/>
      </c>
      <c r="AE68" s="226">
        <f>Data!BI30</f>
        <v/>
      </c>
      <c r="AF68" s="226">
        <f>Data!BI31</f>
        <v/>
      </c>
      <c r="AG68" s="226">
        <f>Data!BI32</f>
        <v/>
      </c>
      <c r="AH68" s="226">
        <f>Data!BI33</f>
        <v/>
      </c>
      <c r="AI68" s="226">
        <f>Data!BI34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IF(Data!A4="","",Data!AR4/1000)</f>
        <v/>
      </c>
      <c r="F69" s="227">
        <f>IF(Data!A5="","",Data!AR5/1000)</f>
        <v/>
      </c>
      <c r="G69" s="227">
        <f>IF(Data!A6="","",Data!AR6/1000)</f>
        <v/>
      </c>
      <c r="H69" s="227">
        <f>IF(Data!A7="","",Data!AR7/1000)</f>
        <v/>
      </c>
      <c r="I69" s="227">
        <f>IF(Data!A8="","",Data!AR8/1000)</f>
        <v/>
      </c>
      <c r="J69" s="227">
        <f>IF(Data!A9="","",Data!AR9/1000)</f>
        <v/>
      </c>
      <c r="K69" s="227">
        <f>IF(Data!A10="","",Data!AR10/1000)</f>
        <v/>
      </c>
      <c r="L69" s="227">
        <f>IF(Data!A11="","",Data!AR11/1000)</f>
        <v/>
      </c>
      <c r="M69" s="227">
        <f>IF(Data!A12="","",Data!AR12/1000)</f>
        <v/>
      </c>
      <c r="N69" s="227">
        <f>IF(Data!A13="","",Data!AR13/1000)</f>
        <v/>
      </c>
      <c r="O69" s="227">
        <f>IF(Data!A14="","",Data!AR14/1000)</f>
        <v/>
      </c>
      <c r="P69" s="227">
        <f>IF(Data!A15="","",Data!AR15/1000)</f>
        <v/>
      </c>
      <c r="Q69" s="227">
        <f>IF(Data!A16="","",Data!AR16/1000)</f>
        <v/>
      </c>
      <c r="R69" s="227">
        <f>IF(Data!A17="","",Data!AR17/1000)</f>
        <v/>
      </c>
      <c r="S69" s="227">
        <f>IF(Data!A18="","",Data!AR18/1000)</f>
        <v/>
      </c>
      <c r="T69" s="227">
        <f>IF(Data!A19="","",Data!AR19/1000)</f>
        <v/>
      </c>
      <c r="U69" s="227">
        <f>IF(Data!A20="","",Data!AR20/1000)</f>
        <v/>
      </c>
      <c r="V69" s="227">
        <f>IF(Data!A21="","",Data!AR21/1000)</f>
        <v/>
      </c>
      <c r="W69" s="227">
        <f>IF(Data!A22="","",Data!AR22/1000)</f>
        <v/>
      </c>
      <c r="X69" s="227">
        <f>IF(Data!A23="","",Data!AR23/1000)</f>
        <v/>
      </c>
      <c r="Y69" s="227">
        <f>IF(Data!A24="","",Data!AR24/1000)</f>
        <v/>
      </c>
      <c r="Z69" s="227">
        <f>IF(Data!A25="","",Data!AR25/1000)</f>
        <v/>
      </c>
      <c r="AA69" s="227">
        <f>IF(Data!A26="","",Data!AR26/1000)</f>
        <v/>
      </c>
      <c r="AB69" s="227">
        <f>IF(Data!A27="","",Data!AR27/1000)</f>
        <v/>
      </c>
      <c r="AC69" s="227">
        <f>IF(Data!A28="","",Data!AR28/1000)</f>
        <v/>
      </c>
      <c r="AD69" s="227">
        <f>IF(Data!A29="","",Data!AR29/1000)</f>
        <v/>
      </c>
      <c r="AE69" s="227">
        <f>IF(Data!A30="","",Data!AR30/1000)</f>
        <v/>
      </c>
      <c r="AF69" s="227">
        <f>IF(Data!A31="","",Data!AR31/1000)</f>
        <v/>
      </c>
      <c r="AG69" s="227">
        <f>IF(Data!A32="","",Data!AR32/1000)</f>
        <v/>
      </c>
      <c r="AH69" s="227">
        <f>IF(Data!A33="","",Data!AR33/1000)</f>
        <v/>
      </c>
      <c r="AI69" s="227">
        <f>IF(Data!A34="","",Data!AR34/1000)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F7CF7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DATE(2026,11,1)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COUNTIFS(Data!$B$4:$B$375,2,Data!$AO$4:$AO$375,1,Data!$E$4:$E$375,"&lt;&gt;S")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COUNTIFS(Data!$B$4:$B$375,2,Data!$AO$4:$AO$375,1,Data!$E$4:$E$375,"&lt;&gt;S",Data!$AS$4:$AS$375,1)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_xlfn.MAXIFS(Data!$A$4:$A$375,Data!$B$4:$B$375,2,Data!$AF$4:$AF$375,"&gt;0")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_xlfn.MINIFS(Data!$A$4:$A$375,Data!$B$4:$B$375,2,Data!$AF$4:$AF$375,"&gt;0")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Data!BF35</f>
        <v/>
      </c>
      <c r="F39" s="206">
        <f>Data!BF36</f>
        <v/>
      </c>
      <c r="G39" s="206">
        <f>Data!BF37</f>
        <v/>
      </c>
      <c r="H39" s="206">
        <f>Data!BF38</f>
        <v/>
      </c>
      <c r="I39" s="206">
        <f>Data!BF39</f>
        <v/>
      </c>
      <c r="J39" s="206">
        <f>Data!BF40</f>
        <v/>
      </c>
      <c r="K39" s="206">
        <f>Data!BF41</f>
        <v/>
      </c>
      <c r="L39" s="206">
        <f>Data!BF42</f>
        <v/>
      </c>
      <c r="M39" s="206">
        <f>Data!BF43</f>
        <v/>
      </c>
      <c r="N39" s="206">
        <f>Data!BF44</f>
        <v/>
      </c>
      <c r="O39" s="206">
        <f>Data!BF45</f>
        <v/>
      </c>
      <c r="P39" s="206">
        <f>Data!BF46</f>
        <v/>
      </c>
      <c r="Q39" s="206">
        <f>Data!BF47</f>
        <v/>
      </c>
      <c r="R39" s="206">
        <f>Data!BF48</f>
        <v/>
      </c>
      <c r="S39" s="206">
        <f>Data!BF49</f>
        <v/>
      </c>
      <c r="T39" s="206">
        <f>Data!BF50</f>
        <v/>
      </c>
      <c r="U39" s="206">
        <f>Data!BF51</f>
        <v/>
      </c>
      <c r="V39" s="206">
        <f>Data!BF52</f>
        <v/>
      </c>
      <c r="W39" s="206">
        <f>Data!BF53</f>
        <v/>
      </c>
      <c r="X39" s="206">
        <f>Data!BF54</f>
        <v/>
      </c>
      <c r="Y39" s="206">
        <f>Data!BF55</f>
        <v/>
      </c>
      <c r="Z39" s="206">
        <f>Data!BF56</f>
        <v/>
      </c>
      <c r="AA39" s="206">
        <f>Data!BF57</f>
        <v/>
      </c>
      <c r="AB39" s="206">
        <f>Data!BF58</f>
        <v/>
      </c>
      <c r="AC39" s="206">
        <f>Data!BF59</f>
        <v/>
      </c>
      <c r="AD39" s="206">
        <f>Data!BF60</f>
        <v/>
      </c>
      <c r="AE39" s="206">
        <f>Data!BF61</f>
        <v/>
      </c>
      <c r="AF39" s="206">
        <f>Data!BF62</f>
        <v/>
      </c>
      <c r="AG39" s="206">
        <f>Data!BF63</f>
        <v/>
      </c>
      <c r="AH39" s="206">
        <f>Data!BF64</f>
        <v/>
      </c>
      <c r="AI39" s="206">
        <f>Data!BF65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IF(Data!BF35="","",Data!BJ35)</f>
        <v/>
      </c>
      <c r="F40" s="207">
        <f>IF(Data!BF36="","",Data!BJ36)</f>
        <v/>
      </c>
      <c r="G40" s="207">
        <f>IF(Data!BF37="","",Data!BJ37)</f>
        <v/>
      </c>
      <c r="H40" s="207">
        <f>IF(Data!BF38="","",Data!BJ38)</f>
        <v/>
      </c>
      <c r="I40" s="207">
        <f>IF(Data!BF39="","",Data!BJ39)</f>
        <v/>
      </c>
      <c r="J40" s="207">
        <f>IF(Data!BF40="","",Data!BJ40)</f>
        <v/>
      </c>
      <c r="K40" s="207">
        <f>IF(Data!BF41="","",Data!BJ41)</f>
        <v/>
      </c>
      <c r="L40" s="207">
        <f>IF(Data!BF42="","",Data!BJ42)</f>
        <v/>
      </c>
      <c r="M40" s="207">
        <f>IF(Data!BF43="","",Data!BJ43)</f>
        <v/>
      </c>
      <c r="N40" s="207">
        <f>IF(Data!BF44="","",Data!BJ44)</f>
        <v/>
      </c>
      <c r="O40" s="207">
        <f>IF(Data!BF45="","",Data!BJ45)</f>
        <v/>
      </c>
      <c r="P40" s="207">
        <f>IF(Data!BF46="","",Data!BJ46)</f>
        <v/>
      </c>
      <c r="Q40" s="207">
        <f>IF(Data!BF47="","",Data!BJ47)</f>
        <v/>
      </c>
      <c r="R40" s="207">
        <f>IF(Data!BF48="","",Data!BJ48)</f>
        <v/>
      </c>
      <c r="S40" s="207">
        <f>IF(Data!BF49="","",Data!BJ49)</f>
        <v/>
      </c>
      <c r="T40" s="207">
        <f>IF(Data!BF50="","",Data!BJ50)</f>
        <v/>
      </c>
      <c r="U40" s="207">
        <f>IF(Data!BF51="","",Data!BJ51)</f>
        <v/>
      </c>
      <c r="V40" s="207">
        <f>IF(Data!BF52="","",Data!BJ52)</f>
        <v/>
      </c>
      <c r="W40" s="207">
        <f>IF(Data!BF53="","",Data!BJ53)</f>
        <v/>
      </c>
      <c r="X40" s="207">
        <f>IF(Data!BF54="","",Data!BJ54)</f>
        <v/>
      </c>
      <c r="Y40" s="207">
        <f>IF(Data!BF55="","",Data!BJ55)</f>
        <v/>
      </c>
      <c r="Z40" s="207">
        <f>IF(Data!BF56="","",Data!BJ56)</f>
        <v/>
      </c>
      <c r="AA40" s="207">
        <f>IF(Data!BF57="","",Data!BJ57)</f>
        <v/>
      </c>
      <c r="AB40" s="207">
        <f>IF(Data!BF58="","",Data!BJ58)</f>
        <v/>
      </c>
      <c r="AC40" s="207">
        <f>IF(Data!BF59="","",Data!BJ59)</f>
        <v/>
      </c>
      <c r="AD40" s="207">
        <f>IF(Data!BF60="","",Data!BJ60)</f>
        <v/>
      </c>
      <c r="AE40" s="207">
        <f>IF(Data!BF61="","",Data!BJ61)</f>
        <v/>
      </c>
      <c r="AF40" s="207">
        <f>IF(Data!BF62="","",Data!BJ62)</f>
        <v/>
      </c>
      <c r="AG40" s="207">
        <f>IF(Data!BF63="","",Data!BJ63)</f>
        <v/>
      </c>
      <c r="AH40" s="207">
        <f>IF(Data!BF64="","",Data!BJ64)</f>
        <v/>
      </c>
      <c r="AI40" s="207">
        <f>IF(Data!BF65="","",Data!BJ65)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IFERROR(SUMIFS(Data!$AY$4:$AY$375,Data!$B$4:$B$375,2)/COUNTIFS(Data!$B$4:$B$375,2,Data!$AG$4:$AG$375,"&gt;0"),"")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IFERROR(SUMIFS(Data!$AW$4:$AW$375,Data!$B$4:$B$375,2)/COUNTIFS(Data!$B$4:$B$375,2,Data!$AH$4:$AH$375,"&gt;0"),"")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IFERROR(SUMIFS(Data!$AX$4:$AX$375,Data!$B$4:$B$375,2)/COUNTIFS(Data!$B$4:$B$375,2,Data!$AI$4:$AI$375,"&gt;0"),"")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Data!BI35</f>
        <v/>
      </c>
      <c r="F68" s="226">
        <f>Data!BI36</f>
        <v/>
      </c>
      <c r="G68" s="226">
        <f>Data!BI37</f>
        <v/>
      </c>
      <c r="H68" s="226">
        <f>Data!BI38</f>
        <v/>
      </c>
      <c r="I68" s="226">
        <f>Data!BI39</f>
        <v/>
      </c>
      <c r="J68" s="226">
        <f>Data!BI40</f>
        <v/>
      </c>
      <c r="K68" s="226">
        <f>Data!BI41</f>
        <v/>
      </c>
      <c r="L68" s="226">
        <f>Data!BI42</f>
        <v/>
      </c>
      <c r="M68" s="226">
        <f>Data!BI43</f>
        <v/>
      </c>
      <c r="N68" s="226">
        <f>Data!BI44</f>
        <v/>
      </c>
      <c r="O68" s="226">
        <f>Data!BI45</f>
        <v/>
      </c>
      <c r="P68" s="226">
        <f>Data!BI46</f>
        <v/>
      </c>
      <c r="Q68" s="226">
        <f>Data!BI47</f>
        <v/>
      </c>
      <c r="R68" s="226">
        <f>Data!BI48</f>
        <v/>
      </c>
      <c r="S68" s="226">
        <f>Data!BI49</f>
        <v/>
      </c>
      <c r="T68" s="226">
        <f>Data!BI50</f>
        <v/>
      </c>
      <c r="U68" s="226">
        <f>Data!BI51</f>
        <v/>
      </c>
      <c r="V68" s="226">
        <f>Data!BI52</f>
        <v/>
      </c>
      <c r="W68" s="226">
        <f>Data!BI53</f>
        <v/>
      </c>
      <c r="X68" s="226">
        <f>Data!BI54</f>
        <v/>
      </c>
      <c r="Y68" s="226">
        <f>Data!BI55</f>
        <v/>
      </c>
      <c r="Z68" s="226">
        <f>Data!BI56</f>
        <v/>
      </c>
      <c r="AA68" s="226">
        <f>Data!BI57</f>
        <v/>
      </c>
      <c r="AB68" s="226">
        <f>Data!BI58</f>
        <v/>
      </c>
      <c r="AC68" s="226">
        <f>Data!BI59</f>
        <v/>
      </c>
      <c r="AD68" s="226">
        <f>Data!BI60</f>
        <v/>
      </c>
      <c r="AE68" s="226">
        <f>Data!BI61</f>
        <v/>
      </c>
      <c r="AF68" s="226">
        <f>Data!BI62</f>
        <v/>
      </c>
      <c r="AG68" s="226">
        <f>Data!BI63</f>
        <v/>
      </c>
      <c r="AH68" s="226">
        <f>Data!BI64</f>
        <v/>
      </c>
      <c r="AI68" s="226">
        <f>Data!BI65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IF(Data!A35="","",Data!AR35/1000)</f>
        <v/>
      </c>
      <c r="F69" s="227">
        <f>IF(Data!A36="","",Data!AR36/1000)</f>
        <v/>
      </c>
      <c r="G69" s="227">
        <f>IF(Data!A37="","",Data!AR37/1000)</f>
        <v/>
      </c>
      <c r="H69" s="227">
        <f>IF(Data!A38="","",Data!AR38/1000)</f>
        <v/>
      </c>
      <c r="I69" s="227">
        <f>IF(Data!A39="","",Data!AR39/1000)</f>
        <v/>
      </c>
      <c r="J69" s="227">
        <f>IF(Data!A40="","",Data!AR40/1000)</f>
        <v/>
      </c>
      <c r="K69" s="227">
        <f>IF(Data!A41="","",Data!AR41/1000)</f>
        <v/>
      </c>
      <c r="L69" s="227">
        <f>IF(Data!A42="","",Data!AR42/1000)</f>
        <v/>
      </c>
      <c r="M69" s="227">
        <f>IF(Data!A43="","",Data!AR43/1000)</f>
        <v/>
      </c>
      <c r="N69" s="227">
        <f>IF(Data!A44="","",Data!AR44/1000)</f>
        <v/>
      </c>
      <c r="O69" s="227">
        <f>IF(Data!A45="","",Data!AR45/1000)</f>
        <v/>
      </c>
      <c r="P69" s="227">
        <f>IF(Data!A46="","",Data!AR46/1000)</f>
        <v/>
      </c>
      <c r="Q69" s="227">
        <f>IF(Data!A47="","",Data!AR47/1000)</f>
        <v/>
      </c>
      <c r="R69" s="227">
        <f>IF(Data!A48="","",Data!AR48/1000)</f>
        <v/>
      </c>
      <c r="S69" s="227">
        <f>IF(Data!A49="","",Data!AR49/1000)</f>
        <v/>
      </c>
      <c r="T69" s="227">
        <f>IF(Data!A50="","",Data!AR50/1000)</f>
        <v/>
      </c>
      <c r="U69" s="227">
        <f>IF(Data!A51="","",Data!AR51/1000)</f>
        <v/>
      </c>
      <c r="V69" s="227">
        <f>IF(Data!A52="","",Data!AR52/1000)</f>
        <v/>
      </c>
      <c r="W69" s="227">
        <f>IF(Data!A53="","",Data!AR53/1000)</f>
        <v/>
      </c>
      <c r="X69" s="227">
        <f>IF(Data!A54="","",Data!AR54/1000)</f>
        <v/>
      </c>
      <c r="Y69" s="227">
        <f>IF(Data!A55="","",Data!AR55/1000)</f>
        <v/>
      </c>
      <c r="Z69" s="227">
        <f>IF(Data!A56="","",Data!AR56/1000)</f>
        <v/>
      </c>
      <c r="AA69" s="227">
        <f>IF(Data!A57="","",Data!AR57/1000)</f>
        <v/>
      </c>
      <c r="AB69" s="227">
        <f>IF(Data!A58="","",Data!AR58/1000)</f>
        <v/>
      </c>
      <c r="AC69" s="227">
        <f>IF(Data!A59="","",Data!AR59/1000)</f>
        <v/>
      </c>
      <c r="AD69" s="227">
        <f>IF(Data!A60="","",Data!AR60/1000)</f>
        <v/>
      </c>
      <c r="AE69" s="227">
        <f>IF(Data!A61="","",Data!AR61/1000)</f>
        <v/>
      </c>
      <c r="AF69" s="227">
        <f>IF(Data!A62="","",Data!AR62/1000)</f>
        <v/>
      </c>
      <c r="AG69" s="227">
        <f>IF(Data!A63="","",Data!AR63/1000)</f>
        <v/>
      </c>
      <c r="AH69" s="227">
        <f>IF(Data!A64="","",Data!AR64/1000)</f>
        <v/>
      </c>
      <c r="AI69" s="227">
        <f>IF(Data!A65="","",Data!AR65/1000)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9C3C3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DATE(2026,12,1)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COUNTIFS(Data!$B$4:$B$375,3,Data!$AO$4:$AO$375,1,Data!$E$4:$E$375,"&lt;&gt;S")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COUNTIFS(Data!$B$4:$B$375,3,Data!$AO$4:$AO$375,1,Data!$E$4:$E$375,"&lt;&gt;S",Data!$AS$4:$AS$375,1)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_xlfn.MAXIFS(Data!$A$4:$A$375,Data!$B$4:$B$375,3,Data!$AF$4:$AF$375,"&gt;0")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_xlfn.MINIFS(Data!$A$4:$A$375,Data!$B$4:$B$375,3,Data!$AF$4:$AF$375,"&gt;0")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Data!BF66</f>
        <v/>
      </c>
      <c r="F39" s="206">
        <f>Data!BF67</f>
        <v/>
      </c>
      <c r="G39" s="206">
        <f>Data!BF68</f>
        <v/>
      </c>
      <c r="H39" s="206">
        <f>Data!BF69</f>
        <v/>
      </c>
      <c r="I39" s="206">
        <f>Data!BF70</f>
        <v/>
      </c>
      <c r="J39" s="206">
        <f>Data!BF71</f>
        <v/>
      </c>
      <c r="K39" s="206">
        <f>Data!BF72</f>
        <v/>
      </c>
      <c r="L39" s="206">
        <f>Data!BF73</f>
        <v/>
      </c>
      <c r="M39" s="206">
        <f>Data!BF74</f>
        <v/>
      </c>
      <c r="N39" s="206">
        <f>Data!BF75</f>
        <v/>
      </c>
      <c r="O39" s="206">
        <f>Data!BF76</f>
        <v/>
      </c>
      <c r="P39" s="206">
        <f>Data!BF77</f>
        <v/>
      </c>
      <c r="Q39" s="206">
        <f>Data!BF78</f>
        <v/>
      </c>
      <c r="R39" s="206">
        <f>Data!BF79</f>
        <v/>
      </c>
      <c r="S39" s="206">
        <f>Data!BF80</f>
        <v/>
      </c>
      <c r="T39" s="206">
        <f>Data!BF81</f>
        <v/>
      </c>
      <c r="U39" s="206">
        <f>Data!BF82</f>
        <v/>
      </c>
      <c r="V39" s="206">
        <f>Data!BF83</f>
        <v/>
      </c>
      <c r="W39" s="206">
        <f>Data!BF84</f>
        <v/>
      </c>
      <c r="X39" s="206">
        <f>Data!BF85</f>
        <v/>
      </c>
      <c r="Y39" s="206">
        <f>Data!BF86</f>
        <v/>
      </c>
      <c r="Z39" s="206">
        <f>Data!BF87</f>
        <v/>
      </c>
      <c r="AA39" s="206">
        <f>Data!BF88</f>
        <v/>
      </c>
      <c r="AB39" s="206">
        <f>Data!BF89</f>
        <v/>
      </c>
      <c r="AC39" s="206">
        <f>Data!BF90</f>
        <v/>
      </c>
      <c r="AD39" s="206">
        <f>Data!BF91</f>
        <v/>
      </c>
      <c r="AE39" s="206">
        <f>Data!BF92</f>
        <v/>
      </c>
      <c r="AF39" s="206">
        <f>Data!BF93</f>
        <v/>
      </c>
      <c r="AG39" s="206">
        <f>Data!BF94</f>
        <v/>
      </c>
      <c r="AH39" s="206">
        <f>Data!BF95</f>
        <v/>
      </c>
      <c r="AI39" s="206">
        <f>Data!BF96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IF(Data!BF66="","",Data!BJ66)</f>
        <v/>
      </c>
      <c r="F40" s="207">
        <f>IF(Data!BF67="","",Data!BJ67)</f>
        <v/>
      </c>
      <c r="G40" s="207">
        <f>IF(Data!BF68="","",Data!BJ68)</f>
        <v/>
      </c>
      <c r="H40" s="207">
        <f>IF(Data!BF69="","",Data!BJ69)</f>
        <v/>
      </c>
      <c r="I40" s="207">
        <f>IF(Data!BF70="","",Data!BJ70)</f>
        <v/>
      </c>
      <c r="J40" s="207">
        <f>IF(Data!BF71="","",Data!BJ71)</f>
        <v/>
      </c>
      <c r="K40" s="207">
        <f>IF(Data!BF72="","",Data!BJ72)</f>
        <v/>
      </c>
      <c r="L40" s="207">
        <f>IF(Data!BF73="","",Data!BJ73)</f>
        <v/>
      </c>
      <c r="M40" s="207">
        <f>IF(Data!BF74="","",Data!BJ74)</f>
        <v/>
      </c>
      <c r="N40" s="207">
        <f>IF(Data!BF75="","",Data!BJ75)</f>
        <v/>
      </c>
      <c r="O40" s="207">
        <f>IF(Data!BF76="","",Data!BJ76)</f>
        <v/>
      </c>
      <c r="P40" s="207">
        <f>IF(Data!BF77="","",Data!BJ77)</f>
        <v/>
      </c>
      <c r="Q40" s="207">
        <f>IF(Data!BF78="","",Data!BJ78)</f>
        <v/>
      </c>
      <c r="R40" s="207">
        <f>IF(Data!BF79="","",Data!BJ79)</f>
        <v/>
      </c>
      <c r="S40" s="207">
        <f>IF(Data!BF80="","",Data!BJ80)</f>
        <v/>
      </c>
      <c r="T40" s="207">
        <f>IF(Data!BF81="","",Data!BJ81)</f>
        <v/>
      </c>
      <c r="U40" s="207">
        <f>IF(Data!BF82="","",Data!BJ82)</f>
        <v/>
      </c>
      <c r="V40" s="207">
        <f>IF(Data!BF83="","",Data!BJ83)</f>
        <v/>
      </c>
      <c r="W40" s="207">
        <f>IF(Data!BF84="","",Data!BJ84)</f>
        <v/>
      </c>
      <c r="X40" s="207">
        <f>IF(Data!BF85="","",Data!BJ85)</f>
        <v/>
      </c>
      <c r="Y40" s="207">
        <f>IF(Data!BF86="","",Data!BJ86)</f>
        <v/>
      </c>
      <c r="Z40" s="207">
        <f>IF(Data!BF87="","",Data!BJ87)</f>
        <v/>
      </c>
      <c r="AA40" s="207">
        <f>IF(Data!BF88="","",Data!BJ88)</f>
        <v/>
      </c>
      <c r="AB40" s="207">
        <f>IF(Data!BF89="","",Data!BJ89)</f>
        <v/>
      </c>
      <c r="AC40" s="207">
        <f>IF(Data!BF90="","",Data!BJ90)</f>
        <v/>
      </c>
      <c r="AD40" s="207">
        <f>IF(Data!BF91="","",Data!BJ91)</f>
        <v/>
      </c>
      <c r="AE40" s="207">
        <f>IF(Data!BF92="","",Data!BJ92)</f>
        <v/>
      </c>
      <c r="AF40" s="207">
        <f>IF(Data!BF93="","",Data!BJ93)</f>
        <v/>
      </c>
      <c r="AG40" s="207">
        <f>IF(Data!BF94="","",Data!BJ94)</f>
        <v/>
      </c>
      <c r="AH40" s="207">
        <f>IF(Data!BF95="","",Data!BJ95)</f>
        <v/>
      </c>
      <c r="AI40" s="207">
        <f>IF(Data!BF96="","",Data!BJ96)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IFERROR(SUMIFS(Data!$AY$4:$AY$375,Data!$B$4:$B$375,3)/COUNTIFS(Data!$B$4:$B$375,3,Data!$AG$4:$AG$375,"&gt;0"),"")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IFERROR(SUMIFS(Data!$AW$4:$AW$375,Data!$B$4:$B$375,3)/COUNTIFS(Data!$B$4:$B$375,3,Data!$AH$4:$AH$375,"&gt;0"),"")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IFERROR(SUMIFS(Data!$AX$4:$AX$375,Data!$B$4:$B$375,3)/COUNTIFS(Data!$B$4:$B$375,3,Data!$AI$4:$AI$375,"&gt;0"),"")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Data!BI66</f>
        <v/>
      </c>
      <c r="F68" s="226">
        <f>Data!BI67</f>
        <v/>
      </c>
      <c r="G68" s="226">
        <f>Data!BI68</f>
        <v/>
      </c>
      <c r="H68" s="226">
        <f>Data!BI69</f>
        <v/>
      </c>
      <c r="I68" s="226">
        <f>Data!BI70</f>
        <v/>
      </c>
      <c r="J68" s="226">
        <f>Data!BI71</f>
        <v/>
      </c>
      <c r="K68" s="226">
        <f>Data!BI72</f>
        <v/>
      </c>
      <c r="L68" s="226">
        <f>Data!BI73</f>
        <v/>
      </c>
      <c r="M68" s="226">
        <f>Data!BI74</f>
        <v/>
      </c>
      <c r="N68" s="226">
        <f>Data!BI75</f>
        <v/>
      </c>
      <c r="O68" s="226">
        <f>Data!BI76</f>
        <v/>
      </c>
      <c r="P68" s="226">
        <f>Data!BI77</f>
        <v/>
      </c>
      <c r="Q68" s="226">
        <f>Data!BI78</f>
        <v/>
      </c>
      <c r="R68" s="226">
        <f>Data!BI79</f>
        <v/>
      </c>
      <c r="S68" s="226">
        <f>Data!BI80</f>
        <v/>
      </c>
      <c r="T68" s="226">
        <f>Data!BI81</f>
        <v/>
      </c>
      <c r="U68" s="226">
        <f>Data!BI82</f>
        <v/>
      </c>
      <c r="V68" s="226">
        <f>Data!BI83</f>
        <v/>
      </c>
      <c r="W68" s="226">
        <f>Data!BI84</f>
        <v/>
      </c>
      <c r="X68" s="226">
        <f>Data!BI85</f>
        <v/>
      </c>
      <c r="Y68" s="226">
        <f>Data!BI86</f>
        <v/>
      </c>
      <c r="Z68" s="226">
        <f>Data!BI87</f>
        <v/>
      </c>
      <c r="AA68" s="226">
        <f>Data!BI88</f>
        <v/>
      </c>
      <c r="AB68" s="226">
        <f>Data!BI89</f>
        <v/>
      </c>
      <c r="AC68" s="226">
        <f>Data!BI90</f>
        <v/>
      </c>
      <c r="AD68" s="226">
        <f>Data!BI91</f>
        <v/>
      </c>
      <c r="AE68" s="226">
        <f>Data!BI92</f>
        <v/>
      </c>
      <c r="AF68" s="226">
        <f>Data!BI93</f>
        <v/>
      </c>
      <c r="AG68" s="226">
        <f>Data!BI94</f>
        <v/>
      </c>
      <c r="AH68" s="226">
        <f>Data!BI95</f>
        <v/>
      </c>
      <c r="AI68" s="226">
        <f>Data!BI96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IF(Data!A66="","",Data!AR66/1000)</f>
        <v/>
      </c>
      <c r="F69" s="227">
        <f>IF(Data!A67="","",Data!AR67/1000)</f>
        <v/>
      </c>
      <c r="G69" s="227">
        <f>IF(Data!A68="","",Data!AR68/1000)</f>
        <v/>
      </c>
      <c r="H69" s="227">
        <f>IF(Data!A69="","",Data!AR69/1000)</f>
        <v/>
      </c>
      <c r="I69" s="227">
        <f>IF(Data!A70="","",Data!AR70/1000)</f>
        <v/>
      </c>
      <c r="J69" s="227">
        <f>IF(Data!A71="","",Data!AR71/1000)</f>
        <v/>
      </c>
      <c r="K69" s="227">
        <f>IF(Data!A72="","",Data!AR72/1000)</f>
        <v/>
      </c>
      <c r="L69" s="227">
        <f>IF(Data!A73="","",Data!AR73/1000)</f>
        <v/>
      </c>
      <c r="M69" s="227">
        <f>IF(Data!A74="","",Data!AR74/1000)</f>
        <v/>
      </c>
      <c r="N69" s="227">
        <f>IF(Data!A75="","",Data!AR75/1000)</f>
        <v/>
      </c>
      <c r="O69" s="227">
        <f>IF(Data!A76="","",Data!AR76/1000)</f>
        <v/>
      </c>
      <c r="P69" s="227">
        <f>IF(Data!A77="","",Data!AR77/1000)</f>
        <v/>
      </c>
      <c r="Q69" s="227">
        <f>IF(Data!A78="","",Data!AR78/1000)</f>
        <v/>
      </c>
      <c r="R69" s="227">
        <f>IF(Data!A79="","",Data!AR79/1000)</f>
        <v/>
      </c>
      <c r="S69" s="227">
        <f>IF(Data!A80="","",Data!AR80/1000)</f>
        <v/>
      </c>
      <c r="T69" s="227">
        <f>IF(Data!A81="","",Data!AR81/1000)</f>
        <v/>
      </c>
      <c r="U69" s="227">
        <f>IF(Data!A82="","",Data!AR82/1000)</f>
        <v/>
      </c>
      <c r="V69" s="227">
        <f>IF(Data!A83="","",Data!AR83/1000)</f>
        <v/>
      </c>
      <c r="W69" s="227">
        <f>IF(Data!A84="","",Data!AR84/1000)</f>
        <v/>
      </c>
      <c r="X69" s="227">
        <f>IF(Data!A85="","",Data!AR85/1000)</f>
        <v/>
      </c>
      <c r="Y69" s="227">
        <f>IF(Data!A86="","",Data!AR86/1000)</f>
        <v/>
      </c>
      <c r="Z69" s="227">
        <f>IF(Data!A87="","",Data!AR87/1000)</f>
        <v/>
      </c>
      <c r="AA69" s="227">
        <f>IF(Data!A88="","",Data!AR88/1000)</f>
        <v/>
      </c>
      <c r="AB69" s="227">
        <f>IF(Data!A89="","",Data!AR89/1000)</f>
        <v/>
      </c>
      <c r="AC69" s="227">
        <f>IF(Data!A90="","",Data!AR90/1000)</f>
        <v/>
      </c>
      <c r="AD69" s="227">
        <f>IF(Data!A91="","",Data!AR91/1000)</f>
        <v/>
      </c>
      <c r="AE69" s="227">
        <f>IF(Data!A92="","",Data!AR92/1000)</f>
        <v/>
      </c>
      <c r="AF69" s="227">
        <f>IF(Data!A93="","",Data!AR93/1000)</f>
        <v/>
      </c>
      <c r="AG69" s="227">
        <f>IF(Data!A94="","",Data!AR94/1000)</f>
        <v/>
      </c>
      <c r="AH69" s="227">
        <f>IF(Data!A95="","",Data!AR95/1000)</f>
        <v/>
      </c>
      <c r="AI69" s="227">
        <f>IF(Data!A96="","",Data!AR96/1000)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0508A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DATE(2027,1,1)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COUNTIFS(Data!$B$4:$B$375,4,Data!$AO$4:$AO$375,1,Data!$E$4:$E$375,"&lt;&gt;S")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COUNTIFS(Data!$B$4:$B$375,4,Data!$AO$4:$AO$375,1,Data!$E$4:$E$375,"&lt;&gt;S",Data!$AS$4:$AS$375,1)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_xlfn.MAXIFS(Data!$A$4:$A$375,Data!$B$4:$B$375,4,Data!$AF$4:$AF$375,"&gt;0")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_xlfn.MINIFS(Data!$A$4:$A$375,Data!$B$4:$B$375,4,Data!$AF$4:$AF$375,"&gt;0")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Data!BF97</f>
        <v/>
      </c>
      <c r="F39" s="206">
        <f>Data!BF98</f>
        <v/>
      </c>
      <c r="G39" s="206">
        <f>Data!BF99</f>
        <v/>
      </c>
      <c r="H39" s="206">
        <f>Data!BF100</f>
        <v/>
      </c>
      <c r="I39" s="206">
        <f>Data!BF101</f>
        <v/>
      </c>
      <c r="J39" s="206">
        <f>Data!BF102</f>
        <v/>
      </c>
      <c r="K39" s="206">
        <f>Data!BF103</f>
        <v/>
      </c>
      <c r="L39" s="206">
        <f>Data!BF104</f>
        <v/>
      </c>
      <c r="M39" s="206">
        <f>Data!BF105</f>
        <v/>
      </c>
      <c r="N39" s="206">
        <f>Data!BF106</f>
        <v/>
      </c>
      <c r="O39" s="206">
        <f>Data!BF107</f>
        <v/>
      </c>
      <c r="P39" s="206">
        <f>Data!BF108</f>
        <v/>
      </c>
      <c r="Q39" s="206">
        <f>Data!BF109</f>
        <v/>
      </c>
      <c r="R39" s="206">
        <f>Data!BF110</f>
        <v/>
      </c>
      <c r="S39" s="206">
        <f>Data!BF111</f>
        <v/>
      </c>
      <c r="T39" s="206">
        <f>Data!BF112</f>
        <v/>
      </c>
      <c r="U39" s="206">
        <f>Data!BF113</f>
        <v/>
      </c>
      <c r="V39" s="206">
        <f>Data!BF114</f>
        <v/>
      </c>
      <c r="W39" s="206">
        <f>Data!BF115</f>
        <v/>
      </c>
      <c r="X39" s="206">
        <f>Data!BF116</f>
        <v/>
      </c>
      <c r="Y39" s="206">
        <f>Data!BF117</f>
        <v/>
      </c>
      <c r="Z39" s="206">
        <f>Data!BF118</f>
        <v/>
      </c>
      <c r="AA39" s="206">
        <f>Data!BF119</f>
        <v/>
      </c>
      <c r="AB39" s="206">
        <f>Data!BF120</f>
        <v/>
      </c>
      <c r="AC39" s="206">
        <f>Data!BF121</f>
        <v/>
      </c>
      <c r="AD39" s="206">
        <f>Data!BF122</f>
        <v/>
      </c>
      <c r="AE39" s="206">
        <f>Data!BF123</f>
        <v/>
      </c>
      <c r="AF39" s="206">
        <f>Data!BF124</f>
        <v/>
      </c>
      <c r="AG39" s="206">
        <f>Data!BF125</f>
        <v/>
      </c>
      <c r="AH39" s="206">
        <f>Data!BF126</f>
        <v/>
      </c>
      <c r="AI39" s="206">
        <f>Data!BF127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IF(Data!BF97="","",Data!BJ97)</f>
        <v/>
      </c>
      <c r="F40" s="207">
        <f>IF(Data!BF98="","",Data!BJ98)</f>
        <v/>
      </c>
      <c r="G40" s="207">
        <f>IF(Data!BF99="","",Data!BJ99)</f>
        <v/>
      </c>
      <c r="H40" s="207">
        <f>IF(Data!BF100="","",Data!BJ100)</f>
        <v/>
      </c>
      <c r="I40" s="207">
        <f>IF(Data!BF101="","",Data!BJ101)</f>
        <v/>
      </c>
      <c r="J40" s="207">
        <f>IF(Data!BF102="","",Data!BJ102)</f>
        <v/>
      </c>
      <c r="K40" s="207">
        <f>IF(Data!BF103="","",Data!BJ103)</f>
        <v/>
      </c>
      <c r="L40" s="207">
        <f>IF(Data!BF104="","",Data!BJ104)</f>
        <v/>
      </c>
      <c r="M40" s="207">
        <f>IF(Data!BF105="","",Data!BJ105)</f>
        <v/>
      </c>
      <c r="N40" s="207">
        <f>IF(Data!BF106="","",Data!BJ106)</f>
        <v/>
      </c>
      <c r="O40" s="207">
        <f>IF(Data!BF107="","",Data!BJ107)</f>
        <v/>
      </c>
      <c r="P40" s="207">
        <f>IF(Data!BF108="","",Data!BJ108)</f>
        <v/>
      </c>
      <c r="Q40" s="207">
        <f>IF(Data!BF109="","",Data!BJ109)</f>
        <v/>
      </c>
      <c r="R40" s="207">
        <f>IF(Data!BF110="","",Data!BJ110)</f>
        <v/>
      </c>
      <c r="S40" s="207">
        <f>IF(Data!BF111="","",Data!BJ111)</f>
        <v/>
      </c>
      <c r="T40" s="207">
        <f>IF(Data!BF112="","",Data!BJ112)</f>
        <v/>
      </c>
      <c r="U40" s="207">
        <f>IF(Data!BF113="","",Data!BJ113)</f>
        <v/>
      </c>
      <c r="V40" s="207">
        <f>IF(Data!BF114="","",Data!BJ114)</f>
        <v/>
      </c>
      <c r="W40" s="207">
        <f>IF(Data!BF115="","",Data!BJ115)</f>
        <v/>
      </c>
      <c r="X40" s="207">
        <f>IF(Data!BF116="","",Data!BJ116)</f>
        <v/>
      </c>
      <c r="Y40" s="207">
        <f>IF(Data!BF117="","",Data!BJ117)</f>
        <v/>
      </c>
      <c r="Z40" s="207">
        <f>IF(Data!BF118="","",Data!BJ118)</f>
        <v/>
      </c>
      <c r="AA40" s="207">
        <f>IF(Data!BF119="","",Data!BJ119)</f>
        <v/>
      </c>
      <c r="AB40" s="207">
        <f>IF(Data!BF120="","",Data!BJ120)</f>
        <v/>
      </c>
      <c r="AC40" s="207">
        <f>IF(Data!BF121="","",Data!BJ121)</f>
        <v/>
      </c>
      <c r="AD40" s="207">
        <f>IF(Data!BF122="","",Data!BJ122)</f>
        <v/>
      </c>
      <c r="AE40" s="207">
        <f>IF(Data!BF123="","",Data!BJ123)</f>
        <v/>
      </c>
      <c r="AF40" s="207">
        <f>IF(Data!BF124="","",Data!BJ124)</f>
        <v/>
      </c>
      <c r="AG40" s="207">
        <f>IF(Data!BF125="","",Data!BJ125)</f>
        <v/>
      </c>
      <c r="AH40" s="207">
        <f>IF(Data!BF126="","",Data!BJ126)</f>
        <v/>
      </c>
      <c r="AI40" s="207">
        <f>IF(Data!BF127="","",Data!BJ127)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IFERROR(SUMIFS(Data!$AY$4:$AY$375,Data!$B$4:$B$375,4)/COUNTIFS(Data!$B$4:$B$375,4,Data!$AG$4:$AG$375,"&gt;0"),"")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IFERROR(SUMIFS(Data!$AW$4:$AW$375,Data!$B$4:$B$375,4)/COUNTIFS(Data!$B$4:$B$375,4,Data!$AH$4:$AH$375,"&gt;0"),"")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IFERROR(SUMIFS(Data!$AX$4:$AX$375,Data!$B$4:$B$375,4)/COUNTIFS(Data!$B$4:$B$375,4,Data!$AI$4:$AI$375,"&gt;0"),"")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Data!BI97</f>
        <v/>
      </c>
      <c r="F68" s="226">
        <f>Data!BI98</f>
        <v/>
      </c>
      <c r="G68" s="226">
        <f>Data!BI99</f>
        <v/>
      </c>
      <c r="H68" s="226">
        <f>Data!BI100</f>
        <v/>
      </c>
      <c r="I68" s="226">
        <f>Data!BI101</f>
        <v/>
      </c>
      <c r="J68" s="226">
        <f>Data!BI102</f>
        <v/>
      </c>
      <c r="K68" s="226">
        <f>Data!BI103</f>
        <v/>
      </c>
      <c r="L68" s="226">
        <f>Data!BI104</f>
        <v/>
      </c>
      <c r="M68" s="226">
        <f>Data!BI105</f>
        <v/>
      </c>
      <c r="N68" s="226">
        <f>Data!BI106</f>
        <v/>
      </c>
      <c r="O68" s="226">
        <f>Data!BI107</f>
        <v/>
      </c>
      <c r="P68" s="226">
        <f>Data!BI108</f>
        <v/>
      </c>
      <c r="Q68" s="226">
        <f>Data!BI109</f>
        <v/>
      </c>
      <c r="R68" s="226">
        <f>Data!BI110</f>
        <v/>
      </c>
      <c r="S68" s="226">
        <f>Data!BI111</f>
        <v/>
      </c>
      <c r="T68" s="226">
        <f>Data!BI112</f>
        <v/>
      </c>
      <c r="U68" s="226">
        <f>Data!BI113</f>
        <v/>
      </c>
      <c r="V68" s="226">
        <f>Data!BI114</f>
        <v/>
      </c>
      <c r="W68" s="226">
        <f>Data!BI115</f>
        <v/>
      </c>
      <c r="X68" s="226">
        <f>Data!BI116</f>
        <v/>
      </c>
      <c r="Y68" s="226">
        <f>Data!BI117</f>
        <v/>
      </c>
      <c r="Z68" s="226">
        <f>Data!BI118</f>
        <v/>
      </c>
      <c r="AA68" s="226">
        <f>Data!BI119</f>
        <v/>
      </c>
      <c r="AB68" s="226">
        <f>Data!BI120</f>
        <v/>
      </c>
      <c r="AC68" s="226">
        <f>Data!BI121</f>
        <v/>
      </c>
      <c r="AD68" s="226">
        <f>Data!BI122</f>
        <v/>
      </c>
      <c r="AE68" s="226">
        <f>Data!BI123</f>
        <v/>
      </c>
      <c r="AF68" s="226">
        <f>Data!BI124</f>
        <v/>
      </c>
      <c r="AG68" s="226">
        <f>Data!BI125</f>
        <v/>
      </c>
      <c r="AH68" s="226">
        <f>Data!BI126</f>
        <v/>
      </c>
      <c r="AI68" s="226">
        <f>Data!BI127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IF(Data!A97="","",Data!AR97/1000)</f>
        <v/>
      </c>
      <c r="F69" s="227">
        <f>IF(Data!A98="","",Data!AR98/1000)</f>
        <v/>
      </c>
      <c r="G69" s="227">
        <f>IF(Data!A99="","",Data!AR99/1000)</f>
        <v/>
      </c>
      <c r="H69" s="227">
        <f>IF(Data!A100="","",Data!AR100/1000)</f>
        <v/>
      </c>
      <c r="I69" s="227">
        <f>IF(Data!A101="","",Data!AR101/1000)</f>
        <v/>
      </c>
      <c r="J69" s="227">
        <f>IF(Data!A102="","",Data!AR102/1000)</f>
        <v/>
      </c>
      <c r="K69" s="227">
        <f>IF(Data!A103="","",Data!AR103/1000)</f>
        <v/>
      </c>
      <c r="L69" s="227">
        <f>IF(Data!A104="","",Data!AR104/1000)</f>
        <v/>
      </c>
      <c r="M69" s="227">
        <f>IF(Data!A105="","",Data!AR105/1000)</f>
        <v/>
      </c>
      <c r="N69" s="227">
        <f>IF(Data!A106="","",Data!AR106/1000)</f>
        <v/>
      </c>
      <c r="O69" s="227">
        <f>IF(Data!A107="","",Data!AR107/1000)</f>
        <v/>
      </c>
      <c r="P69" s="227">
        <f>IF(Data!A108="","",Data!AR108/1000)</f>
        <v/>
      </c>
      <c r="Q69" s="227">
        <f>IF(Data!A109="","",Data!AR109/1000)</f>
        <v/>
      </c>
      <c r="R69" s="227">
        <f>IF(Data!A110="","",Data!AR110/1000)</f>
        <v/>
      </c>
      <c r="S69" s="227">
        <f>IF(Data!A111="","",Data!AR111/1000)</f>
        <v/>
      </c>
      <c r="T69" s="227">
        <f>IF(Data!A112="","",Data!AR112/1000)</f>
        <v/>
      </c>
      <c r="U69" s="227">
        <f>IF(Data!A113="","",Data!AR113/1000)</f>
        <v/>
      </c>
      <c r="V69" s="227">
        <f>IF(Data!A114="","",Data!AR114/1000)</f>
        <v/>
      </c>
      <c r="W69" s="227">
        <f>IF(Data!A115="","",Data!AR115/1000)</f>
        <v/>
      </c>
      <c r="X69" s="227">
        <f>IF(Data!A116="","",Data!AR116/1000)</f>
        <v/>
      </c>
      <c r="Y69" s="227">
        <f>IF(Data!A117="","",Data!AR117/1000)</f>
        <v/>
      </c>
      <c r="Z69" s="227">
        <f>IF(Data!A118="","",Data!AR118/1000)</f>
        <v/>
      </c>
      <c r="AA69" s="227">
        <f>IF(Data!A119="","",Data!AR119/1000)</f>
        <v/>
      </c>
      <c r="AB69" s="227">
        <f>IF(Data!A120="","",Data!AR120/1000)</f>
        <v/>
      </c>
      <c r="AC69" s="227">
        <f>IF(Data!A121="","",Data!AR121/1000)</f>
        <v/>
      </c>
      <c r="AD69" s="227">
        <f>IF(Data!A122="","",Data!AR122/1000)</f>
        <v/>
      </c>
      <c r="AE69" s="227">
        <f>IF(Data!A123="","",Data!AR123/1000)</f>
        <v/>
      </c>
      <c r="AF69" s="227">
        <f>IF(Data!A124="","",Data!AR124/1000)</f>
        <v/>
      </c>
      <c r="AG69" s="227">
        <f>IF(Data!A125="","",Data!AR125/1000)</f>
        <v/>
      </c>
      <c r="AH69" s="227">
        <f>IF(Data!A126="","",Data!AR126/1000)</f>
        <v/>
      </c>
      <c r="AI69" s="227">
        <f>IF(Data!A127="","",Data!AR127/1000)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DATE(2027,2,1)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COUNTIFS(Data!$B$4:$B$375,5,Data!$AO$4:$AO$375,1,Data!$E$4:$E$375,"&lt;&gt;S")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COUNTIFS(Data!$B$4:$B$375,5,Data!$AO$4:$AO$375,1,Data!$E$4:$E$375,"&lt;&gt;S",Data!$AS$4:$AS$375,1)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_xlfn.MAXIFS(Data!$A$4:$A$375,Data!$B$4:$B$375,5,Data!$AF$4:$AF$375,"&gt;0")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_xlfn.MINIFS(Data!$A$4:$A$375,Data!$B$4:$B$375,5,Data!$AF$4:$AF$375,"&gt;0")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Data!BF128</f>
        <v/>
      </c>
      <c r="F39" s="206">
        <f>Data!BF129</f>
        <v/>
      </c>
      <c r="G39" s="206">
        <f>Data!BF130</f>
        <v/>
      </c>
      <c r="H39" s="206">
        <f>Data!BF131</f>
        <v/>
      </c>
      <c r="I39" s="206">
        <f>Data!BF132</f>
        <v/>
      </c>
      <c r="J39" s="206">
        <f>Data!BF133</f>
        <v/>
      </c>
      <c r="K39" s="206">
        <f>Data!BF134</f>
        <v/>
      </c>
      <c r="L39" s="206">
        <f>Data!BF135</f>
        <v/>
      </c>
      <c r="M39" s="206">
        <f>Data!BF136</f>
        <v/>
      </c>
      <c r="N39" s="206">
        <f>Data!BF137</f>
        <v/>
      </c>
      <c r="O39" s="206">
        <f>Data!BF138</f>
        <v/>
      </c>
      <c r="P39" s="206">
        <f>Data!BF139</f>
        <v/>
      </c>
      <c r="Q39" s="206">
        <f>Data!BF140</f>
        <v/>
      </c>
      <c r="R39" s="206">
        <f>Data!BF141</f>
        <v/>
      </c>
      <c r="S39" s="206">
        <f>Data!BF142</f>
        <v/>
      </c>
      <c r="T39" s="206">
        <f>Data!BF143</f>
        <v/>
      </c>
      <c r="U39" s="206">
        <f>Data!BF144</f>
        <v/>
      </c>
      <c r="V39" s="206">
        <f>Data!BF145</f>
        <v/>
      </c>
      <c r="W39" s="206">
        <f>Data!BF146</f>
        <v/>
      </c>
      <c r="X39" s="206">
        <f>Data!BF147</f>
        <v/>
      </c>
      <c r="Y39" s="206">
        <f>Data!BF148</f>
        <v/>
      </c>
      <c r="Z39" s="206">
        <f>Data!BF149</f>
        <v/>
      </c>
      <c r="AA39" s="206">
        <f>Data!BF150</f>
        <v/>
      </c>
      <c r="AB39" s="206">
        <f>Data!BF151</f>
        <v/>
      </c>
      <c r="AC39" s="206">
        <f>Data!BF152</f>
        <v/>
      </c>
      <c r="AD39" s="206">
        <f>Data!BF153</f>
        <v/>
      </c>
      <c r="AE39" s="206">
        <f>Data!BF154</f>
        <v/>
      </c>
      <c r="AF39" s="206">
        <f>Data!BF155</f>
        <v/>
      </c>
      <c r="AG39" s="206">
        <f>Data!BF156</f>
        <v/>
      </c>
      <c r="AH39" s="206">
        <f>Data!BF157</f>
        <v/>
      </c>
      <c r="AI39" s="206">
        <f>Data!BF158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IF(Data!BF128="","",Data!BJ128)</f>
        <v/>
      </c>
      <c r="F40" s="207">
        <f>IF(Data!BF129="","",Data!BJ129)</f>
        <v/>
      </c>
      <c r="G40" s="207">
        <f>IF(Data!BF130="","",Data!BJ130)</f>
        <v/>
      </c>
      <c r="H40" s="207">
        <f>IF(Data!BF131="","",Data!BJ131)</f>
        <v/>
      </c>
      <c r="I40" s="207">
        <f>IF(Data!BF132="","",Data!BJ132)</f>
        <v/>
      </c>
      <c r="J40" s="207">
        <f>IF(Data!BF133="","",Data!BJ133)</f>
        <v/>
      </c>
      <c r="K40" s="207">
        <f>IF(Data!BF134="","",Data!BJ134)</f>
        <v/>
      </c>
      <c r="L40" s="207">
        <f>IF(Data!BF135="","",Data!BJ135)</f>
        <v/>
      </c>
      <c r="M40" s="207">
        <f>IF(Data!BF136="","",Data!BJ136)</f>
        <v/>
      </c>
      <c r="N40" s="207">
        <f>IF(Data!BF137="","",Data!BJ137)</f>
        <v/>
      </c>
      <c r="O40" s="207">
        <f>IF(Data!BF138="","",Data!BJ138)</f>
        <v/>
      </c>
      <c r="P40" s="207">
        <f>IF(Data!BF139="","",Data!BJ139)</f>
        <v/>
      </c>
      <c r="Q40" s="207">
        <f>IF(Data!BF140="","",Data!BJ140)</f>
        <v/>
      </c>
      <c r="R40" s="207">
        <f>IF(Data!BF141="","",Data!BJ141)</f>
        <v/>
      </c>
      <c r="S40" s="207">
        <f>IF(Data!BF142="","",Data!BJ142)</f>
        <v/>
      </c>
      <c r="T40" s="207">
        <f>IF(Data!BF143="","",Data!BJ143)</f>
        <v/>
      </c>
      <c r="U40" s="207">
        <f>IF(Data!BF144="","",Data!BJ144)</f>
        <v/>
      </c>
      <c r="V40" s="207">
        <f>IF(Data!BF145="","",Data!BJ145)</f>
        <v/>
      </c>
      <c r="W40" s="207">
        <f>IF(Data!BF146="","",Data!BJ146)</f>
        <v/>
      </c>
      <c r="X40" s="207">
        <f>IF(Data!BF147="","",Data!BJ147)</f>
        <v/>
      </c>
      <c r="Y40" s="207">
        <f>IF(Data!BF148="","",Data!BJ148)</f>
        <v/>
      </c>
      <c r="Z40" s="207">
        <f>IF(Data!BF149="","",Data!BJ149)</f>
        <v/>
      </c>
      <c r="AA40" s="207">
        <f>IF(Data!BF150="","",Data!BJ150)</f>
        <v/>
      </c>
      <c r="AB40" s="207">
        <f>IF(Data!BF151="","",Data!BJ151)</f>
        <v/>
      </c>
      <c r="AC40" s="207">
        <f>IF(Data!BF152="","",Data!BJ152)</f>
        <v/>
      </c>
      <c r="AD40" s="207">
        <f>IF(Data!BF153="","",Data!BJ153)</f>
        <v/>
      </c>
      <c r="AE40" s="207">
        <f>IF(Data!BF154="","",Data!BJ154)</f>
        <v/>
      </c>
      <c r="AF40" s="207">
        <f>IF(Data!BF155="","",Data!BJ155)</f>
        <v/>
      </c>
      <c r="AG40" s="207">
        <f>IF(Data!BF156="","",Data!BJ156)</f>
        <v/>
      </c>
      <c r="AH40" s="207">
        <f>IF(Data!BF157="","",Data!BJ157)</f>
        <v/>
      </c>
      <c r="AI40" s="207">
        <f>IF(Data!BF158="","",Data!BJ158)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IFERROR(SUMIFS(Data!$AY$4:$AY$375,Data!$B$4:$B$375,5)/COUNTIFS(Data!$B$4:$B$375,5,Data!$AG$4:$AG$375,"&gt;0"),"")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IFERROR(SUMIFS(Data!$AW$4:$AW$375,Data!$B$4:$B$375,5)/COUNTIFS(Data!$B$4:$B$375,5,Data!$AH$4:$AH$375,"&gt;0"),"")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IFERROR(SUMIFS(Data!$AX$4:$AX$375,Data!$B$4:$B$375,5)/COUNTIFS(Data!$B$4:$B$375,5,Data!$AI$4:$AI$375,"&gt;0"),"")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Data!BI128</f>
        <v/>
      </c>
      <c r="F68" s="226">
        <f>Data!BI129</f>
        <v/>
      </c>
      <c r="G68" s="226">
        <f>Data!BI130</f>
        <v/>
      </c>
      <c r="H68" s="226">
        <f>Data!BI131</f>
        <v/>
      </c>
      <c r="I68" s="226">
        <f>Data!BI132</f>
        <v/>
      </c>
      <c r="J68" s="226">
        <f>Data!BI133</f>
        <v/>
      </c>
      <c r="K68" s="226">
        <f>Data!BI134</f>
        <v/>
      </c>
      <c r="L68" s="226">
        <f>Data!BI135</f>
        <v/>
      </c>
      <c r="M68" s="226">
        <f>Data!BI136</f>
        <v/>
      </c>
      <c r="N68" s="226">
        <f>Data!BI137</f>
        <v/>
      </c>
      <c r="O68" s="226">
        <f>Data!BI138</f>
        <v/>
      </c>
      <c r="P68" s="226">
        <f>Data!BI139</f>
        <v/>
      </c>
      <c r="Q68" s="226">
        <f>Data!BI140</f>
        <v/>
      </c>
      <c r="R68" s="226">
        <f>Data!BI141</f>
        <v/>
      </c>
      <c r="S68" s="226">
        <f>Data!BI142</f>
        <v/>
      </c>
      <c r="T68" s="226">
        <f>Data!BI143</f>
        <v/>
      </c>
      <c r="U68" s="226">
        <f>Data!BI144</f>
        <v/>
      </c>
      <c r="V68" s="226">
        <f>Data!BI145</f>
        <v/>
      </c>
      <c r="W68" s="226">
        <f>Data!BI146</f>
        <v/>
      </c>
      <c r="X68" s="226">
        <f>Data!BI147</f>
        <v/>
      </c>
      <c r="Y68" s="226">
        <f>Data!BI148</f>
        <v/>
      </c>
      <c r="Z68" s="226">
        <f>Data!BI149</f>
        <v/>
      </c>
      <c r="AA68" s="226">
        <f>Data!BI150</f>
        <v/>
      </c>
      <c r="AB68" s="226">
        <f>Data!BI151</f>
        <v/>
      </c>
      <c r="AC68" s="226">
        <f>Data!BI152</f>
        <v/>
      </c>
      <c r="AD68" s="226">
        <f>Data!BI153</f>
        <v/>
      </c>
      <c r="AE68" s="226">
        <f>Data!BI154</f>
        <v/>
      </c>
      <c r="AF68" s="226">
        <f>Data!BI155</f>
        <v/>
      </c>
      <c r="AG68" s="226">
        <f>Data!BI156</f>
        <v/>
      </c>
      <c r="AH68" s="226">
        <f>Data!BI157</f>
        <v/>
      </c>
      <c r="AI68" s="226">
        <f>Data!BI158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IF(Data!A128="","",Data!AR128/1000)</f>
        <v/>
      </c>
      <c r="F69" s="227">
        <f>IF(Data!A129="","",Data!AR129/1000)</f>
        <v/>
      </c>
      <c r="G69" s="227">
        <f>IF(Data!A130="","",Data!AR130/1000)</f>
        <v/>
      </c>
      <c r="H69" s="227">
        <f>IF(Data!A131="","",Data!AR131/1000)</f>
        <v/>
      </c>
      <c r="I69" s="227">
        <f>IF(Data!A132="","",Data!AR132/1000)</f>
        <v/>
      </c>
      <c r="J69" s="227">
        <f>IF(Data!A133="","",Data!AR133/1000)</f>
        <v/>
      </c>
      <c r="K69" s="227">
        <f>IF(Data!A134="","",Data!AR134/1000)</f>
        <v/>
      </c>
      <c r="L69" s="227">
        <f>IF(Data!A135="","",Data!AR135/1000)</f>
        <v/>
      </c>
      <c r="M69" s="227">
        <f>IF(Data!A136="","",Data!AR136/1000)</f>
        <v/>
      </c>
      <c r="N69" s="227">
        <f>IF(Data!A137="","",Data!AR137/1000)</f>
        <v/>
      </c>
      <c r="O69" s="227">
        <f>IF(Data!A138="","",Data!AR138/1000)</f>
        <v/>
      </c>
      <c r="P69" s="227">
        <f>IF(Data!A139="","",Data!AR139/1000)</f>
        <v/>
      </c>
      <c r="Q69" s="227">
        <f>IF(Data!A140="","",Data!AR140/1000)</f>
        <v/>
      </c>
      <c r="R69" s="227">
        <f>IF(Data!A141="","",Data!AR141/1000)</f>
        <v/>
      </c>
      <c r="S69" s="227">
        <f>IF(Data!A142="","",Data!AR142/1000)</f>
        <v/>
      </c>
      <c r="T69" s="227">
        <f>IF(Data!A143="","",Data!AR143/1000)</f>
        <v/>
      </c>
      <c r="U69" s="227">
        <f>IF(Data!A144="","",Data!AR144/1000)</f>
        <v/>
      </c>
      <c r="V69" s="227">
        <f>IF(Data!A145="","",Data!AR145/1000)</f>
        <v/>
      </c>
      <c r="W69" s="227">
        <f>IF(Data!A146="","",Data!AR146/1000)</f>
        <v/>
      </c>
      <c r="X69" s="227">
        <f>IF(Data!A147="","",Data!AR147/1000)</f>
        <v/>
      </c>
      <c r="Y69" s="227">
        <f>IF(Data!A148="","",Data!AR148/1000)</f>
        <v/>
      </c>
      <c r="Z69" s="227">
        <f>IF(Data!A149="","",Data!AR149/1000)</f>
        <v/>
      </c>
      <c r="AA69" s="227">
        <f>IF(Data!A150="","",Data!AR150/1000)</f>
        <v/>
      </c>
      <c r="AB69" s="227">
        <f>IF(Data!A151="","",Data!AR151/1000)</f>
        <v/>
      </c>
      <c r="AC69" s="227">
        <f>IF(Data!A152="","",Data!AR152/1000)</f>
        <v/>
      </c>
      <c r="AD69" s="227">
        <f>IF(Data!A153="","",Data!AR153/1000)</f>
        <v/>
      </c>
      <c r="AE69" s="227">
        <f>IF(Data!A154="","",Data!AR154/1000)</f>
        <v/>
      </c>
      <c r="AF69" s="227">
        <f>IF(Data!A155="","",Data!AR155/1000)</f>
        <v/>
      </c>
      <c r="AG69" s="227">
        <f>IF(Data!A156="","",Data!AR156/1000)</f>
        <v/>
      </c>
      <c r="AH69" s="227">
        <f>IF(Data!A157="","",Data!AR157/1000)</f>
        <v/>
      </c>
      <c r="AI69" s="227">
        <f>IF(Data!A158="","",Data!AR158/1000)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DATE(2027,3,1)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COUNTIFS(Data!$B$4:$B$375,6,Data!$AO$4:$AO$375,1,Data!$E$4:$E$375,"&lt;&gt;S")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COUNTIFS(Data!$B$4:$B$375,6,Data!$AO$4:$AO$375,1,Data!$E$4:$E$375,"&lt;&gt;S",Data!$AS$4:$AS$375,1)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_xlfn.MAXIFS(Data!$A$4:$A$375,Data!$B$4:$B$375,6,Data!$AF$4:$AF$375,"&gt;0")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_xlfn.MINIFS(Data!$A$4:$A$375,Data!$B$4:$B$375,6,Data!$AF$4:$AF$375,"&gt;0")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Data!BF159</f>
        <v/>
      </c>
      <c r="F39" s="206">
        <f>Data!BF160</f>
        <v/>
      </c>
      <c r="G39" s="206">
        <f>Data!BF161</f>
        <v/>
      </c>
      <c r="H39" s="206">
        <f>Data!BF162</f>
        <v/>
      </c>
      <c r="I39" s="206">
        <f>Data!BF163</f>
        <v/>
      </c>
      <c r="J39" s="206">
        <f>Data!BF164</f>
        <v/>
      </c>
      <c r="K39" s="206">
        <f>Data!BF165</f>
        <v/>
      </c>
      <c r="L39" s="206">
        <f>Data!BF166</f>
        <v/>
      </c>
      <c r="M39" s="206">
        <f>Data!BF167</f>
        <v/>
      </c>
      <c r="N39" s="206">
        <f>Data!BF168</f>
        <v/>
      </c>
      <c r="O39" s="206">
        <f>Data!BF169</f>
        <v/>
      </c>
      <c r="P39" s="206">
        <f>Data!BF170</f>
        <v/>
      </c>
      <c r="Q39" s="206">
        <f>Data!BF171</f>
        <v/>
      </c>
      <c r="R39" s="206">
        <f>Data!BF172</f>
        <v/>
      </c>
      <c r="S39" s="206">
        <f>Data!BF173</f>
        <v/>
      </c>
      <c r="T39" s="206">
        <f>Data!BF174</f>
        <v/>
      </c>
      <c r="U39" s="206">
        <f>Data!BF175</f>
        <v/>
      </c>
      <c r="V39" s="206">
        <f>Data!BF176</f>
        <v/>
      </c>
      <c r="W39" s="206">
        <f>Data!BF177</f>
        <v/>
      </c>
      <c r="X39" s="206">
        <f>Data!BF178</f>
        <v/>
      </c>
      <c r="Y39" s="206">
        <f>Data!BF179</f>
        <v/>
      </c>
      <c r="Z39" s="206">
        <f>Data!BF180</f>
        <v/>
      </c>
      <c r="AA39" s="206">
        <f>Data!BF181</f>
        <v/>
      </c>
      <c r="AB39" s="206">
        <f>Data!BF182</f>
        <v/>
      </c>
      <c r="AC39" s="206">
        <f>Data!BF183</f>
        <v/>
      </c>
      <c r="AD39" s="206">
        <f>Data!BF184</f>
        <v/>
      </c>
      <c r="AE39" s="206">
        <f>Data!BF185</f>
        <v/>
      </c>
      <c r="AF39" s="206">
        <f>Data!BF186</f>
        <v/>
      </c>
      <c r="AG39" s="206">
        <f>Data!BF187</f>
        <v/>
      </c>
      <c r="AH39" s="206">
        <f>Data!BF188</f>
        <v/>
      </c>
      <c r="AI39" s="206">
        <f>Data!BF189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IF(Data!BF159="","",Data!BJ159)</f>
        <v/>
      </c>
      <c r="F40" s="207">
        <f>IF(Data!BF160="","",Data!BJ160)</f>
        <v/>
      </c>
      <c r="G40" s="207">
        <f>IF(Data!BF161="","",Data!BJ161)</f>
        <v/>
      </c>
      <c r="H40" s="207">
        <f>IF(Data!BF162="","",Data!BJ162)</f>
        <v/>
      </c>
      <c r="I40" s="207">
        <f>IF(Data!BF163="","",Data!BJ163)</f>
        <v/>
      </c>
      <c r="J40" s="207">
        <f>IF(Data!BF164="","",Data!BJ164)</f>
        <v/>
      </c>
      <c r="K40" s="207">
        <f>IF(Data!BF165="","",Data!BJ165)</f>
        <v/>
      </c>
      <c r="L40" s="207">
        <f>IF(Data!BF166="","",Data!BJ166)</f>
        <v/>
      </c>
      <c r="M40" s="207">
        <f>IF(Data!BF167="","",Data!BJ167)</f>
        <v/>
      </c>
      <c r="N40" s="207">
        <f>IF(Data!BF168="","",Data!BJ168)</f>
        <v/>
      </c>
      <c r="O40" s="207">
        <f>IF(Data!BF169="","",Data!BJ169)</f>
        <v/>
      </c>
      <c r="P40" s="207">
        <f>IF(Data!BF170="","",Data!BJ170)</f>
        <v/>
      </c>
      <c r="Q40" s="207">
        <f>IF(Data!BF171="","",Data!BJ171)</f>
        <v/>
      </c>
      <c r="R40" s="207">
        <f>IF(Data!BF172="","",Data!BJ172)</f>
        <v/>
      </c>
      <c r="S40" s="207">
        <f>IF(Data!BF173="","",Data!BJ173)</f>
        <v/>
      </c>
      <c r="T40" s="207">
        <f>IF(Data!BF174="","",Data!BJ174)</f>
        <v/>
      </c>
      <c r="U40" s="207">
        <f>IF(Data!BF175="","",Data!BJ175)</f>
        <v/>
      </c>
      <c r="V40" s="207">
        <f>IF(Data!BF176="","",Data!BJ176)</f>
        <v/>
      </c>
      <c r="W40" s="207">
        <f>IF(Data!BF177="","",Data!BJ177)</f>
        <v/>
      </c>
      <c r="X40" s="207">
        <f>IF(Data!BF178="","",Data!BJ178)</f>
        <v/>
      </c>
      <c r="Y40" s="207">
        <f>IF(Data!BF179="","",Data!BJ179)</f>
        <v/>
      </c>
      <c r="Z40" s="207">
        <f>IF(Data!BF180="","",Data!BJ180)</f>
        <v/>
      </c>
      <c r="AA40" s="207">
        <f>IF(Data!BF181="","",Data!BJ181)</f>
        <v/>
      </c>
      <c r="AB40" s="207">
        <f>IF(Data!BF182="","",Data!BJ182)</f>
        <v/>
      </c>
      <c r="AC40" s="207">
        <f>IF(Data!BF183="","",Data!BJ183)</f>
        <v/>
      </c>
      <c r="AD40" s="207">
        <f>IF(Data!BF184="","",Data!BJ184)</f>
        <v/>
      </c>
      <c r="AE40" s="207">
        <f>IF(Data!BF185="","",Data!BJ185)</f>
        <v/>
      </c>
      <c r="AF40" s="207">
        <f>IF(Data!BF186="","",Data!BJ186)</f>
        <v/>
      </c>
      <c r="AG40" s="207">
        <f>IF(Data!BF187="","",Data!BJ187)</f>
        <v/>
      </c>
      <c r="AH40" s="207">
        <f>IF(Data!BF188="","",Data!BJ188)</f>
        <v/>
      </c>
      <c r="AI40" s="207">
        <f>IF(Data!BF189="","",Data!BJ189)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IFERROR(SUMIFS(Data!$AY$4:$AY$375,Data!$B$4:$B$375,6)/COUNTIFS(Data!$B$4:$B$375,6,Data!$AG$4:$AG$375,"&gt;0"),"")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IFERROR(SUMIFS(Data!$AW$4:$AW$375,Data!$B$4:$B$375,6)/COUNTIFS(Data!$B$4:$B$375,6,Data!$AH$4:$AH$375,"&gt;0"),"")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IFERROR(SUMIFS(Data!$AX$4:$AX$375,Data!$B$4:$B$375,6)/COUNTIFS(Data!$B$4:$B$375,6,Data!$AI$4:$AI$375,"&gt;0"),"")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Data!BI159</f>
        <v/>
      </c>
      <c r="F68" s="226">
        <f>Data!BI160</f>
        <v/>
      </c>
      <c r="G68" s="226">
        <f>Data!BI161</f>
        <v/>
      </c>
      <c r="H68" s="226">
        <f>Data!BI162</f>
        <v/>
      </c>
      <c r="I68" s="226">
        <f>Data!BI163</f>
        <v/>
      </c>
      <c r="J68" s="226">
        <f>Data!BI164</f>
        <v/>
      </c>
      <c r="K68" s="226">
        <f>Data!BI165</f>
        <v/>
      </c>
      <c r="L68" s="226">
        <f>Data!BI166</f>
        <v/>
      </c>
      <c r="M68" s="226">
        <f>Data!BI167</f>
        <v/>
      </c>
      <c r="N68" s="226">
        <f>Data!BI168</f>
        <v/>
      </c>
      <c r="O68" s="226">
        <f>Data!BI169</f>
        <v/>
      </c>
      <c r="P68" s="226">
        <f>Data!BI170</f>
        <v/>
      </c>
      <c r="Q68" s="226">
        <f>Data!BI171</f>
        <v/>
      </c>
      <c r="R68" s="226">
        <f>Data!BI172</f>
        <v/>
      </c>
      <c r="S68" s="226">
        <f>Data!BI173</f>
        <v/>
      </c>
      <c r="T68" s="226">
        <f>Data!BI174</f>
        <v/>
      </c>
      <c r="U68" s="226">
        <f>Data!BI175</f>
        <v/>
      </c>
      <c r="V68" s="226">
        <f>Data!BI176</f>
        <v/>
      </c>
      <c r="W68" s="226">
        <f>Data!BI177</f>
        <v/>
      </c>
      <c r="X68" s="226">
        <f>Data!BI178</f>
        <v/>
      </c>
      <c r="Y68" s="226">
        <f>Data!BI179</f>
        <v/>
      </c>
      <c r="Z68" s="226">
        <f>Data!BI180</f>
        <v/>
      </c>
      <c r="AA68" s="226">
        <f>Data!BI181</f>
        <v/>
      </c>
      <c r="AB68" s="226">
        <f>Data!BI182</f>
        <v/>
      </c>
      <c r="AC68" s="226">
        <f>Data!BI183</f>
        <v/>
      </c>
      <c r="AD68" s="226">
        <f>Data!BI184</f>
        <v/>
      </c>
      <c r="AE68" s="226">
        <f>Data!BI185</f>
        <v/>
      </c>
      <c r="AF68" s="226">
        <f>Data!BI186</f>
        <v/>
      </c>
      <c r="AG68" s="226">
        <f>Data!BI187</f>
        <v/>
      </c>
      <c r="AH68" s="226">
        <f>Data!BI188</f>
        <v/>
      </c>
      <c r="AI68" s="226">
        <f>Data!BI189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IF(Data!A159="","",Data!AR159/1000)</f>
        <v/>
      </c>
      <c r="F69" s="227">
        <f>IF(Data!A160="","",Data!AR160/1000)</f>
        <v/>
      </c>
      <c r="G69" s="227">
        <f>IF(Data!A161="","",Data!AR161/1000)</f>
        <v/>
      </c>
      <c r="H69" s="227">
        <f>IF(Data!A162="","",Data!AR162/1000)</f>
        <v/>
      </c>
      <c r="I69" s="227">
        <f>IF(Data!A163="","",Data!AR163/1000)</f>
        <v/>
      </c>
      <c r="J69" s="227">
        <f>IF(Data!A164="","",Data!AR164/1000)</f>
        <v/>
      </c>
      <c r="K69" s="227">
        <f>IF(Data!A165="","",Data!AR165/1000)</f>
        <v/>
      </c>
      <c r="L69" s="227">
        <f>IF(Data!A166="","",Data!AR166/1000)</f>
        <v/>
      </c>
      <c r="M69" s="227">
        <f>IF(Data!A167="","",Data!AR167/1000)</f>
        <v/>
      </c>
      <c r="N69" s="227">
        <f>IF(Data!A168="","",Data!AR168/1000)</f>
        <v/>
      </c>
      <c r="O69" s="227">
        <f>IF(Data!A169="","",Data!AR169/1000)</f>
        <v/>
      </c>
      <c r="P69" s="227">
        <f>IF(Data!A170="","",Data!AR170/1000)</f>
        <v/>
      </c>
      <c r="Q69" s="227">
        <f>IF(Data!A171="","",Data!AR171/1000)</f>
        <v/>
      </c>
      <c r="R69" s="227">
        <f>IF(Data!A172="","",Data!AR172/1000)</f>
        <v/>
      </c>
      <c r="S69" s="227">
        <f>IF(Data!A173="","",Data!AR173/1000)</f>
        <v/>
      </c>
      <c r="T69" s="227">
        <f>IF(Data!A174="","",Data!AR174/1000)</f>
        <v/>
      </c>
      <c r="U69" s="227">
        <f>IF(Data!A175="","",Data!AR175/1000)</f>
        <v/>
      </c>
      <c r="V69" s="227">
        <f>IF(Data!A176="","",Data!AR176/1000)</f>
        <v/>
      </c>
      <c r="W69" s="227">
        <f>IF(Data!A177="","",Data!AR177/1000)</f>
        <v/>
      </c>
      <c r="X69" s="227">
        <f>IF(Data!A178="","",Data!AR178/1000)</f>
        <v/>
      </c>
      <c r="Y69" s="227">
        <f>IF(Data!A179="","",Data!AR179/1000)</f>
        <v/>
      </c>
      <c r="Z69" s="227">
        <f>IF(Data!A180="","",Data!AR180/1000)</f>
        <v/>
      </c>
      <c r="AA69" s="227">
        <f>IF(Data!A181="","",Data!AR181/1000)</f>
        <v/>
      </c>
      <c r="AB69" s="227">
        <f>IF(Data!A182="","",Data!AR182/1000)</f>
        <v/>
      </c>
      <c r="AC69" s="227">
        <f>IF(Data!A183="","",Data!AR183/1000)</f>
        <v/>
      </c>
      <c r="AD69" s="227">
        <f>IF(Data!A184="","",Data!AR184/1000)</f>
        <v/>
      </c>
      <c r="AE69" s="227">
        <f>IF(Data!A185="","",Data!AR185/1000)</f>
        <v/>
      </c>
      <c r="AF69" s="227">
        <f>IF(Data!A186="","",Data!AR186/1000)</f>
        <v/>
      </c>
      <c r="AG69" s="227">
        <f>IF(Data!A187="","",Data!AR187/1000)</f>
        <v/>
      </c>
      <c r="AH69" s="227">
        <f>IF(Data!A188="","",Data!AR188/1000)</f>
        <v/>
      </c>
      <c r="AI69" s="227">
        <f>IF(Data!A189="","",Data!AR189/1000)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4F7CF7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DATE(2027,4,1)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COUNTIFS(Data!$B$4:$B$375,7,Data!$AO$4:$AO$375,1,Data!$E$4:$E$375,"&lt;&gt;S")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COUNTIFS(Data!$B$4:$B$375,7,Data!$AO$4:$AO$375,1,Data!$E$4:$E$375,"&lt;&gt;S",Data!$AS$4:$AS$375,1)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_xlfn.MAXIFS(Data!$A$4:$A$375,Data!$B$4:$B$375,7,Data!$AF$4:$AF$375,"&gt;0")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_xlfn.MINIFS(Data!$A$4:$A$375,Data!$B$4:$B$375,7,Data!$AF$4:$AF$375,"&gt;0")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Data!BF190</f>
        <v/>
      </c>
      <c r="F39" s="206">
        <f>Data!BF191</f>
        <v/>
      </c>
      <c r="G39" s="206">
        <f>Data!BF192</f>
        <v/>
      </c>
      <c r="H39" s="206">
        <f>Data!BF193</f>
        <v/>
      </c>
      <c r="I39" s="206">
        <f>Data!BF194</f>
        <v/>
      </c>
      <c r="J39" s="206">
        <f>Data!BF195</f>
        <v/>
      </c>
      <c r="K39" s="206">
        <f>Data!BF196</f>
        <v/>
      </c>
      <c r="L39" s="206">
        <f>Data!BF197</f>
        <v/>
      </c>
      <c r="M39" s="206">
        <f>Data!BF198</f>
        <v/>
      </c>
      <c r="N39" s="206">
        <f>Data!BF199</f>
        <v/>
      </c>
      <c r="O39" s="206">
        <f>Data!BF200</f>
        <v/>
      </c>
      <c r="P39" s="206">
        <f>Data!BF201</f>
        <v/>
      </c>
      <c r="Q39" s="206">
        <f>Data!BF202</f>
        <v/>
      </c>
      <c r="R39" s="206">
        <f>Data!BF203</f>
        <v/>
      </c>
      <c r="S39" s="206">
        <f>Data!BF204</f>
        <v/>
      </c>
      <c r="T39" s="206">
        <f>Data!BF205</f>
        <v/>
      </c>
      <c r="U39" s="206">
        <f>Data!BF206</f>
        <v/>
      </c>
      <c r="V39" s="206">
        <f>Data!BF207</f>
        <v/>
      </c>
      <c r="W39" s="206">
        <f>Data!BF208</f>
        <v/>
      </c>
      <c r="X39" s="206">
        <f>Data!BF209</f>
        <v/>
      </c>
      <c r="Y39" s="206">
        <f>Data!BF210</f>
        <v/>
      </c>
      <c r="Z39" s="206">
        <f>Data!BF211</f>
        <v/>
      </c>
      <c r="AA39" s="206">
        <f>Data!BF212</f>
        <v/>
      </c>
      <c r="AB39" s="206">
        <f>Data!BF213</f>
        <v/>
      </c>
      <c r="AC39" s="206">
        <f>Data!BF214</f>
        <v/>
      </c>
      <c r="AD39" s="206">
        <f>Data!BF215</f>
        <v/>
      </c>
      <c r="AE39" s="206">
        <f>Data!BF216</f>
        <v/>
      </c>
      <c r="AF39" s="206">
        <f>Data!BF217</f>
        <v/>
      </c>
      <c r="AG39" s="206">
        <f>Data!BF218</f>
        <v/>
      </c>
      <c r="AH39" s="206">
        <f>Data!BF219</f>
        <v/>
      </c>
      <c r="AI39" s="206">
        <f>Data!BF220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IF(Data!BF190="","",Data!BJ190)</f>
        <v/>
      </c>
      <c r="F40" s="207">
        <f>IF(Data!BF191="","",Data!BJ191)</f>
        <v/>
      </c>
      <c r="G40" s="207">
        <f>IF(Data!BF192="","",Data!BJ192)</f>
        <v/>
      </c>
      <c r="H40" s="207">
        <f>IF(Data!BF193="","",Data!BJ193)</f>
        <v/>
      </c>
      <c r="I40" s="207">
        <f>IF(Data!BF194="","",Data!BJ194)</f>
        <v/>
      </c>
      <c r="J40" s="207">
        <f>IF(Data!BF195="","",Data!BJ195)</f>
        <v/>
      </c>
      <c r="K40" s="207">
        <f>IF(Data!BF196="","",Data!BJ196)</f>
        <v/>
      </c>
      <c r="L40" s="207">
        <f>IF(Data!BF197="","",Data!BJ197)</f>
        <v/>
      </c>
      <c r="M40" s="207">
        <f>IF(Data!BF198="","",Data!BJ198)</f>
        <v/>
      </c>
      <c r="N40" s="207">
        <f>IF(Data!BF199="","",Data!BJ199)</f>
        <v/>
      </c>
      <c r="O40" s="207">
        <f>IF(Data!BF200="","",Data!BJ200)</f>
        <v/>
      </c>
      <c r="P40" s="207">
        <f>IF(Data!BF201="","",Data!BJ201)</f>
        <v/>
      </c>
      <c r="Q40" s="207">
        <f>IF(Data!BF202="","",Data!BJ202)</f>
        <v/>
      </c>
      <c r="R40" s="207">
        <f>IF(Data!BF203="","",Data!BJ203)</f>
        <v/>
      </c>
      <c r="S40" s="207">
        <f>IF(Data!BF204="","",Data!BJ204)</f>
        <v/>
      </c>
      <c r="T40" s="207">
        <f>IF(Data!BF205="","",Data!BJ205)</f>
        <v/>
      </c>
      <c r="U40" s="207">
        <f>IF(Data!BF206="","",Data!BJ206)</f>
        <v/>
      </c>
      <c r="V40" s="207">
        <f>IF(Data!BF207="","",Data!BJ207)</f>
        <v/>
      </c>
      <c r="W40" s="207">
        <f>IF(Data!BF208="","",Data!BJ208)</f>
        <v/>
      </c>
      <c r="X40" s="207">
        <f>IF(Data!BF209="","",Data!BJ209)</f>
        <v/>
      </c>
      <c r="Y40" s="207">
        <f>IF(Data!BF210="","",Data!BJ210)</f>
        <v/>
      </c>
      <c r="Z40" s="207">
        <f>IF(Data!BF211="","",Data!BJ211)</f>
        <v/>
      </c>
      <c r="AA40" s="207">
        <f>IF(Data!BF212="","",Data!BJ212)</f>
        <v/>
      </c>
      <c r="AB40" s="207">
        <f>IF(Data!BF213="","",Data!BJ213)</f>
        <v/>
      </c>
      <c r="AC40" s="207">
        <f>IF(Data!BF214="","",Data!BJ214)</f>
        <v/>
      </c>
      <c r="AD40" s="207">
        <f>IF(Data!BF215="","",Data!BJ215)</f>
        <v/>
      </c>
      <c r="AE40" s="207">
        <f>IF(Data!BF216="","",Data!BJ216)</f>
        <v/>
      </c>
      <c r="AF40" s="207">
        <f>IF(Data!BF217="","",Data!BJ217)</f>
        <v/>
      </c>
      <c r="AG40" s="207">
        <f>IF(Data!BF218="","",Data!BJ218)</f>
        <v/>
      </c>
      <c r="AH40" s="207">
        <f>IF(Data!BF219="","",Data!BJ219)</f>
        <v/>
      </c>
      <c r="AI40" s="207">
        <f>IF(Data!BF220="","",Data!BJ220)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IFERROR(SUMIFS(Data!$AY$4:$AY$375,Data!$B$4:$B$375,7)/COUNTIFS(Data!$B$4:$B$375,7,Data!$AG$4:$AG$375,"&gt;0"),"")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IFERROR(SUMIFS(Data!$AW$4:$AW$375,Data!$B$4:$B$375,7)/COUNTIFS(Data!$B$4:$B$375,7,Data!$AH$4:$AH$375,"&gt;0"),"")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IFERROR(SUMIFS(Data!$AX$4:$AX$375,Data!$B$4:$B$375,7)/COUNTIFS(Data!$B$4:$B$375,7,Data!$AI$4:$AI$375,"&gt;0"),"")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Data!BI190</f>
        <v/>
      </c>
      <c r="F68" s="226">
        <f>Data!BI191</f>
        <v/>
      </c>
      <c r="G68" s="226">
        <f>Data!BI192</f>
        <v/>
      </c>
      <c r="H68" s="226">
        <f>Data!BI193</f>
        <v/>
      </c>
      <c r="I68" s="226">
        <f>Data!BI194</f>
        <v/>
      </c>
      <c r="J68" s="226">
        <f>Data!BI195</f>
        <v/>
      </c>
      <c r="K68" s="226">
        <f>Data!BI196</f>
        <v/>
      </c>
      <c r="L68" s="226">
        <f>Data!BI197</f>
        <v/>
      </c>
      <c r="M68" s="226">
        <f>Data!BI198</f>
        <v/>
      </c>
      <c r="N68" s="226">
        <f>Data!BI199</f>
        <v/>
      </c>
      <c r="O68" s="226">
        <f>Data!BI200</f>
        <v/>
      </c>
      <c r="P68" s="226">
        <f>Data!BI201</f>
        <v/>
      </c>
      <c r="Q68" s="226">
        <f>Data!BI202</f>
        <v/>
      </c>
      <c r="R68" s="226">
        <f>Data!BI203</f>
        <v/>
      </c>
      <c r="S68" s="226">
        <f>Data!BI204</f>
        <v/>
      </c>
      <c r="T68" s="226">
        <f>Data!BI205</f>
        <v/>
      </c>
      <c r="U68" s="226">
        <f>Data!BI206</f>
        <v/>
      </c>
      <c r="V68" s="226">
        <f>Data!BI207</f>
        <v/>
      </c>
      <c r="W68" s="226">
        <f>Data!BI208</f>
        <v/>
      </c>
      <c r="X68" s="226">
        <f>Data!BI209</f>
        <v/>
      </c>
      <c r="Y68" s="226">
        <f>Data!BI210</f>
        <v/>
      </c>
      <c r="Z68" s="226">
        <f>Data!BI211</f>
        <v/>
      </c>
      <c r="AA68" s="226">
        <f>Data!BI212</f>
        <v/>
      </c>
      <c r="AB68" s="226">
        <f>Data!BI213</f>
        <v/>
      </c>
      <c r="AC68" s="226">
        <f>Data!BI214</f>
        <v/>
      </c>
      <c r="AD68" s="226">
        <f>Data!BI215</f>
        <v/>
      </c>
      <c r="AE68" s="226">
        <f>Data!BI216</f>
        <v/>
      </c>
      <c r="AF68" s="226">
        <f>Data!BI217</f>
        <v/>
      </c>
      <c r="AG68" s="226">
        <f>Data!BI218</f>
        <v/>
      </c>
      <c r="AH68" s="226">
        <f>Data!BI219</f>
        <v/>
      </c>
      <c r="AI68" s="226">
        <f>Data!BI220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IF(Data!A190="","",Data!AR190/1000)</f>
        <v/>
      </c>
      <c r="F69" s="227">
        <f>IF(Data!A191="","",Data!AR191/1000)</f>
        <v/>
      </c>
      <c r="G69" s="227">
        <f>IF(Data!A192="","",Data!AR192/1000)</f>
        <v/>
      </c>
      <c r="H69" s="227">
        <f>IF(Data!A193="","",Data!AR193/1000)</f>
        <v/>
      </c>
      <c r="I69" s="227">
        <f>IF(Data!A194="","",Data!AR194/1000)</f>
        <v/>
      </c>
      <c r="J69" s="227">
        <f>IF(Data!A195="","",Data!AR195/1000)</f>
        <v/>
      </c>
      <c r="K69" s="227">
        <f>IF(Data!A196="","",Data!AR196/1000)</f>
        <v/>
      </c>
      <c r="L69" s="227">
        <f>IF(Data!A197="","",Data!AR197/1000)</f>
        <v/>
      </c>
      <c r="M69" s="227">
        <f>IF(Data!A198="","",Data!AR198/1000)</f>
        <v/>
      </c>
      <c r="N69" s="227">
        <f>IF(Data!A199="","",Data!AR199/1000)</f>
        <v/>
      </c>
      <c r="O69" s="227">
        <f>IF(Data!A200="","",Data!AR200/1000)</f>
        <v/>
      </c>
      <c r="P69" s="227">
        <f>IF(Data!A201="","",Data!AR201/1000)</f>
        <v/>
      </c>
      <c r="Q69" s="227">
        <f>IF(Data!A202="","",Data!AR202/1000)</f>
        <v/>
      </c>
      <c r="R69" s="227">
        <f>IF(Data!A203="","",Data!AR203/1000)</f>
        <v/>
      </c>
      <c r="S69" s="227">
        <f>IF(Data!A204="","",Data!AR204/1000)</f>
        <v/>
      </c>
      <c r="T69" s="227">
        <f>IF(Data!A205="","",Data!AR205/1000)</f>
        <v/>
      </c>
      <c r="U69" s="227">
        <f>IF(Data!A206="","",Data!AR206/1000)</f>
        <v/>
      </c>
      <c r="V69" s="227">
        <f>IF(Data!A207="","",Data!AR207/1000)</f>
        <v/>
      </c>
      <c r="W69" s="227">
        <f>IF(Data!A208="","",Data!AR208/1000)</f>
        <v/>
      </c>
      <c r="X69" s="227">
        <f>IF(Data!A209="","",Data!AR209/1000)</f>
        <v/>
      </c>
      <c r="Y69" s="227">
        <f>IF(Data!A210="","",Data!AR210/1000)</f>
        <v/>
      </c>
      <c r="Z69" s="227">
        <f>IF(Data!A211="","",Data!AR211/1000)</f>
        <v/>
      </c>
      <c r="AA69" s="227">
        <f>IF(Data!A212="","",Data!AR212/1000)</f>
        <v/>
      </c>
      <c r="AB69" s="227">
        <f>IF(Data!A213="","",Data!AR213/1000)</f>
        <v/>
      </c>
      <c r="AC69" s="227">
        <f>IF(Data!A214="","",Data!AR214/1000)</f>
        <v/>
      </c>
      <c r="AD69" s="227">
        <f>IF(Data!A215="","",Data!AR215/1000)</f>
        <v/>
      </c>
      <c r="AE69" s="227">
        <f>IF(Data!A216="","",Data!AR216/1000)</f>
        <v/>
      </c>
      <c r="AF69" s="227">
        <f>IF(Data!A217="","",Data!AR217/1000)</f>
        <v/>
      </c>
      <c r="AG69" s="227">
        <f>IF(Data!A218="","",Data!AR218/1000)</f>
        <v/>
      </c>
      <c r="AH69" s="227">
        <f>IF(Data!A219="","",Data!AR219/1000)</f>
        <v/>
      </c>
      <c r="AI69" s="227">
        <f>IF(Data!A220="","",Data!AR220/1000)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9C3C3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DATE(2027,5,1)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COUNTIFS(Data!$B$4:$B$375,8,Data!$AO$4:$AO$375,1,Data!$E$4:$E$375,"&lt;&gt;S")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COUNTIFS(Data!$B$4:$B$375,8,Data!$AO$4:$AO$375,1,Data!$E$4:$E$375,"&lt;&gt;S",Data!$AS$4:$AS$375,1)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_xlfn.MAXIFS(Data!$A$4:$A$375,Data!$B$4:$B$375,8,Data!$AF$4:$AF$375,"&gt;0")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_xlfn.MINIFS(Data!$A$4:$A$375,Data!$B$4:$B$375,8,Data!$AF$4:$AF$375,"&gt;0")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Data!BF221</f>
        <v/>
      </c>
      <c r="F39" s="206">
        <f>Data!BF222</f>
        <v/>
      </c>
      <c r="G39" s="206">
        <f>Data!BF223</f>
        <v/>
      </c>
      <c r="H39" s="206">
        <f>Data!BF224</f>
        <v/>
      </c>
      <c r="I39" s="206">
        <f>Data!BF225</f>
        <v/>
      </c>
      <c r="J39" s="206">
        <f>Data!BF226</f>
        <v/>
      </c>
      <c r="K39" s="206">
        <f>Data!BF227</f>
        <v/>
      </c>
      <c r="L39" s="206">
        <f>Data!BF228</f>
        <v/>
      </c>
      <c r="M39" s="206">
        <f>Data!BF229</f>
        <v/>
      </c>
      <c r="N39" s="206">
        <f>Data!BF230</f>
        <v/>
      </c>
      <c r="O39" s="206">
        <f>Data!BF231</f>
        <v/>
      </c>
      <c r="P39" s="206">
        <f>Data!BF232</f>
        <v/>
      </c>
      <c r="Q39" s="206">
        <f>Data!BF233</f>
        <v/>
      </c>
      <c r="R39" s="206">
        <f>Data!BF234</f>
        <v/>
      </c>
      <c r="S39" s="206">
        <f>Data!BF235</f>
        <v/>
      </c>
      <c r="T39" s="206">
        <f>Data!BF236</f>
        <v/>
      </c>
      <c r="U39" s="206">
        <f>Data!BF237</f>
        <v/>
      </c>
      <c r="V39" s="206">
        <f>Data!BF238</f>
        <v/>
      </c>
      <c r="W39" s="206">
        <f>Data!BF239</f>
        <v/>
      </c>
      <c r="X39" s="206">
        <f>Data!BF240</f>
        <v/>
      </c>
      <c r="Y39" s="206">
        <f>Data!BF241</f>
        <v/>
      </c>
      <c r="Z39" s="206">
        <f>Data!BF242</f>
        <v/>
      </c>
      <c r="AA39" s="206">
        <f>Data!BF243</f>
        <v/>
      </c>
      <c r="AB39" s="206">
        <f>Data!BF244</f>
        <v/>
      </c>
      <c r="AC39" s="206">
        <f>Data!BF245</f>
        <v/>
      </c>
      <c r="AD39" s="206">
        <f>Data!BF246</f>
        <v/>
      </c>
      <c r="AE39" s="206">
        <f>Data!BF247</f>
        <v/>
      </c>
      <c r="AF39" s="206">
        <f>Data!BF248</f>
        <v/>
      </c>
      <c r="AG39" s="206">
        <f>Data!BF249</f>
        <v/>
      </c>
      <c r="AH39" s="206">
        <f>Data!BF250</f>
        <v/>
      </c>
      <c r="AI39" s="206">
        <f>Data!BF251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IF(Data!BF221="","",Data!BJ221)</f>
        <v/>
      </c>
      <c r="F40" s="207">
        <f>IF(Data!BF222="","",Data!BJ222)</f>
        <v/>
      </c>
      <c r="G40" s="207">
        <f>IF(Data!BF223="","",Data!BJ223)</f>
        <v/>
      </c>
      <c r="H40" s="207">
        <f>IF(Data!BF224="","",Data!BJ224)</f>
        <v/>
      </c>
      <c r="I40" s="207">
        <f>IF(Data!BF225="","",Data!BJ225)</f>
        <v/>
      </c>
      <c r="J40" s="207">
        <f>IF(Data!BF226="","",Data!BJ226)</f>
        <v/>
      </c>
      <c r="K40" s="207">
        <f>IF(Data!BF227="","",Data!BJ227)</f>
        <v/>
      </c>
      <c r="L40" s="207">
        <f>IF(Data!BF228="","",Data!BJ228)</f>
        <v/>
      </c>
      <c r="M40" s="207">
        <f>IF(Data!BF229="","",Data!BJ229)</f>
        <v/>
      </c>
      <c r="N40" s="207">
        <f>IF(Data!BF230="","",Data!BJ230)</f>
        <v/>
      </c>
      <c r="O40" s="207">
        <f>IF(Data!BF231="","",Data!BJ231)</f>
        <v/>
      </c>
      <c r="P40" s="207">
        <f>IF(Data!BF232="","",Data!BJ232)</f>
        <v/>
      </c>
      <c r="Q40" s="207">
        <f>IF(Data!BF233="","",Data!BJ233)</f>
        <v/>
      </c>
      <c r="R40" s="207">
        <f>IF(Data!BF234="","",Data!BJ234)</f>
        <v/>
      </c>
      <c r="S40" s="207">
        <f>IF(Data!BF235="","",Data!BJ235)</f>
        <v/>
      </c>
      <c r="T40" s="207">
        <f>IF(Data!BF236="","",Data!BJ236)</f>
        <v/>
      </c>
      <c r="U40" s="207">
        <f>IF(Data!BF237="","",Data!BJ237)</f>
        <v/>
      </c>
      <c r="V40" s="207">
        <f>IF(Data!BF238="","",Data!BJ238)</f>
        <v/>
      </c>
      <c r="W40" s="207">
        <f>IF(Data!BF239="","",Data!BJ239)</f>
        <v/>
      </c>
      <c r="X40" s="207">
        <f>IF(Data!BF240="","",Data!BJ240)</f>
        <v/>
      </c>
      <c r="Y40" s="207">
        <f>IF(Data!BF241="","",Data!BJ241)</f>
        <v/>
      </c>
      <c r="Z40" s="207">
        <f>IF(Data!BF242="","",Data!BJ242)</f>
        <v/>
      </c>
      <c r="AA40" s="207">
        <f>IF(Data!BF243="","",Data!BJ243)</f>
        <v/>
      </c>
      <c r="AB40" s="207">
        <f>IF(Data!BF244="","",Data!BJ244)</f>
        <v/>
      </c>
      <c r="AC40" s="207">
        <f>IF(Data!BF245="","",Data!BJ245)</f>
        <v/>
      </c>
      <c r="AD40" s="207">
        <f>IF(Data!BF246="","",Data!BJ246)</f>
        <v/>
      </c>
      <c r="AE40" s="207">
        <f>IF(Data!BF247="","",Data!BJ247)</f>
        <v/>
      </c>
      <c r="AF40" s="207">
        <f>IF(Data!BF248="","",Data!BJ248)</f>
        <v/>
      </c>
      <c r="AG40" s="207">
        <f>IF(Data!BF249="","",Data!BJ249)</f>
        <v/>
      </c>
      <c r="AH40" s="207">
        <f>IF(Data!BF250="","",Data!BJ250)</f>
        <v/>
      </c>
      <c r="AI40" s="207">
        <f>IF(Data!BF251="","",Data!BJ251)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IFERROR(SUMIFS(Data!$AY$4:$AY$375,Data!$B$4:$B$375,8)/COUNTIFS(Data!$B$4:$B$375,8,Data!$AG$4:$AG$375,"&gt;0"),"")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IFERROR(SUMIFS(Data!$AW$4:$AW$375,Data!$B$4:$B$375,8)/COUNTIFS(Data!$B$4:$B$375,8,Data!$AH$4:$AH$375,"&gt;0"),"")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IFERROR(SUMIFS(Data!$AX$4:$AX$375,Data!$B$4:$B$375,8)/COUNTIFS(Data!$B$4:$B$375,8,Data!$AI$4:$AI$375,"&gt;0"),"")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Data!BI221</f>
        <v/>
      </c>
      <c r="F68" s="226">
        <f>Data!BI222</f>
        <v/>
      </c>
      <c r="G68" s="226">
        <f>Data!BI223</f>
        <v/>
      </c>
      <c r="H68" s="226">
        <f>Data!BI224</f>
        <v/>
      </c>
      <c r="I68" s="226">
        <f>Data!BI225</f>
        <v/>
      </c>
      <c r="J68" s="226">
        <f>Data!BI226</f>
        <v/>
      </c>
      <c r="K68" s="226">
        <f>Data!BI227</f>
        <v/>
      </c>
      <c r="L68" s="226">
        <f>Data!BI228</f>
        <v/>
      </c>
      <c r="M68" s="226">
        <f>Data!BI229</f>
        <v/>
      </c>
      <c r="N68" s="226">
        <f>Data!BI230</f>
        <v/>
      </c>
      <c r="O68" s="226">
        <f>Data!BI231</f>
        <v/>
      </c>
      <c r="P68" s="226">
        <f>Data!BI232</f>
        <v/>
      </c>
      <c r="Q68" s="226">
        <f>Data!BI233</f>
        <v/>
      </c>
      <c r="R68" s="226">
        <f>Data!BI234</f>
        <v/>
      </c>
      <c r="S68" s="226">
        <f>Data!BI235</f>
        <v/>
      </c>
      <c r="T68" s="226">
        <f>Data!BI236</f>
        <v/>
      </c>
      <c r="U68" s="226">
        <f>Data!BI237</f>
        <v/>
      </c>
      <c r="V68" s="226">
        <f>Data!BI238</f>
        <v/>
      </c>
      <c r="W68" s="226">
        <f>Data!BI239</f>
        <v/>
      </c>
      <c r="X68" s="226">
        <f>Data!BI240</f>
        <v/>
      </c>
      <c r="Y68" s="226">
        <f>Data!BI241</f>
        <v/>
      </c>
      <c r="Z68" s="226">
        <f>Data!BI242</f>
        <v/>
      </c>
      <c r="AA68" s="226">
        <f>Data!BI243</f>
        <v/>
      </c>
      <c r="AB68" s="226">
        <f>Data!BI244</f>
        <v/>
      </c>
      <c r="AC68" s="226">
        <f>Data!BI245</f>
        <v/>
      </c>
      <c r="AD68" s="226">
        <f>Data!BI246</f>
        <v/>
      </c>
      <c r="AE68" s="226">
        <f>Data!BI247</f>
        <v/>
      </c>
      <c r="AF68" s="226">
        <f>Data!BI248</f>
        <v/>
      </c>
      <c r="AG68" s="226">
        <f>Data!BI249</f>
        <v/>
      </c>
      <c r="AH68" s="226">
        <f>Data!BI250</f>
        <v/>
      </c>
      <c r="AI68" s="226">
        <f>Data!BI251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IF(Data!A221="","",Data!AR221/1000)</f>
        <v/>
      </c>
      <c r="F69" s="227">
        <f>IF(Data!A222="","",Data!AR222/1000)</f>
        <v/>
      </c>
      <c r="G69" s="227">
        <f>IF(Data!A223="","",Data!AR223/1000)</f>
        <v/>
      </c>
      <c r="H69" s="227">
        <f>IF(Data!A224="","",Data!AR224/1000)</f>
        <v/>
      </c>
      <c r="I69" s="227">
        <f>IF(Data!A225="","",Data!AR225/1000)</f>
        <v/>
      </c>
      <c r="J69" s="227">
        <f>IF(Data!A226="","",Data!AR226/1000)</f>
        <v/>
      </c>
      <c r="K69" s="227">
        <f>IF(Data!A227="","",Data!AR227/1000)</f>
        <v/>
      </c>
      <c r="L69" s="227">
        <f>IF(Data!A228="","",Data!AR228/1000)</f>
        <v/>
      </c>
      <c r="M69" s="227">
        <f>IF(Data!A229="","",Data!AR229/1000)</f>
        <v/>
      </c>
      <c r="N69" s="227">
        <f>IF(Data!A230="","",Data!AR230/1000)</f>
        <v/>
      </c>
      <c r="O69" s="227">
        <f>IF(Data!A231="","",Data!AR231/1000)</f>
        <v/>
      </c>
      <c r="P69" s="227">
        <f>IF(Data!A232="","",Data!AR232/1000)</f>
        <v/>
      </c>
      <c r="Q69" s="227">
        <f>IF(Data!A233="","",Data!AR233/1000)</f>
        <v/>
      </c>
      <c r="R69" s="227">
        <f>IF(Data!A234="","",Data!AR234/1000)</f>
        <v/>
      </c>
      <c r="S69" s="227">
        <f>IF(Data!A235="","",Data!AR235/1000)</f>
        <v/>
      </c>
      <c r="T69" s="227">
        <f>IF(Data!A236="","",Data!AR236/1000)</f>
        <v/>
      </c>
      <c r="U69" s="227">
        <f>IF(Data!A237="","",Data!AR237/1000)</f>
        <v/>
      </c>
      <c r="V69" s="227">
        <f>IF(Data!A238="","",Data!AR238/1000)</f>
        <v/>
      </c>
      <c r="W69" s="227">
        <f>IF(Data!A239="","",Data!AR239/1000)</f>
        <v/>
      </c>
      <c r="X69" s="227">
        <f>IF(Data!A240="","",Data!AR240/1000)</f>
        <v/>
      </c>
      <c r="Y69" s="227">
        <f>IF(Data!A241="","",Data!AR241/1000)</f>
        <v/>
      </c>
      <c r="Z69" s="227">
        <f>IF(Data!A242="","",Data!AR242/1000)</f>
        <v/>
      </c>
      <c r="AA69" s="227">
        <f>IF(Data!A243="","",Data!AR243/1000)</f>
        <v/>
      </c>
      <c r="AB69" s="227">
        <f>IF(Data!A244="","",Data!AR244/1000)</f>
        <v/>
      </c>
      <c r="AC69" s="227">
        <f>IF(Data!A245="","",Data!AR245/1000)</f>
        <v/>
      </c>
      <c r="AD69" s="227">
        <f>IF(Data!A246="","",Data!AR246/1000)</f>
        <v/>
      </c>
      <c r="AE69" s="227">
        <f>IF(Data!A247="","",Data!AR247/1000)</f>
        <v/>
      </c>
      <c r="AF69" s="227">
        <f>IF(Data!A248="","",Data!AR248/1000)</f>
        <v/>
      </c>
      <c r="AG69" s="227">
        <f>IF(Data!A249="","",Data!AR249/1000)</f>
        <v/>
      </c>
      <c r="AH69" s="227">
        <f>IF(Data!A250="","",Data!AR250/1000)</f>
        <v/>
      </c>
      <c r="AI69" s="227">
        <f>IF(Data!A251="","",Data!AR251/1000)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F0508A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DATE(2027,6,1)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COUNTIFS(Data!$B$4:$B$375,9,Data!$AO$4:$AO$375,1,Data!$E$4:$E$375,"&lt;&gt;S")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COUNTIFS(Data!$B$4:$B$375,9,Data!$AO$4:$AO$375,1,Data!$E$4:$E$375,"&lt;&gt;S",Data!$AS$4:$AS$375,1)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_xlfn.MAXIFS(Data!$A$4:$A$375,Data!$B$4:$B$375,9,Data!$AF$4:$AF$375,"&gt;0")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_xlfn.MINIFS(Data!$A$4:$A$375,Data!$B$4:$B$375,9,Data!$AF$4:$AF$375,"&gt;0")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Data!BF252</f>
        <v/>
      </c>
      <c r="F39" s="206">
        <f>Data!BF253</f>
        <v/>
      </c>
      <c r="G39" s="206">
        <f>Data!BF254</f>
        <v/>
      </c>
      <c r="H39" s="206">
        <f>Data!BF255</f>
        <v/>
      </c>
      <c r="I39" s="206">
        <f>Data!BF256</f>
        <v/>
      </c>
      <c r="J39" s="206">
        <f>Data!BF257</f>
        <v/>
      </c>
      <c r="K39" s="206">
        <f>Data!BF258</f>
        <v/>
      </c>
      <c r="L39" s="206">
        <f>Data!BF259</f>
        <v/>
      </c>
      <c r="M39" s="206">
        <f>Data!BF260</f>
        <v/>
      </c>
      <c r="N39" s="206">
        <f>Data!BF261</f>
        <v/>
      </c>
      <c r="O39" s="206">
        <f>Data!BF262</f>
        <v/>
      </c>
      <c r="P39" s="206">
        <f>Data!BF263</f>
        <v/>
      </c>
      <c r="Q39" s="206">
        <f>Data!BF264</f>
        <v/>
      </c>
      <c r="R39" s="206">
        <f>Data!BF265</f>
        <v/>
      </c>
      <c r="S39" s="206">
        <f>Data!BF266</f>
        <v/>
      </c>
      <c r="T39" s="206">
        <f>Data!BF267</f>
        <v/>
      </c>
      <c r="U39" s="206">
        <f>Data!BF268</f>
        <v/>
      </c>
      <c r="V39" s="206">
        <f>Data!BF269</f>
        <v/>
      </c>
      <c r="W39" s="206">
        <f>Data!BF270</f>
        <v/>
      </c>
      <c r="X39" s="206">
        <f>Data!BF271</f>
        <v/>
      </c>
      <c r="Y39" s="206">
        <f>Data!BF272</f>
        <v/>
      </c>
      <c r="Z39" s="206">
        <f>Data!BF273</f>
        <v/>
      </c>
      <c r="AA39" s="206">
        <f>Data!BF274</f>
        <v/>
      </c>
      <c r="AB39" s="206">
        <f>Data!BF275</f>
        <v/>
      </c>
      <c r="AC39" s="206">
        <f>Data!BF276</f>
        <v/>
      </c>
      <c r="AD39" s="206">
        <f>Data!BF277</f>
        <v/>
      </c>
      <c r="AE39" s="206">
        <f>Data!BF278</f>
        <v/>
      </c>
      <c r="AF39" s="206">
        <f>Data!BF279</f>
        <v/>
      </c>
      <c r="AG39" s="206">
        <f>Data!BF280</f>
        <v/>
      </c>
      <c r="AH39" s="206">
        <f>Data!BF281</f>
        <v/>
      </c>
      <c r="AI39" s="206">
        <f>Data!BF282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IF(Data!BF252="","",Data!BJ252)</f>
        <v/>
      </c>
      <c r="F40" s="207">
        <f>IF(Data!BF253="","",Data!BJ253)</f>
        <v/>
      </c>
      <c r="G40" s="207">
        <f>IF(Data!BF254="","",Data!BJ254)</f>
        <v/>
      </c>
      <c r="H40" s="207">
        <f>IF(Data!BF255="","",Data!BJ255)</f>
        <v/>
      </c>
      <c r="I40" s="207">
        <f>IF(Data!BF256="","",Data!BJ256)</f>
        <v/>
      </c>
      <c r="J40" s="207">
        <f>IF(Data!BF257="","",Data!BJ257)</f>
        <v/>
      </c>
      <c r="K40" s="207">
        <f>IF(Data!BF258="","",Data!BJ258)</f>
        <v/>
      </c>
      <c r="L40" s="207">
        <f>IF(Data!BF259="","",Data!BJ259)</f>
        <v/>
      </c>
      <c r="M40" s="207">
        <f>IF(Data!BF260="","",Data!BJ260)</f>
        <v/>
      </c>
      <c r="N40" s="207">
        <f>IF(Data!BF261="","",Data!BJ261)</f>
        <v/>
      </c>
      <c r="O40" s="207">
        <f>IF(Data!BF262="","",Data!BJ262)</f>
        <v/>
      </c>
      <c r="P40" s="207">
        <f>IF(Data!BF263="","",Data!BJ263)</f>
        <v/>
      </c>
      <c r="Q40" s="207">
        <f>IF(Data!BF264="","",Data!BJ264)</f>
        <v/>
      </c>
      <c r="R40" s="207">
        <f>IF(Data!BF265="","",Data!BJ265)</f>
        <v/>
      </c>
      <c r="S40" s="207">
        <f>IF(Data!BF266="","",Data!BJ266)</f>
        <v/>
      </c>
      <c r="T40" s="207">
        <f>IF(Data!BF267="","",Data!BJ267)</f>
        <v/>
      </c>
      <c r="U40" s="207">
        <f>IF(Data!BF268="","",Data!BJ268)</f>
        <v/>
      </c>
      <c r="V40" s="207">
        <f>IF(Data!BF269="","",Data!BJ269)</f>
        <v/>
      </c>
      <c r="W40" s="207">
        <f>IF(Data!BF270="","",Data!BJ270)</f>
        <v/>
      </c>
      <c r="X40" s="207">
        <f>IF(Data!BF271="","",Data!BJ271)</f>
        <v/>
      </c>
      <c r="Y40" s="207">
        <f>IF(Data!BF272="","",Data!BJ272)</f>
        <v/>
      </c>
      <c r="Z40" s="207">
        <f>IF(Data!BF273="","",Data!BJ273)</f>
        <v/>
      </c>
      <c r="AA40" s="207">
        <f>IF(Data!BF274="","",Data!BJ274)</f>
        <v/>
      </c>
      <c r="AB40" s="207">
        <f>IF(Data!BF275="","",Data!BJ275)</f>
        <v/>
      </c>
      <c r="AC40" s="207">
        <f>IF(Data!BF276="","",Data!BJ276)</f>
        <v/>
      </c>
      <c r="AD40" s="207">
        <f>IF(Data!BF277="","",Data!BJ277)</f>
        <v/>
      </c>
      <c r="AE40" s="207">
        <f>IF(Data!BF278="","",Data!BJ278)</f>
        <v/>
      </c>
      <c r="AF40" s="207">
        <f>IF(Data!BF279="","",Data!BJ279)</f>
        <v/>
      </c>
      <c r="AG40" s="207">
        <f>IF(Data!BF280="","",Data!BJ280)</f>
        <v/>
      </c>
      <c r="AH40" s="207">
        <f>IF(Data!BF281="","",Data!BJ281)</f>
        <v/>
      </c>
      <c r="AI40" s="207">
        <f>IF(Data!BF282="","",Data!BJ282)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IFERROR(SUMIFS(Data!$AY$4:$AY$375,Data!$B$4:$B$375,9)/COUNTIFS(Data!$B$4:$B$375,9,Data!$AG$4:$AG$375,"&gt;0"),"")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IFERROR(SUMIFS(Data!$AW$4:$AW$375,Data!$B$4:$B$375,9)/COUNTIFS(Data!$B$4:$B$375,9,Data!$AH$4:$AH$375,"&gt;0"),"")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IFERROR(SUMIFS(Data!$AX$4:$AX$375,Data!$B$4:$B$375,9)/COUNTIFS(Data!$B$4:$B$375,9,Data!$AI$4:$AI$375,"&gt;0"),"")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Data!BI252</f>
        <v/>
      </c>
      <c r="F68" s="226">
        <f>Data!BI253</f>
        <v/>
      </c>
      <c r="G68" s="226">
        <f>Data!BI254</f>
        <v/>
      </c>
      <c r="H68" s="226">
        <f>Data!BI255</f>
        <v/>
      </c>
      <c r="I68" s="226">
        <f>Data!BI256</f>
        <v/>
      </c>
      <c r="J68" s="226">
        <f>Data!BI257</f>
        <v/>
      </c>
      <c r="K68" s="226">
        <f>Data!BI258</f>
        <v/>
      </c>
      <c r="L68" s="226">
        <f>Data!BI259</f>
        <v/>
      </c>
      <c r="M68" s="226">
        <f>Data!BI260</f>
        <v/>
      </c>
      <c r="N68" s="226">
        <f>Data!BI261</f>
        <v/>
      </c>
      <c r="O68" s="226">
        <f>Data!BI262</f>
        <v/>
      </c>
      <c r="P68" s="226">
        <f>Data!BI263</f>
        <v/>
      </c>
      <c r="Q68" s="226">
        <f>Data!BI264</f>
        <v/>
      </c>
      <c r="R68" s="226">
        <f>Data!BI265</f>
        <v/>
      </c>
      <c r="S68" s="226">
        <f>Data!BI266</f>
        <v/>
      </c>
      <c r="T68" s="226">
        <f>Data!BI267</f>
        <v/>
      </c>
      <c r="U68" s="226">
        <f>Data!BI268</f>
        <v/>
      </c>
      <c r="V68" s="226">
        <f>Data!BI269</f>
        <v/>
      </c>
      <c r="W68" s="226">
        <f>Data!BI270</f>
        <v/>
      </c>
      <c r="X68" s="226">
        <f>Data!BI271</f>
        <v/>
      </c>
      <c r="Y68" s="226">
        <f>Data!BI272</f>
        <v/>
      </c>
      <c r="Z68" s="226">
        <f>Data!BI273</f>
        <v/>
      </c>
      <c r="AA68" s="226">
        <f>Data!BI274</f>
        <v/>
      </c>
      <c r="AB68" s="226">
        <f>Data!BI275</f>
        <v/>
      </c>
      <c r="AC68" s="226">
        <f>Data!BI276</f>
        <v/>
      </c>
      <c r="AD68" s="226">
        <f>Data!BI277</f>
        <v/>
      </c>
      <c r="AE68" s="226">
        <f>Data!BI278</f>
        <v/>
      </c>
      <c r="AF68" s="226">
        <f>Data!BI279</f>
        <v/>
      </c>
      <c r="AG68" s="226">
        <f>Data!BI280</f>
        <v/>
      </c>
      <c r="AH68" s="226">
        <f>Data!BI281</f>
        <v/>
      </c>
      <c r="AI68" s="226">
        <f>Data!BI282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IF(Data!A252="","",Data!AR252/1000)</f>
        <v/>
      </c>
      <c r="F69" s="227">
        <f>IF(Data!A253="","",Data!AR253/1000)</f>
        <v/>
      </c>
      <c r="G69" s="227">
        <f>IF(Data!A254="","",Data!AR254/1000)</f>
        <v/>
      </c>
      <c r="H69" s="227">
        <f>IF(Data!A255="","",Data!AR255/1000)</f>
        <v/>
      </c>
      <c r="I69" s="227">
        <f>IF(Data!A256="","",Data!AR256/1000)</f>
        <v/>
      </c>
      <c r="J69" s="227">
        <f>IF(Data!A257="","",Data!AR257/1000)</f>
        <v/>
      </c>
      <c r="K69" s="227">
        <f>IF(Data!A258="","",Data!AR258/1000)</f>
        <v/>
      </c>
      <c r="L69" s="227">
        <f>IF(Data!A259="","",Data!AR259/1000)</f>
        <v/>
      </c>
      <c r="M69" s="227">
        <f>IF(Data!A260="","",Data!AR260/1000)</f>
        <v/>
      </c>
      <c r="N69" s="227">
        <f>IF(Data!A261="","",Data!AR261/1000)</f>
        <v/>
      </c>
      <c r="O69" s="227">
        <f>IF(Data!A262="","",Data!AR262/1000)</f>
        <v/>
      </c>
      <c r="P69" s="227">
        <f>IF(Data!A263="","",Data!AR263/1000)</f>
        <v/>
      </c>
      <c r="Q69" s="227">
        <f>IF(Data!A264="","",Data!AR264/1000)</f>
        <v/>
      </c>
      <c r="R69" s="227">
        <f>IF(Data!A265="","",Data!AR265/1000)</f>
        <v/>
      </c>
      <c r="S69" s="227">
        <f>IF(Data!A266="","",Data!AR266/1000)</f>
        <v/>
      </c>
      <c r="T69" s="227">
        <f>IF(Data!A267="","",Data!AR267/1000)</f>
        <v/>
      </c>
      <c r="U69" s="227">
        <f>IF(Data!A268="","",Data!AR268/1000)</f>
        <v/>
      </c>
      <c r="V69" s="227">
        <f>IF(Data!A269="","",Data!AR269/1000)</f>
        <v/>
      </c>
      <c r="W69" s="227">
        <f>IF(Data!A270="","",Data!AR270/1000)</f>
        <v/>
      </c>
      <c r="X69" s="227">
        <f>IF(Data!A271="","",Data!AR271/1000)</f>
        <v/>
      </c>
      <c r="Y69" s="227">
        <f>IF(Data!A272="","",Data!AR272/1000)</f>
        <v/>
      </c>
      <c r="Z69" s="227">
        <f>IF(Data!A273="","",Data!AR273/1000)</f>
        <v/>
      </c>
      <c r="AA69" s="227">
        <f>IF(Data!A274="","",Data!AR274/1000)</f>
        <v/>
      </c>
      <c r="AB69" s="227">
        <f>IF(Data!A275="","",Data!AR275/1000)</f>
        <v/>
      </c>
      <c r="AC69" s="227">
        <f>IF(Data!A276="","",Data!AR276/1000)</f>
        <v/>
      </c>
      <c r="AD69" s="227">
        <f>IF(Data!A277="","",Data!AR277/1000)</f>
        <v/>
      </c>
      <c r="AE69" s="227">
        <f>IF(Data!A278="","",Data!AR278/1000)</f>
        <v/>
      </c>
      <c r="AF69" s="227">
        <f>IF(Data!A279="","",Data!AR279/1000)</f>
        <v/>
      </c>
      <c r="AG69" s="227">
        <f>IF(Data!A280="","",Data!AR280/1000)</f>
        <v/>
      </c>
      <c r="AH69" s="227">
        <f>IF(Data!A281="","",Data!AR281/1000)</f>
        <v/>
      </c>
      <c r="AI69" s="227">
        <f>IF(Data!A282="","",Data!AR282/1000)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DATE(2027,7,1)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COUNTIFS(Data!$B$4:$B$375,10,Data!$AO$4:$AO$375,1,Data!$E$4:$E$375,"&lt;&gt;S")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COUNTIFS(Data!$B$4:$B$375,10,Data!$AO$4:$AO$375,1,Data!$E$4:$E$375,"&lt;&gt;S",Data!$AS$4:$AS$375,1)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_xlfn.MAXIFS(Data!$A$4:$A$375,Data!$B$4:$B$375,10,Data!$AF$4:$AF$375,"&gt;0")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_xlfn.MINIFS(Data!$A$4:$A$375,Data!$B$4:$B$375,10,Data!$AF$4:$AF$375,"&gt;0")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Data!BF283</f>
        <v/>
      </c>
      <c r="F39" s="206">
        <f>Data!BF284</f>
        <v/>
      </c>
      <c r="G39" s="206">
        <f>Data!BF285</f>
        <v/>
      </c>
      <c r="H39" s="206">
        <f>Data!BF286</f>
        <v/>
      </c>
      <c r="I39" s="206">
        <f>Data!BF287</f>
        <v/>
      </c>
      <c r="J39" s="206">
        <f>Data!BF288</f>
        <v/>
      </c>
      <c r="K39" s="206">
        <f>Data!BF289</f>
        <v/>
      </c>
      <c r="L39" s="206">
        <f>Data!BF290</f>
        <v/>
      </c>
      <c r="M39" s="206">
        <f>Data!BF291</f>
        <v/>
      </c>
      <c r="N39" s="206">
        <f>Data!BF292</f>
        <v/>
      </c>
      <c r="O39" s="206">
        <f>Data!BF293</f>
        <v/>
      </c>
      <c r="P39" s="206">
        <f>Data!BF294</f>
        <v/>
      </c>
      <c r="Q39" s="206">
        <f>Data!BF295</f>
        <v/>
      </c>
      <c r="R39" s="206">
        <f>Data!BF296</f>
        <v/>
      </c>
      <c r="S39" s="206">
        <f>Data!BF297</f>
        <v/>
      </c>
      <c r="T39" s="206">
        <f>Data!BF298</f>
        <v/>
      </c>
      <c r="U39" s="206">
        <f>Data!BF299</f>
        <v/>
      </c>
      <c r="V39" s="206">
        <f>Data!BF300</f>
        <v/>
      </c>
      <c r="W39" s="206">
        <f>Data!BF301</f>
        <v/>
      </c>
      <c r="X39" s="206">
        <f>Data!BF302</f>
        <v/>
      </c>
      <c r="Y39" s="206">
        <f>Data!BF303</f>
        <v/>
      </c>
      <c r="Z39" s="206">
        <f>Data!BF304</f>
        <v/>
      </c>
      <c r="AA39" s="206">
        <f>Data!BF305</f>
        <v/>
      </c>
      <c r="AB39" s="206">
        <f>Data!BF306</f>
        <v/>
      </c>
      <c r="AC39" s="206">
        <f>Data!BF307</f>
        <v/>
      </c>
      <c r="AD39" s="206">
        <f>Data!BF308</f>
        <v/>
      </c>
      <c r="AE39" s="206">
        <f>Data!BF309</f>
        <v/>
      </c>
      <c r="AF39" s="206">
        <f>Data!BF310</f>
        <v/>
      </c>
      <c r="AG39" s="206">
        <f>Data!BF311</f>
        <v/>
      </c>
      <c r="AH39" s="206">
        <f>Data!BF312</f>
        <v/>
      </c>
      <c r="AI39" s="206">
        <f>Data!BF313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IF(Data!BF283="","",Data!BJ283)</f>
        <v/>
      </c>
      <c r="F40" s="207">
        <f>IF(Data!BF284="","",Data!BJ284)</f>
        <v/>
      </c>
      <c r="G40" s="207">
        <f>IF(Data!BF285="","",Data!BJ285)</f>
        <v/>
      </c>
      <c r="H40" s="207">
        <f>IF(Data!BF286="","",Data!BJ286)</f>
        <v/>
      </c>
      <c r="I40" s="207">
        <f>IF(Data!BF287="","",Data!BJ287)</f>
        <v/>
      </c>
      <c r="J40" s="207">
        <f>IF(Data!BF288="","",Data!BJ288)</f>
        <v/>
      </c>
      <c r="K40" s="207">
        <f>IF(Data!BF289="","",Data!BJ289)</f>
        <v/>
      </c>
      <c r="L40" s="207">
        <f>IF(Data!BF290="","",Data!BJ290)</f>
        <v/>
      </c>
      <c r="M40" s="207">
        <f>IF(Data!BF291="","",Data!BJ291)</f>
        <v/>
      </c>
      <c r="N40" s="207">
        <f>IF(Data!BF292="","",Data!BJ292)</f>
        <v/>
      </c>
      <c r="O40" s="207">
        <f>IF(Data!BF293="","",Data!BJ293)</f>
        <v/>
      </c>
      <c r="P40" s="207">
        <f>IF(Data!BF294="","",Data!BJ294)</f>
        <v/>
      </c>
      <c r="Q40" s="207">
        <f>IF(Data!BF295="","",Data!BJ295)</f>
        <v/>
      </c>
      <c r="R40" s="207">
        <f>IF(Data!BF296="","",Data!BJ296)</f>
        <v/>
      </c>
      <c r="S40" s="207">
        <f>IF(Data!BF297="","",Data!BJ297)</f>
        <v/>
      </c>
      <c r="T40" s="207">
        <f>IF(Data!BF298="","",Data!BJ298)</f>
        <v/>
      </c>
      <c r="U40" s="207">
        <f>IF(Data!BF299="","",Data!BJ299)</f>
        <v/>
      </c>
      <c r="V40" s="207">
        <f>IF(Data!BF300="","",Data!BJ300)</f>
        <v/>
      </c>
      <c r="W40" s="207">
        <f>IF(Data!BF301="","",Data!BJ301)</f>
        <v/>
      </c>
      <c r="X40" s="207">
        <f>IF(Data!BF302="","",Data!BJ302)</f>
        <v/>
      </c>
      <c r="Y40" s="207">
        <f>IF(Data!BF303="","",Data!BJ303)</f>
        <v/>
      </c>
      <c r="Z40" s="207">
        <f>IF(Data!BF304="","",Data!BJ304)</f>
        <v/>
      </c>
      <c r="AA40" s="207">
        <f>IF(Data!BF305="","",Data!BJ305)</f>
        <v/>
      </c>
      <c r="AB40" s="207">
        <f>IF(Data!BF306="","",Data!BJ306)</f>
        <v/>
      </c>
      <c r="AC40" s="207">
        <f>IF(Data!BF307="","",Data!BJ307)</f>
        <v/>
      </c>
      <c r="AD40" s="207">
        <f>IF(Data!BF308="","",Data!BJ308)</f>
        <v/>
      </c>
      <c r="AE40" s="207">
        <f>IF(Data!BF309="","",Data!BJ309)</f>
        <v/>
      </c>
      <c r="AF40" s="207">
        <f>IF(Data!BF310="","",Data!BJ310)</f>
        <v/>
      </c>
      <c r="AG40" s="207">
        <f>IF(Data!BF311="","",Data!BJ311)</f>
        <v/>
      </c>
      <c r="AH40" s="207">
        <f>IF(Data!BF312="","",Data!BJ312)</f>
        <v/>
      </c>
      <c r="AI40" s="207">
        <f>IF(Data!BF313="","",Data!BJ313)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IFERROR(SUMIFS(Data!$AY$4:$AY$375,Data!$B$4:$B$375,10)/COUNTIFS(Data!$B$4:$B$375,10,Data!$AG$4:$AG$375,"&gt;0"),"")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IFERROR(SUMIFS(Data!$AW$4:$AW$375,Data!$B$4:$B$375,10)/COUNTIFS(Data!$B$4:$B$375,10,Data!$AH$4:$AH$375,"&gt;0"),"")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IFERROR(SUMIFS(Data!$AX$4:$AX$375,Data!$B$4:$B$375,10)/COUNTIFS(Data!$B$4:$B$375,10,Data!$AI$4:$AI$375,"&gt;0"),"")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Data!BI283</f>
        <v/>
      </c>
      <c r="F68" s="226">
        <f>Data!BI284</f>
        <v/>
      </c>
      <c r="G68" s="226">
        <f>Data!BI285</f>
        <v/>
      </c>
      <c r="H68" s="226">
        <f>Data!BI286</f>
        <v/>
      </c>
      <c r="I68" s="226">
        <f>Data!BI287</f>
        <v/>
      </c>
      <c r="J68" s="226">
        <f>Data!BI288</f>
        <v/>
      </c>
      <c r="K68" s="226">
        <f>Data!BI289</f>
        <v/>
      </c>
      <c r="L68" s="226">
        <f>Data!BI290</f>
        <v/>
      </c>
      <c r="M68" s="226">
        <f>Data!BI291</f>
        <v/>
      </c>
      <c r="N68" s="226">
        <f>Data!BI292</f>
        <v/>
      </c>
      <c r="O68" s="226">
        <f>Data!BI293</f>
        <v/>
      </c>
      <c r="P68" s="226">
        <f>Data!BI294</f>
        <v/>
      </c>
      <c r="Q68" s="226">
        <f>Data!BI295</f>
        <v/>
      </c>
      <c r="R68" s="226">
        <f>Data!BI296</f>
        <v/>
      </c>
      <c r="S68" s="226">
        <f>Data!BI297</f>
        <v/>
      </c>
      <c r="T68" s="226">
        <f>Data!BI298</f>
        <v/>
      </c>
      <c r="U68" s="226">
        <f>Data!BI299</f>
        <v/>
      </c>
      <c r="V68" s="226">
        <f>Data!BI300</f>
        <v/>
      </c>
      <c r="W68" s="226">
        <f>Data!BI301</f>
        <v/>
      </c>
      <c r="X68" s="226">
        <f>Data!BI302</f>
        <v/>
      </c>
      <c r="Y68" s="226">
        <f>Data!BI303</f>
        <v/>
      </c>
      <c r="Z68" s="226">
        <f>Data!BI304</f>
        <v/>
      </c>
      <c r="AA68" s="226">
        <f>Data!BI305</f>
        <v/>
      </c>
      <c r="AB68" s="226">
        <f>Data!BI306</f>
        <v/>
      </c>
      <c r="AC68" s="226">
        <f>Data!BI307</f>
        <v/>
      </c>
      <c r="AD68" s="226">
        <f>Data!BI308</f>
        <v/>
      </c>
      <c r="AE68" s="226">
        <f>Data!BI309</f>
        <v/>
      </c>
      <c r="AF68" s="226">
        <f>Data!BI310</f>
        <v/>
      </c>
      <c r="AG68" s="226">
        <f>Data!BI311</f>
        <v/>
      </c>
      <c r="AH68" s="226">
        <f>Data!BI312</f>
        <v/>
      </c>
      <c r="AI68" s="226">
        <f>Data!BI313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IF(Data!A283="","",Data!AR283/1000)</f>
        <v/>
      </c>
      <c r="F69" s="227">
        <f>IF(Data!A284="","",Data!AR284/1000)</f>
        <v/>
      </c>
      <c r="G69" s="227">
        <f>IF(Data!A285="","",Data!AR285/1000)</f>
        <v/>
      </c>
      <c r="H69" s="227">
        <f>IF(Data!A286="","",Data!AR286/1000)</f>
        <v/>
      </c>
      <c r="I69" s="227">
        <f>IF(Data!A287="","",Data!AR287/1000)</f>
        <v/>
      </c>
      <c r="J69" s="227">
        <f>IF(Data!A288="","",Data!AR288/1000)</f>
        <v/>
      </c>
      <c r="K69" s="227">
        <f>IF(Data!A289="","",Data!AR289/1000)</f>
        <v/>
      </c>
      <c r="L69" s="227">
        <f>IF(Data!A290="","",Data!AR290/1000)</f>
        <v/>
      </c>
      <c r="M69" s="227">
        <f>IF(Data!A291="","",Data!AR291/1000)</f>
        <v/>
      </c>
      <c r="N69" s="227">
        <f>IF(Data!A292="","",Data!AR292/1000)</f>
        <v/>
      </c>
      <c r="O69" s="227">
        <f>IF(Data!A293="","",Data!AR293/1000)</f>
        <v/>
      </c>
      <c r="P69" s="227">
        <f>IF(Data!A294="","",Data!AR294/1000)</f>
        <v/>
      </c>
      <c r="Q69" s="227">
        <f>IF(Data!A295="","",Data!AR295/1000)</f>
        <v/>
      </c>
      <c r="R69" s="227">
        <f>IF(Data!A296="","",Data!AR296/1000)</f>
        <v/>
      </c>
      <c r="S69" s="227">
        <f>IF(Data!A297="","",Data!AR297/1000)</f>
        <v/>
      </c>
      <c r="T69" s="227">
        <f>IF(Data!A298="","",Data!AR298/1000)</f>
        <v/>
      </c>
      <c r="U69" s="227">
        <f>IF(Data!A299="","",Data!AR299/1000)</f>
        <v/>
      </c>
      <c r="V69" s="227">
        <f>IF(Data!A300="","",Data!AR300/1000)</f>
        <v/>
      </c>
      <c r="W69" s="227">
        <f>IF(Data!A301="","",Data!AR301/1000)</f>
        <v/>
      </c>
      <c r="X69" s="227">
        <f>IF(Data!A302="","",Data!AR302/1000)</f>
        <v/>
      </c>
      <c r="Y69" s="227">
        <f>IF(Data!A303="","",Data!AR303/1000)</f>
        <v/>
      </c>
      <c r="Z69" s="227">
        <f>IF(Data!A304="","",Data!AR304/1000)</f>
        <v/>
      </c>
      <c r="AA69" s="227">
        <f>IF(Data!A305="","",Data!AR305/1000)</f>
        <v/>
      </c>
      <c r="AB69" s="227">
        <f>IF(Data!A306="","",Data!AR306/1000)</f>
        <v/>
      </c>
      <c r="AC69" s="227">
        <f>IF(Data!A307="","",Data!AR307/1000)</f>
        <v/>
      </c>
      <c r="AD69" s="227">
        <f>IF(Data!A308="","",Data!AR308/1000)</f>
        <v/>
      </c>
      <c r="AE69" s="227">
        <f>IF(Data!A309="","",Data!AR309/1000)</f>
        <v/>
      </c>
      <c r="AF69" s="227">
        <f>IF(Data!A310="","",Data!AR310/1000)</f>
        <v/>
      </c>
      <c r="AG69" s="227">
        <f>IF(Data!A311="","",Data!AR311/1000)</f>
        <v/>
      </c>
      <c r="AH69" s="227">
        <f>IF(Data!A312="","",Data!AR312/1000)</f>
        <v/>
      </c>
      <c r="AI69" s="227">
        <f>IF(Data!A313="","",Data!AR313/1000)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DATE(2027,8,1)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COUNTIFS(Data!$B$4:$B$375,11,Data!$AO$4:$AO$375,1,Data!$E$4:$E$375,"&lt;&gt;S")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COUNTIFS(Data!$B$4:$B$375,11,Data!$AO$4:$AO$375,1,Data!$E$4:$E$375,"&lt;&gt;S",Data!$AS$4:$AS$375,1)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_xlfn.MAXIFS(Data!$A$4:$A$375,Data!$B$4:$B$375,11,Data!$AF$4:$AF$375,"&gt;0")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_xlfn.MINIFS(Data!$A$4:$A$375,Data!$B$4:$B$375,11,Data!$AF$4:$AF$375,"&gt;0")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Data!BF314</f>
        <v/>
      </c>
      <c r="F39" s="206">
        <f>Data!BF315</f>
        <v/>
      </c>
      <c r="G39" s="206">
        <f>Data!BF316</f>
        <v/>
      </c>
      <c r="H39" s="206">
        <f>Data!BF317</f>
        <v/>
      </c>
      <c r="I39" s="206">
        <f>Data!BF318</f>
        <v/>
      </c>
      <c r="J39" s="206">
        <f>Data!BF319</f>
        <v/>
      </c>
      <c r="K39" s="206">
        <f>Data!BF320</f>
        <v/>
      </c>
      <c r="L39" s="206">
        <f>Data!BF321</f>
        <v/>
      </c>
      <c r="M39" s="206">
        <f>Data!BF322</f>
        <v/>
      </c>
      <c r="N39" s="206">
        <f>Data!BF323</f>
        <v/>
      </c>
      <c r="O39" s="206">
        <f>Data!BF324</f>
        <v/>
      </c>
      <c r="P39" s="206">
        <f>Data!BF325</f>
        <v/>
      </c>
      <c r="Q39" s="206">
        <f>Data!BF326</f>
        <v/>
      </c>
      <c r="R39" s="206">
        <f>Data!BF327</f>
        <v/>
      </c>
      <c r="S39" s="206">
        <f>Data!BF328</f>
        <v/>
      </c>
      <c r="T39" s="206">
        <f>Data!BF329</f>
        <v/>
      </c>
      <c r="U39" s="206">
        <f>Data!BF330</f>
        <v/>
      </c>
      <c r="V39" s="206">
        <f>Data!BF331</f>
        <v/>
      </c>
      <c r="W39" s="206">
        <f>Data!BF332</f>
        <v/>
      </c>
      <c r="X39" s="206">
        <f>Data!BF333</f>
        <v/>
      </c>
      <c r="Y39" s="206">
        <f>Data!BF334</f>
        <v/>
      </c>
      <c r="Z39" s="206">
        <f>Data!BF335</f>
        <v/>
      </c>
      <c r="AA39" s="206">
        <f>Data!BF336</f>
        <v/>
      </c>
      <c r="AB39" s="206">
        <f>Data!BF337</f>
        <v/>
      </c>
      <c r="AC39" s="206">
        <f>Data!BF338</f>
        <v/>
      </c>
      <c r="AD39" s="206">
        <f>Data!BF339</f>
        <v/>
      </c>
      <c r="AE39" s="206">
        <f>Data!BF340</f>
        <v/>
      </c>
      <c r="AF39" s="206">
        <f>Data!BF341</f>
        <v/>
      </c>
      <c r="AG39" s="206">
        <f>Data!BF342</f>
        <v/>
      </c>
      <c r="AH39" s="206">
        <f>Data!BF343</f>
        <v/>
      </c>
      <c r="AI39" s="206">
        <f>Data!BF344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IF(Data!BF314="","",Data!BJ314)</f>
        <v/>
      </c>
      <c r="F40" s="207">
        <f>IF(Data!BF315="","",Data!BJ315)</f>
        <v/>
      </c>
      <c r="G40" s="207">
        <f>IF(Data!BF316="","",Data!BJ316)</f>
        <v/>
      </c>
      <c r="H40" s="207">
        <f>IF(Data!BF317="","",Data!BJ317)</f>
        <v/>
      </c>
      <c r="I40" s="207">
        <f>IF(Data!BF318="","",Data!BJ318)</f>
        <v/>
      </c>
      <c r="J40" s="207">
        <f>IF(Data!BF319="","",Data!BJ319)</f>
        <v/>
      </c>
      <c r="K40" s="207">
        <f>IF(Data!BF320="","",Data!BJ320)</f>
        <v/>
      </c>
      <c r="L40" s="207">
        <f>IF(Data!BF321="","",Data!BJ321)</f>
        <v/>
      </c>
      <c r="M40" s="207">
        <f>IF(Data!BF322="","",Data!BJ322)</f>
        <v/>
      </c>
      <c r="N40" s="207">
        <f>IF(Data!BF323="","",Data!BJ323)</f>
        <v/>
      </c>
      <c r="O40" s="207">
        <f>IF(Data!BF324="","",Data!BJ324)</f>
        <v/>
      </c>
      <c r="P40" s="207">
        <f>IF(Data!BF325="","",Data!BJ325)</f>
        <v/>
      </c>
      <c r="Q40" s="207">
        <f>IF(Data!BF326="","",Data!BJ326)</f>
        <v/>
      </c>
      <c r="R40" s="207">
        <f>IF(Data!BF327="","",Data!BJ327)</f>
        <v/>
      </c>
      <c r="S40" s="207">
        <f>IF(Data!BF328="","",Data!BJ328)</f>
        <v/>
      </c>
      <c r="T40" s="207">
        <f>IF(Data!BF329="","",Data!BJ329)</f>
        <v/>
      </c>
      <c r="U40" s="207">
        <f>IF(Data!BF330="","",Data!BJ330)</f>
        <v/>
      </c>
      <c r="V40" s="207">
        <f>IF(Data!BF331="","",Data!BJ331)</f>
        <v/>
      </c>
      <c r="W40" s="207">
        <f>IF(Data!BF332="","",Data!BJ332)</f>
        <v/>
      </c>
      <c r="X40" s="207">
        <f>IF(Data!BF333="","",Data!BJ333)</f>
        <v/>
      </c>
      <c r="Y40" s="207">
        <f>IF(Data!BF334="","",Data!BJ334)</f>
        <v/>
      </c>
      <c r="Z40" s="207">
        <f>IF(Data!BF335="","",Data!BJ335)</f>
        <v/>
      </c>
      <c r="AA40" s="207">
        <f>IF(Data!BF336="","",Data!BJ336)</f>
        <v/>
      </c>
      <c r="AB40" s="207">
        <f>IF(Data!BF337="","",Data!BJ337)</f>
        <v/>
      </c>
      <c r="AC40" s="207">
        <f>IF(Data!BF338="","",Data!BJ338)</f>
        <v/>
      </c>
      <c r="AD40" s="207">
        <f>IF(Data!BF339="","",Data!BJ339)</f>
        <v/>
      </c>
      <c r="AE40" s="207">
        <f>IF(Data!BF340="","",Data!BJ340)</f>
        <v/>
      </c>
      <c r="AF40" s="207">
        <f>IF(Data!BF341="","",Data!BJ341)</f>
        <v/>
      </c>
      <c r="AG40" s="207">
        <f>IF(Data!BF342="","",Data!BJ342)</f>
        <v/>
      </c>
      <c r="AH40" s="207">
        <f>IF(Data!BF343="","",Data!BJ343)</f>
        <v/>
      </c>
      <c r="AI40" s="207">
        <f>IF(Data!BF344="","",Data!BJ344)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IFERROR(SUMIFS(Data!$AY$4:$AY$375,Data!$B$4:$B$375,11)/COUNTIFS(Data!$B$4:$B$375,11,Data!$AG$4:$AG$375,"&gt;0"),"")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IFERROR(SUMIFS(Data!$AW$4:$AW$375,Data!$B$4:$B$375,11)/COUNTIFS(Data!$B$4:$B$375,11,Data!$AH$4:$AH$375,"&gt;0"),"")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IFERROR(SUMIFS(Data!$AX$4:$AX$375,Data!$B$4:$B$375,11)/COUNTIFS(Data!$B$4:$B$375,11,Data!$AI$4:$AI$375,"&gt;0"),"")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Data!BI314</f>
        <v/>
      </c>
      <c r="F68" s="226">
        <f>Data!BI315</f>
        <v/>
      </c>
      <c r="G68" s="226">
        <f>Data!BI316</f>
        <v/>
      </c>
      <c r="H68" s="226">
        <f>Data!BI317</f>
        <v/>
      </c>
      <c r="I68" s="226">
        <f>Data!BI318</f>
        <v/>
      </c>
      <c r="J68" s="226">
        <f>Data!BI319</f>
        <v/>
      </c>
      <c r="K68" s="226">
        <f>Data!BI320</f>
        <v/>
      </c>
      <c r="L68" s="226">
        <f>Data!BI321</f>
        <v/>
      </c>
      <c r="M68" s="226">
        <f>Data!BI322</f>
        <v/>
      </c>
      <c r="N68" s="226">
        <f>Data!BI323</f>
        <v/>
      </c>
      <c r="O68" s="226">
        <f>Data!BI324</f>
        <v/>
      </c>
      <c r="P68" s="226">
        <f>Data!BI325</f>
        <v/>
      </c>
      <c r="Q68" s="226">
        <f>Data!BI326</f>
        <v/>
      </c>
      <c r="R68" s="226">
        <f>Data!BI327</f>
        <v/>
      </c>
      <c r="S68" s="226">
        <f>Data!BI328</f>
        <v/>
      </c>
      <c r="T68" s="226">
        <f>Data!BI329</f>
        <v/>
      </c>
      <c r="U68" s="226">
        <f>Data!BI330</f>
        <v/>
      </c>
      <c r="V68" s="226">
        <f>Data!BI331</f>
        <v/>
      </c>
      <c r="W68" s="226">
        <f>Data!BI332</f>
        <v/>
      </c>
      <c r="X68" s="226">
        <f>Data!BI333</f>
        <v/>
      </c>
      <c r="Y68" s="226">
        <f>Data!BI334</f>
        <v/>
      </c>
      <c r="Z68" s="226">
        <f>Data!BI335</f>
        <v/>
      </c>
      <c r="AA68" s="226">
        <f>Data!BI336</f>
        <v/>
      </c>
      <c r="AB68" s="226">
        <f>Data!BI337</f>
        <v/>
      </c>
      <c r="AC68" s="226">
        <f>Data!BI338</f>
        <v/>
      </c>
      <c r="AD68" s="226">
        <f>Data!BI339</f>
        <v/>
      </c>
      <c r="AE68" s="226">
        <f>Data!BI340</f>
        <v/>
      </c>
      <c r="AF68" s="226">
        <f>Data!BI341</f>
        <v/>
      </c>
      <c r="AG68" s="226">
        <f>Data!BI342</f>
        <v/>
      </c>
      <c r="AH68" s="226">
        <f>Data!BI343</f>
        <v/>
      </c>
      <c r="AI68" s="226">
        <f>Data!BI344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IF(Data!A314="","",Data!AR314/1000)</f>
        <v/>
      </c>
      <c r="F69" s="227">
        <f>IF(Data!A315="","",Data!AR315/1000)</f>
        <v/>
      </c>
      <c r="G69" s="227">
        <f>IF(Data!A316="","",Data!AR316/1000)</f>
        <v/>
      </c>
      <c r="H69" s="227">
        <f>IF(Data!A317="","",Data!AR317/1000)</f>
        <v/>
      </c>
      <c r="I69" s="227">
        <f>IF(Data!A318="","",Data!AR318/1000)</f>
        <v/>
      </c>
      <c r="J69" s="227">
        <f>IF(Data!A319="","",Data!AR319/1000)</f>
        <v/>
      </c>
      <c r="K69" s="227">
        <f>IF(Data!A320="","",Data!AR320/1000)</f>
        <v/>
      </c>
      <c r="L69" s="227">
        <f>IF(Data!A321="","",Data!AR321/1000)</f>
        <v/>
      </c>
      <c r="M69" s="227">
        <f>IF(Data!A322="","",Data!AR322/1000)</f>
        <v/>
      </c>
      <c r="N69" s="227">
        <f>IF(Data!A323="","",Data!AR323/1000)</f>
        <v/>
      </c>
      <c r="O69" s="227">
        <f>IF(Data!A324="","",Data!AR324/1000)</f>
        <v/>
      </c>
      <c r="P69" s="227">
        <f>IF(Data!A325="","",Data!AR325/1000)</f>
        <v/>
      </c>
      <c r="Q69" s="227">
        <f>IF(Data!A326="","",Data!AR326/1000)</f>
        <v/>
      </c>
      <c r="R69" s="227">
        <f>IF(Data!A327="","",Data!AR327/1000)</f>
        <v/>
      </c>
      <c r="S69" s="227">
        <f>IF(Data!A328="","",Data!AR328/1000)</f>
        <v/>
      </c>
      <c r="T69" s="227">
        <f>IF(Data!A329="","",Data!AR329/1000)</f>
        <v/>
      </c>
      <c r="U69" s="227">
        <f>IF(Data!A330="","",Data!AR330/1000)</f>
        <v/>
      </c>
      <c r="V69" s="227">
        <f>IF(Data!A331="","",Data!AR331/1000)</f>
        <v/>
      </c>
      <c r="W69" s="227">
        <f>IF(Data!A332="","",Data!AR332/1000)</f>
        <v/>
      </c>
      <c r="X69" s="227">
        <f>IF(Data!A333="","",Data!AR333/1000)</f>
        <v/>
      </c>
      <c r="Y69" s="227">
        <f>IF(Data!A334="","",Data!AR334/1000)</f>
        <v/>
      </c>
      <c r="Z69" s="227">
        <f>IF(Data!A335="","",Data!AR335/1000)</f>
        <v/>
      </c>
      <c r="AA69" s="227">
        <f>IF(Data!A336="","",Data!AR336/1000)</f>
        <v/>
      </c>
      <c r="AB69" s="227">
        <f>IF(Data!A337="","",Data!AR337/1000)</f>
        <v/>
      </c>
      <c r="AC69" s="227">
        <f>IF(Data!A338="","",Data!AR338/1000)</f>
        <v/>
      </c>
      <c r="AD69" s="227">
        <f>IF(Data!A339="","",Data!AR339/1000)</f>
        <v/>
      </c>
      <c r="AE69" s="227">
        <f>IF(Data!A340="","",Data!AR340/1000)</f>
        <v/>
      </c>
      <c r="AF69" s="227">
        <f>IF(Data!A341="","",Data!AR341/1000)</f>
        <v/>
      </c>
      <c r="AG69" s="227">
        <f>IF(Data!A342="","",Data!AR342/1000)</f>
        <v/>
      </c>
      <c r="AH69" s="227">
        <f>IF(Data!A343="","",Data!AR343/1000)</f>
        <v/>
      </c>
      <c r="AI69" s="227">
        <f>IF(Data!A344="","",Data!AR344/1000)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4F7CF7"/>
    <outlinePr summaryBelow="1" summaryRight="1"/>
    <pageSetUpPr fitToPage="1"/>
  </sheetPr>
  <dimension ref="A1:AP87"/>
  <sheetViews>
    <sheetView showGridLines="0" tabSelected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7" customWidth="1" min="2" max="2"/>
    <col width="11" customWidth="1" min="3" max="3"/>
    <col width="9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2" customWidth="1" min="36" max="36"/>
    <col width="7" customWidth="1" min="37" max="37"/>
    <col width="7" customWidth="1" min="38" max="38"/>
    <col width="15" customWidth="1" min="39" max="39"/>
    <col width="7" customWidth="1" min="40" max="40"/>
    <col width="2" customWidth="1" min="41" max="41"/>
    <col width="3" customWidth="1" min="42" max="4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4">
        <f>DATE(2027,9,1)</f>
        <v/>
      </c>
    </row>
    <row r="2" ht="22" customHeight="1">
      <c r="A2" s="1" t="n"/>
      <c r="B2" s="147">
        <f>UPPER(TEXT($AP$1,"mmmm"))</f>
        <v/>
      </c>
      <c r="E2" s="24" t="inlineStr">
        <is>
          <t>HABITS</t>
        </is>
      </c>
      <c r="K2" s="1" t="n"/>
      <c r="L2" s="24" t="inlineStr">
        <is>
          <t>CHECK-INS</t>
        </is>
      </c>
      <c r="R2" s="1" t="n"/>
      <c r="S2" s="24" t="inlineStr">
        <is>
          <t>FOUNDATION · MONTH</t>
        </is>
      </c>
      <c r="AB2" s="1" t="n"/>
      <c r="AC2" s="24" t="inlineStr">
        <is>
          <t>ROLLING 7-DAY</t>
        </is>
      </c>
      <c r="AJ2" s="1" t="n"/>
      <c r="AK2" s="24" t="inlineStr">
        <is>
          <t>ROLLING 30-DAY</t>
        </is>
      </c>
      <c r="AO2" s="1" t="n"/>
      <c r="AP2" s="144">
        <f>ProtHit</f>
        <v/>
      </c>
    </row>
    <row r="3" ht="24" customHeight="1">
      <c r="A3" s="1" t="n"/>
      <c r="B3" s="148">
        <f>"— Life OS · Habit Tracker · "&amp;YEAR($AP$1)&amp;" —"</f>
        <v/>
      </c>
      <c r="E3" s="149">
        <f>COUNTA(B10:B18,B20:B32,B34:B37)</f>
        <v/>
      </c>
      <c r="K3" s="1" t="n"/>
      <c r="L3" s="149">
        <f>COUNTIF(E10:AI18,TRUE)+COUNTIF(E10:AI18,"x")+COUNTIF(E20:AI32,TRUE)+COUNTIF(E20:AI32,"x")+COUNTIF(E34:AI37,TRUE)+COUNTIF(E34:AI37,"x")</f>
        <v/>
      </c>
      <c r="R3" s="1" t="n"/>
      <c r="S3" s="150">
        <f>IF(ISNUMBER(AK39),TEXT(AK39,"0%")&amp;"   "&amp;IF(ISNUMBER(AK39),REPT("█",ROUND(MAX(0,MIN(1,AK39))*12,0))&amp;REPT("░",12-ROUND(MAX(0,MIN(1,AK39))*12,0)),""),"—")</f>
        <v/>
      </c>
      <c r="AB3" s="1" t="n"/>
      <c r="AC3" s="151">
        <f>IF(ISNUMBER(IFERROR(INDEX(Data!$BG$4:$BG$375,MATCH($AP$13,Data!$A$4:$A$375,0)),"")),TEXT(IFERROR(INDEX(Data!$BG$4:$BG$375,MATCH($AP$13,Data!$A$4:$A$375,0)),""),"0%")&amp;"  ·  "&amp;IF(NOT(ISNUMBER(IFERROR(INDEX(Data!$BG$4:$BG$375,MATCH($AP$13,Data!$A$4:$A$375,0)),""))),"—",IF(IFERROR(INDEX(Data!$BG$4:$BG$375,MATCH($AP$13,Data!$A$4:$A$375,0)),"")&gt;=Band1,"GREEN",IF(IFERROR(INDEX(Data!$BG$4:$BG$375,MATCH($AP$13,Data!$A$4:$A$375,0)),"")&gt;=Band2,"GOOD",IF(IFERROR(INDEX(Data!$BG$4:$BG$375,MATCH($AP$13,Data!$A$4:$A$375,0)),"")&gt;=Band3,"NEEDS ATTENTION","RESET")))),"—")</f>
        <v/>
      </c>
      <c r="AJ3" s="1" t="n"/>
      <c r="AK3" s="151">
        <f>IF(ISNUMBER(IFERROR(INDEX(Data!$BH$4:$BH$375,MATCH($AP$13,Data!$A$4:$A$375,0)),"")),TEXT(IFERROR(INDEX(Data!$BH$4:$BH$375,MATCH($AP$13,Data!$A$4:$A$375,0)),""),"0%")&amp;"  ·  "&amp;IF(NOT(ISNUMBER(IFERROR(INDEX(Data!$BH$4:$BH$375,MATCH($AP$13,Data!$A$4:$A$375,0)),""))),"—",IF(IFERROR(INDEX(Data!$BH$4:$BH$375,MATCH($AP$13,Data!$A$4:$A$375,0)),"")&gt;=Band1,"GREEN",IF(IFERROR(INDEX(Data!$BH$4:$BH$375,MATCH($AP$13,Data!$A$4:$A$375,0)),"")&gt;=Band2,"GOOD",IF(IFERROR(INDEX(Data!$BH$4:$BH$375,MATCH($AP$13,Data!$A$4:$A$375,0)),"")&gt;=Band3,"NEEDS ATTENTION","RESET")))),"—")</f>
        <v/>
      </c>
      <c r="AO3" s="1" t="n"/>
      <c r="AP3" s="144">
        <f>WaterHit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44">
        <f>SleepMin</f>
        <v/>
      </c>
    </row>
    <row r="5" ht="16" customHeight="1">
      <c r="A5" s="1" t="n"/>
      <c r="B5" s="152" t="inlineStr">
        <is>
          <t>MY HABITS</t>
        </is>
      </c>
      <c r="E5" s="153" t="inlineStr">
        <is>
          <t>Week 1</t>
        </is>
      </c>
      <c r="L5" s="154" t="inlineStr">
        <is>
          <t>Week 2</t>
        </is>
      </c>
      <c r="S5" s="155" t="inlineStr">
        <is>
          <t>Week 3</t>
        </is>
      </c>
      <c r="Z5" s="156" t="inlineStr">
        <is>
          <t>Week 4</t>
        </is>
      </c>
      <c r="AG5" s="157" t="inlineStr">
        <is>
          <t>Week 5</t>
        </is>
      </c>
      <c r="AJ5" s="1" t="n"/>
      <c r="AK5" s="158" t="inlineStr">
        <is>
          <t>ANALYSIS</t>
        </is>
      </c>
      <c r="AO5" s="1" t="n"/>
      <c r="AP5" s="144">
        <f>SleepLow</f>
        <v/>
      </c>
    </row>
    <row r="6" ht="16" customHeight="1">
      <c r="A6" s="1" t="n"/>
      <c r="B6" s="39" t="inlineStr">
        <is>
          <t>Tick what you did. Missed is data, not failure.</t>
        </is>
      </c>
      <c r="E6" s="159">
        <f>IF(E7="","",LEFT(TEXT(E7,"ddd"),2))</f>
        <v/>
      </c>
      <c r="F6" s="159">
        <f>IF(F7="","",LEFT(TEXT(F7,"ddd"),2))</f>
        <v/>
      </c>
      <c r="G6" s="159">
        <f>IF(G7="","",LEFT(TEXT(G7,"ddd"),2))</f>
        <v/>
      </c>
      <c r="H6" s="159">
        <f>IF(H7="","",LEFT(TEXT(H7,"ddd"),2))</f>
        <v/>
      </c>
      <c r="I6" s="159">
        <f>IF(I7="","",LEFT(TEXT(I7,"ddd"),2))</f>
        <v/>
      </c>
      <c r="J6" s="159">
        <f>IF(J7="","",LEFT(TEXT(J7,"ddd"),2))</f>
        <v/>
      </c>
      <c r="K6" s="159">
        <f>IF(K7="","",LEFT(TEXT(K7,"ddd"),2))</f>
        <v/>
      </c>
      <c r="L6" s="160">
        <f>IF(L7="","",LEFT(TEXT(L7,"ddd"),2))</f>
        <v/>
      </c>
      <c r="M6" s="160">
        <f>IF(M7="","",LEFT(TEXT(M7,"ddd"),2))</f>
        <v/>
      </c>
      <c r="N6" s="160">
        <f>IF(N7="","",LEFT(TEXT(N7,"ddd"),2))</f>
        <v/>
      </c>
      <c r="O6" s="160">
        <f>IF(O7="","",LEFT(TEXT(O7,"ddd"),2))</f>
        <v/>
      </c>
      <c r="P6" s="160">
        <f>IF(P7="","",LEFT(TEXT(P7,"ddd"),2))</f>
        <v/>
      </c>
      <c r="Q6" s="160">
        <f>IF(Q7="","",LEFT(TEXT(Q7,"ddd"),2))</f>
        <v/>
      </c>
      <c r="R6" s="160">
        <f>IF(R7="","",LEFT(TEXT(R7,"ddd"),2))</f>
        <v/>
      </c>
      <c r="S6" s="161">
        <f>IF(S7="","",LEFT(TEXT(S7,"ddd"),2))</f>
        <v/>
      </c>
      <c r="T6" s="161">
        <f>IF(T7="","",LEFT(TEXT(T7,"ddd"),2))</f>
        <v/>
      </c>
      <c r="U6" s="161">
        <f>IF(U7="","",LEFT(TEXT(U7,"ddd"),2))</f>
        <v/>
      </c>
      <c r="V6" s="161">
        <f>IF(V7="","",LEFT(TEXT(V7,"ddd"),2))</f>
        <v/>
      </c>
      <c r="W6" s="161">
        <f>IF(W7="","",LEFT(TEXT(W7,"ddd"),2))</f>
        <v/>
      </c>
      <c r="X6" s="161">
        <f>IF(X7="","",LEFT(TEXT(X7,"ddd"),2))</f>
        <v/>
      </c>
      <c r="Y6" s="161">
        <f>IF(Y7="","",LEFT(TEXT(Y7,"ddd"),2))</f>
        <v/>
      </c>
      <c r="Z6" s="162">
        <f>IF(Z7="","",LEFT(TEXT(Z7,"ddd"),2))</f>
        <v/>
      </c>
      <c r="AA6" s="162">
        <f>IF(AA7="","",LEFT(TEXT(AA7,"ddd"),2))</f>
        <v/>
      </c>
      <c r="AB6" s="162">
        <f>IF(AB7="","",LEFT(TEXT(AB7,"ddd"),2))</f>
        <v/>
      </c>
      <c r="AC6" s="162">
        <f>IF(AC7="","",LEFT(TEXT(AC7,"ddd"),2))</f>
        <v/>
      </c>
      <c r="AD6" s="162">
        <f>IF(AD7="","",LEFT(TEXT(AD7,"ddd"),2))</f>
        <v/>
      </c>
      <c r="AE6" s="162">
        <f>IF(AE7="","",LEFT(TEXT(AE7,"ddd"),2))</f>
        <v/>
      </c>
      <c r="AF6" s="162">
        <f>IF(AF7="","",LEFT(TEXT(AF7,"ddd"),2))</f>
        <v/>
      </c>
      <c r="AG6" s="163">
        <f>IF(AG7="","",LEFT(TEXT(AG7,"ddd"),2))</f>
        <v/>
      </c>
      <c r="AH6" s="163">
        <f>IF(AH7="","",LEFT(TEXT(AH7,"ddd"),2))</f>
        <v/>
      </c>
      <c r="AI6" s="163">
        <f>IF(AI7="","",LEFT(TEXT(AI7,"ddd"),2))</f>
        <v/>
      </c>
      <c r="AJ6" s="1" t="n"/>
      <c r="AK6" s="164" t="inlineStr">
        <is>
          <t>Done</t>
        </is>
      </c>
      <c r="AL6" s="164" t="inlineStr">
        <is>
          <t>Goal</t>
        </is>
      </c>
      <c r="AM6" s="164" t="inlineStr">
        <is>
          <t>Progress</t>
        </is>
      </c>
      <c r="AN6" s="164" t="inlineStr">
        <is>
          <t>%</t>
        </is>
      </c>
      <c r="AO6" s="1" t="n"/>
      <c r="AP6" s="144">
        <f>TODAY()</f>
        <v/>
      </c>
    </row>
    <row r="7" ht="16" customHeight="1">
      <c r="A7" s="1" t="n"/>
      <c r="B7" s="165" t="inlineStr">
        <is>
          <t>Habit</t>
        </is>
      </c>
      <c r="C7" s="166" t="inlineStr">
        <is>
          <t>Pillar</t>
        </is>
      </c>
      <c r="D7" s="166" t="inlineStr">
        <is>
          <t>Target</t>
        </is>
      </c>
      <c r="E7" s="167">
        <f>IF(1&lt;=DAY(EOMONTH($AP$1,0)),$AP$1+0,"")</f>
        <v/>
      </c>
      <c r="F7" s="167">
        <f>IF(2&lt;=DAY(EOMONTH($AP$1,0)),$AP$1+1,"")</f>
        <v/>
      </c>
      <c r="G7" s="167">
        <f>IF(3&lt;=DAY(EOMONTH($AP$1,0)),$AP$1+2,"")</f>
        <v/>
      </c>
      <c r="H7" s="167">
        <f>IF(4&lt;=DAY(EOMONTH($AP$1,0)),$AP$1+3,"")</f>
        <v/>
      </c>
      <c r="I7" s="167">
        <f>IF(5&lt;=DAY(EOMONTH($AP$1,0)),$AP$1+4,"")</f>
        <v/>
      </c>
      <c r="J7" s="167">
        <f>IF(6&lt;=DAY(EOMONTH($AP$1,0)),$AP$1+5,"")</f>
        <v/>
      </c>
      <c r="K7" s="167">
        <f>IF(7&lt;=DAY(EOMONTH($AP$1,0)),$AP$1+6,"")</f>
        <v/>
      </c>
      <c r="L7" s="168">
        <f>IF(8&lt;=DAY(EOMONTH($AP$1,0)),$AP$1+7,"")</f>
        <v/>
      </c>
      <c r="M7" s="168">
        <f>IF(9&lt;=DAY(EOMONTH($AP$1,0)),$AP$1+8,"")</f>
        <v/>
      </c>
      <c r="N7" s="168">
        <f>IF(10&lt;=DAY(EOMONTH($AP$1,0)),$AP$1+9,"")</f>
        <v/>
      </c>
      <c r="O7" s="168">
        <f>IF(11&lt;=DAY(EOMONTH($AP$1,0)),$AP$1+10,"")</f>
        <v/>
      </c>
      <c r="P7" s="168">
        <f>IF(12&lt;=DAY(EOMONTH($AP$1,0)),$AP$1+11,"")</f>
        <v/>
      </c>
      <c r="Q7" s="168">
        <f>IF(13&lt;=DAY(EOMONTH($AP$1,0)),$AP$1+12,"")</f>
        <v/>
      </c>
      <c r="R7" s="168">
        <f>IF(14&lt;=DAY(EOMONTH($AP$1,0)),$AP$1+13,"")</f>
        <v/>
      </c>
      <c r="S7" s="169">
        <f>IF(15&lt;=DAY(EOMONTH($AP$1,0)),$AP$1+14,"")</f>
        <v/>
      </c>
      <c r="T7" s="169">
        <f>IF(16&lt;=DAY(EOMONTH($AP$1,0)),$AP$1+15,"")</f>
        <v/>
      </c>
      <c r="U7" s="169">
        <f>IF(17&lt;=DAY(EOMONTH($AP$1,0)),$AP$1+16,"")</f>
        <v/>
      </c>
      <c r="V7" s="169">
        <f>IF(18&lt;=DAY(EOMONTH($AP$1,0)),$AP$1+17,"")</f>
        <v/>
      </c>
      <c r="W7" s="169">
        <f>IF(19&lt;=DAY(EOMONTH($AP$1,0)),$AP$1+18,"")</f>
        <v/>
      </c>
      <c r="X7" s="169">
        <f>IF(20&lt;=DAY(EOMONTH($AP$1,0)),$AP$1+19,"")</f>
        <v/>
      </c>
      <c r="Y7" s="169">
        <f>IF(21&lt;=DAY(EOMONTH($AP$1,0)),$AP$1+20,"")</f>
        <v/>
      </c>
      <c r="Z7" s="170">
        <f>IF(22&lt;=DAY(EOMONTH($AP$1,0)),$AP$1+21,"")</f>
        <v/>
      </c>
      <c r="AA7" s="170">
        <f>IF(23&lt;=DAY(EOMONTH($AP$1,0)),$AP$1+22,"")</f>
        <v/>
      </c>
      <c r="AB7" s="170">
        <f>IF(24&lt;=DAY(EOMONTH($AP$1,0)),$AP$1+23,"")</f>
        <v/>
      </c>
      <c r="AC7" s="170">
        <f>IF(25&lt;=DAY(EOMONTH($AP$1,0)),$AP$1+24,"")</f>
        <v/>
      </c>
      <c r="AD7" s="170">
        <f>IF(26&lt;=DAY(EOMONTH($AP$1,0)),$AP$1+25,"")</f>
        <v/>
      </c>
      <c r="AE7" s="170">
        <f>IF(27&lt;=DAY(EOMONTH($AP$1,0)),$AP$1+26,"")</f>
        <v/>
      </c>
      <c r="AF7" s="170">
        <f>IF(28&lt;=DAY(EOMONTH($AP$1,0)),$AP$1+27,"")</f>
        <v/>
      </c>
      <c r="AG7" s="171">
        <f>IF(29&lt;=DAY(EOMONTH($AP$1,0)),$AP$1+28,"")</f>
        <v/>
      </c>
      <c r="AH7" s="171">
        <f>IF(30&lt;=DAY(EOMONTH($AP$1,0)),$AP$1+29,"")</f>
        <v/>
      </c>
      <c r="AI7" s="171">
        <f>IF(31&lt;=DAY(EOMONTH($AP$1,0)),$AP$1+30,"")</f>
        <v/>
      </c>
      <c r="AJ7" s="1" t="n"/>
      <c r="AK7" s="172" t="inlineStr">
        <is>
          <t>goal = weekly target × days tracked</t>
        </is>
      </c>
      <c r="AO7" s="1" t="n"/>
      <c r="AP7" s="144">
        <f>KcalMin</f>
        <v/>
      </c>
    </row>
    <row r="8" ht="16" customHeight="1">
      <c r="A8" s="1" t="n"/>
      <c r="B8" s="173" t="inlineStr">
        <is>
          <t>Day mode</t>
        </is>
      </c>
      <c r="C8" s="174" t="inlineStr">
        <is>
          <t>M = minimum · S = sick · R = rest</t>
        </is>
      </c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5" t="n"/>
      <c r="AH8" s="175" t="n"/>
      <c r="AI8" s="175" t="n"/>
      <c r="AJ8" s="1" t="n"/>
      <c r="AK8" s="176">
        <f>COUNTIF(E8:AI8,"M")&amp;" min · "&amp;COUNTIF(E8:AI8,"S")&amp;" sick · "&amp;COUNTIF(E8:AI8,"R")&amp;" rest"</f>
        <v/>
      </c>
      <c r="AO8" s="1" t="n"/>
      <c r="AP8" s="144">
        <f>KcalMax</f>
        <v/>
      </c>
    </row>
    <row r="9" ht="13" customHeight="1">
      <c r="A9" s="1" t="n"/>
      <c r="B9" s="177" t="inlineStr">
        <is>
          <t>LEVEL 1 · NON-NEGOTIABLES</t>
        </is>
      </c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" t="n"/>
      <c r="AK9" s="179" t="inlineStr">
        <is>
          <t>the daily foundation</t>
        </is>
      </c>
      <c r="AO9" s="1" t="n"/>
      <c r="AP9" s="144">
        <f>COUNTIFS(Data!$B$4:$B$375,12,Data!$AO$4:$AO$375,1,Data!$E$4:$E$375,"&lt;&gt;S")</f>
        <v/>
      </c>
    </row>
    <row r="10" ht="16" customHeight="1">
      <c r="A10" s="1" t="n"/>
      <c r="B10" s="180" t="inlineStr">
        <is>
          <t>🌅 Morning reset</t>
        </is>
      </c>
      <c r="C10" s="181" t="inlineStr">
        <is>
          <t>HEALTH</t>
        </is>
      </c>
      <c r="D10" s="182" t="inlineStr">
        <is>
          <t>Daily</t>
        </is>
      </c>
      <c r="E10" s="183" t="n"/>
      <c r="F10" s="183" t="n"/>
      <c r="G10" s="183" t="n"/>
      <c r="H10" s="183" t="n"/>
      <c r="I10" s="183" t="n"/>
      <c r="J10" s="183" t="n"/>
      <c r="K10" s="183" t="n"/>
      <c r="L10" s="184" t="n"/>
      <c r="M10" s="184" t="n"/>
      <c r="N10" s="184" t="n"/>
      <c r="O10" s="184" t="n"/>
      <c r="P10" s="184" t="n"/>
      <c r="Q10" s="184" t="n"/>
      <c r="R10" s="184" t="n"/>
      <c r="S10" s="185" t="n"/>
      <c r="T10" s="185" t="n"/>
      <c r="U10" s="185" t="n"/>
      <c r="V10" s="185" t="n"/>
      <c r="W10" s="185" t="n"/>
      <c r="X10" s="185" t="n"/>
      <c r="Y10" s="185" t="n"/>
      <c r="Z10" s="186" t="n"/>
      <c r="AA10" s="186" t="n"/>
      <c r="AB10" s="186" t="n"/>
      <c r="AC10" s="186" t="n"/>
      <c r="AD10" s="186" t="n"/>
      <c r="AE10" s="186" t="n"/>
      <c r="AF10" s="186" t="n"/>
      <c r="AG10" s="187" t="n"/>
      <c r="AH10" s="187" t="n"/>
      <c r="AI10" s="187" t="n"/>
      <c r="AJ10" s="1" t="n"/>
      <c r="AK10" s="72">
        <f>COUNTIF(E10:AI10,TRUE)+COUNTIF(E10:AI10,"x")</f>
        <v/>
      </c>
      <c r="AL10" s="188">
        <f>ROUND($AP$9*7/7,0)</f>
        <v/>
      </c>
      <c r="AM10" s="59">
        <f>IF(ISNUMBER(AN10),REPT("█",ROUND(MAX(0,MIN(1,AN10))*10,0))&amp;REPT("░",10-ROUND(MAX(0,MIN(1,AN10))*10,0)),"")</f>
        <v/>
      </c>
      <c r="AN10" s="189">
        <f>IF(N(AL10)=0,"",MIN(1,AK10/AL10))</f>
        <v/>
      </c>
      <c r="AO10" s="1" t="n"/>
      <c r="AP10" s="144">
        <f>COUNTIFS(Data!$B$4:$B$375,12,Data!$AO$4:$AO$375,1,Data!$E$4:$E$375,"&lt;&gt;S",Data!$AS$4:$AS$375,1)</f>
        <v/>
      </c>
    </row>
    <row r="11" ht="16" customHeight="1">
      <c r="A11" s="1" t="n"/>
      <c r="B11" s="180" t="inlineStr">
        <is>
          <t>🙏 Prayer + Scripture  ◆</t>
        </is>
      </c>
      <c r="C11" s="190" t="inlineStr">
        <is>
          <t>SPIRIT</t>
        </is>
      </c>
      <c r="D11" s="182" t="inlineStr">
        <is>
          <t>Daily</t>
        </is>
      </c>
      <c r="E11" s="183" t="n"/>
      <c r="F11" s="183" t="n"/>
      <c r="G11" s="183" t="n"/>
      <c r="H11" s="183" t="n"/>
      <c r="I11" s="183" t="n"/>
      <c r="J11" s="183" t="n"/>
      <c r="K11" s="183" t="n"/>
      <c r="L11" s="184" t="n"/>
      <c r="M11" s="184" t="n"/>
      <c r="N11" s="184" t="n"/>
      <c r="O11" s="184" t="n"/>
      <c r="P11" s="184" t="n"/>
      <c r="Q11" s="184" t="n"/>
      <c r="R11" s="184" t="n"/>
      <c r="S11" s="185" t="n"/>
      <c r="T11" s="185" t="n"/>
      <c r="U11" s="185" t="n"/>
      <c r="V11" s="185" t="n"/>
      <c r="W11" s="185" t="n"/>
      <c r="X11" s="185" t="n"/>
      <c r="Y11" s="185" t="n"/>
      <c r="Z11" s="186" t="n"/>
      <c r="AA11" s="186" t="n"/>
      <c r="AB11" s="186" t="n"/>
      <c r="AC11" s="186" t="n"/>
      <c r="AD11" s="186" t="n"/>
      <c r="AE11" s="186" t="n"/>
      <c r="AF11" s="186" t="n"/>
      <c r="AG11" s="187" t="n"/>
      <c r="AH11" s="187" t="n"/>
      <c r="AI11" s="187" t="n"/>
      <c r="AJ11" s="1" t="n"/>
      <c r="AK11" s="72">
        <f>COUNTIF(E11:AI11,TRUE)+COUNTIF(E11:AI11,"x")</f>
        <v/>
      </c>
      <c r="AL11" s="188">
        <f>ROUND($AP$9*7/7,0)</f>
        <v/>
      </c>
      <c r="AM11" s="59">
        <f>IF(ISNUMBER(AN11),REPT("█",ROUND(MAX(0,MIN(1,AN11))*10,0))&amp;REPT("░",10-ROUND(MAX(0,MIN(1,AN11))*10,0)),"")</f>
        <v/>
      </c>
      <c r="AN11" s="189">
        <f>IF(N(AL11)=0,"",MIN(1,AK11/AL11))</f>
        <v/>
      </c>
      <c r="AO11" s="1" t="n"/>
      <c r="AP11" s="144">
        <f>_xlfn.MAXIFS(Data!$A$4:$A$375,Data!$B$4:$B$375,12,Data!$AF$4:$AF$375,"&gt;0")</f>
        <v/>
      </c>
    </row>
    <row r="12" ht="16" customHeight="1">
      <c r="A12" s="1" t="n"/>
      <c r="B12" s="180" t="inlineStr">
        <is>
          <t>🧘 Mobility &amp; posture  ◆</t>
        </is>
      </c>
      <c r="C12" s="191" t="inlineStr">
        <is>
          <t>POSTURE</t>
        </is>
      </c>
      <c r="D12" s="182" t="inlineStr">
        <is>
          <t>Daily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84" t="n"/>
      <c r="N12" s="184" t="n"/>
      <c r="O12" s="184" t="n"/>
      <c r="P12" s="184" t="n"/>
      <c r="Q12" s="184" t="n"/>
      <c r="R12" s="184" t="n"/>
      <c r="S12" s="185" t="n"/>
      <c r="T12" s="185" t="n"/>
      <c r="U12" s="185" t="n"/>
      <c r="V12" s="185" t="n"/>
      <c r="W12" s="185" t="n"/>
      <c r="X12" s="185" t="n"/>
      <c r="Y12" s="185" t="n"/>
      <c r="Z12" s="186" t="n"/>
      <c r="AA12" s="186" t="n"/>
      <c r="AB12" s="186" t="n"/>
      <c r="AC12" s="186" t="n"/>
      <c r="AD12" s="186" t="n"/>
      <c r="AE12" s="186" t="n"/>
      <c r="AF12" s="186" t="n"/>
      <c r="AG12" s="187" t="n"/>
      <c r="AH12" s="187" t="n"/>
      <c r="AI12" s="187" t="n"/>
      <c r="AJ12" s="1" t="n"/>
      <c r="AK12" s="72">
        <f>COUNTIF(E12:AI12,TRUE)+COUNTIF(E12:AI12,"x")</f>
        <v/>
      </c>
      <c r="AL12" s="188">
        <f>ROUND($AP$9*7/7,0)</f>
        <v/>
      </c>
      <c r="AM12" s="59">
        <f>IF(ISNUMBER(AN12),REPT("█",ROUND(MAX(0,MIN(1,AN12))*10,0))&amp;REPT("░",10-ROUND(MAX(0,MIN(1,AN12))*10,0)),"")</f>
        <v/>
      </c>
      <c r="AN12" s="189">
        <f>IF(N(AL12)=0,"",MIN(1,AK12/AL12))</f>
        <v/>
      </c>
      <c r="AO12" s="1" t="n"/>
      <c r="AP12" s="144">
        <f>_xlfn.MINIFS(Data!$A$4:$A$375,Data!$B$4:$B$375,12,Data!$AF$4:$AF$375,"&gt;0")</f>
        <v/>
      </c>
    </row>
    <row r="13" ht="16" customHeight="1">
      <c r="A13" s="1" t="n"/>
      <c r="B13" s="180" t="inlineStr">
        <is>
          <t>💪 Training / movement  ◆</t>
        </is>
      </c>
      <c r="C13" s="192" t="inlineStr">
        <is>
          <t>BODY</t>
        </is>
      </c>
      <c r="D13" s="182" t="inlineStr">
        <is>
          <t>Daily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84" t="n"/>
      <c r="N13" s="184" t="n"/>
      <c r="O13" s="184" t="n"/>
      <c r="P13" s="184" t="n"/>
      <c r="Q13" s="184" t="n"/>
      <c r="R13" s="184" t="n"/>
      <c r="S13" s="185" t="n"/>
      <c r="T13" s="185" t="n"/>
      <c r="U13" s="185" t="n"/>
      <c r="V13" s="185" t="n"/>
      <c r="W13" s="185" t="n"/>
      <c r="X13" s="185" t="n"/>
      <c r="Y13" s="185" t="n"/>
      <c r="Z13" s="186" t="n"/>
      <c r="AA13" s="186" t="n"/>
      <c r="AB13" s="186" t="n"/>
      <c r="AC13" s="186" t="n"/>
      <c r="AD13" s="186" t="n"/>
      <c r="AE13" s="186" t="n"/>
      <c r="AF13" s="186" t="n"/>
      <c r="AG13" s="187" t="n"/>
      <c r="AH13" s="187" t="n"/>
      <c r="AI13" s="187" t="n"/>
      <c r="AJ13" s="1" t="n"/>
      <c r="AK13" s="72">
        <f>COUNTIF(E13:AI13,TRUE)+COUNTIF(E13:AI13,"x")</f>
        <v/>
      </c>
      <c r="AL13" s="188">
        <f>ROUND($AP$9*7/7,0)</f>
        <v/>
      </c>
      <c r="AM13" s="59">
        <f>IF(ISNUMBER(AN13),REPT("█",ROUND(MAX(0,MIN(1,AN13))*10,0))&amp;REPT("░",10-ROUND(MAX(0,MIN(1,AN13))*10,0)),"")</f>
        <v/>
      </c>
      <c r="AN13" s="189">
        <f>IF(N(AL13)=0,"",MIN(1,AK13/AL13))</f>
        <v/>
      </c>
      <c r="AO13" s="1" t="n"/>
      <c r="AP13" s="144">
        <f>MIN(AP6,EOMONTH(AP1,0))</f>
        <v/>
      </c>
    </row>
    <row r="14" ht="16" customHeight="1">
      <c r="A14" s="1" t="n"/>
      <c r="B14" s="180" t="inlineStr">
        <is>
          <t>🎯 Top 3 priorities</t>
        </is>
      </c>
      <c r="C14" s="193" t="inlineStr">
        <is>
          <t>WORK</t>
        </is>
      </c>
      <c r="D14" s="182" t="inlineStr">
        <is>
          <t>5× / wk</t>
        </is>
      </c>
      <c r="E14" s="183" t="n"/>
      <c r="F14" s="183" t="n"/>
      <c r="G14" s="183" t="n"/>
      <c r="H14" s="183" t="n"/>
      <c r="I14" s="183" t="n"/>
      <c r="J14" s="183" t="n"/>
      <c r="K14" s="183" t="n"/>
      <c r="L14" s="184" t="n"/>
      <c r="M14" s="184" t="n"/>
      <c r="N14" s="184" t="n"/>
      <c r="O14" s="184" t="n"/>
      <c r="P14" s="184" t="n"/>
      <c r="Q14" s="184" t="n"/>
      <c r="R14" s="184" t="n"/>
      <c r="S14" s="185" t="n"/>
      <c r="T14" s="185" t="n"/>
      <c r="U14" s="185" t="n"/>
      <c r="V14" s="185" t="n"/>
      <c r="W14" s="185" t="n"/>
      <c r="X14" s="185" t="n"/>
      <c r="Y14" s="185" t="n"/>
      <c r="Z14" s="186" t="n"/>
      <c r="AA14" s="186" t="n"/>
      <c r="AB14" s="186" t="n"/>
      <c r="AC14" s="186" t="n"/>
      <c r="AD14" s="186" t="n"/>
      <c r="AE14" s="186" t="n"/>
      <c r="AF14" s="186" t="n"/>
      <c r="AG14" s="187" t="n"/>
      <c r="AH14" s="187" t="n"/>
      <c r="AI14" s="187" t="n"/>
      <c r="AJ14" s="1" t="n"/>
      <c r="AK14" s="72">
        <f>COUNTIF(E14:AI14,TRUE)+COUNTIF(E14:AI14,"x")</f>
        <v/>
      </c>
      <c r="AL14" s="188">
        <f>$AP$10</f>
        <v/>
      </c>
      <c r="AM14" s="59">
        <f>IF(ISNUMBER(AN14),REPT("█",ROUND(MAX(0,MIN(1,AN14))*10,0))&amp;REPT("░",10-ROUND(MAX(0,MIN(1,AN14))*10,0)),"")</f>
        <v/>
      </c>
      <c r="AN14" s="189">
        <f>IF(N(AL14)=0,"",MIN(1,AK14/AL14))</f>
        <v/>
      </c>
      <c r="AO14" s="1" t="n"/>
    </row>
    <row r="15" ht="16" customHeight="1">
      <c r="A15" s="1" t="n"/>
      <c r="B15" s="180" t="inlineStr">
        <is>
          <t>❤️ Fiancée time  ◆</t>
        </is>
      </c>
      <c r="C15" s="194" t="inlineStr">
        <is>
          <t>RELATIONSHIPS</t>
        </is>
      </c>
      <c r="D15" s="182" t="inlineStr">
        <is>
          <t>Daily</t>
        </is>
      </c>
      <c r="E15" s="183" t="n"/>
      <c r="F15" s="183" t="n"/>
      <c r="G15" s="183" t="n"/>
      <c r="H15" s="183" t="n"/>
      <c r="I15" s="183" t="n"/>
      <c r="J15" s="183" t="n"/>
      <c r="K15" s="183" t="n"/>
      <c r="L15" s="184" t="n"/>
      <c r="M15" s="184" t="n"/>
      <c r="N15" s="184" t="n"/>
      <c r="O15" s="184" t="n"/>
      <c r="P15" s="184" t="n"/>
      <c r="Q15" s="184" t="n"/>
      <c r="R15" s="184" t="n"/>
      <c r="S15" s="185" t="n"/>
      <c r="T15" s="185" t="n"/>
      <c r="U15" s="185" t="n"/>
      <c r="V15" s="185" t="n"/>
      <c r="W15" s="185" t="n"/>
      <c r="X15" s="185" t="n"/>
      <c r="Y15" s="185" t="n"/>
      <c r="Z15" s="186" t="n"/>
      <c r="AA15" s="186" t="n"/>
      <c r="AB15" s="186" t="n"/>
      <c r="AC15" s="186" t="n"/>
      <c r="AD15" s="186" t="n"/>
      <c r="AE15" s="186" t="n"/>
      <c r="AF15" s="186" t="n"/>
      <c r="AG15" s="187" t="n"/>
      <c r="AH15" s="187" t="n"/>
      <c r="AI15" s="187" t="n"/>
      <c r="AJ15" s="1" t="n"/>
      <c r="AK15" s="72">
        <f>COUNTIF(E15:AI15,TRUE)+COUNTIF(E15:AI15,"x")</f>
        <v/>
      </c>
      <c r="AL15" s="188">
        <f>ROUND($AP$9*7/7,0)</f>
        <v/>
      </c>
      <c r="AM15" s="59">
        <f>IF(ISNUMBER(AN15),REPT("█",ROUND(MAX(0,MIN(1,AN15))*10,0))&amp;REPT("░",10-ROUND(MAX(0,MIN(1,AN15))*10,0)),"")</f>
        <v/>
      </c>
      <c r="AN15" s="189">
        <f>IF(N(AL15)=0,"",MIN(1,AK15/AL15))</f>
        <v/>
      </c>
      <c r="AO15" s="1" t="n"/>
    </row>
    <row r="16" ht="16" customHeight="1">
      <c r="A16" s="1" t="n"/>
      <c r="B16" s="180" t="inlineStr">
        <is>
          <t>📖 Read / learn</t>
        </is>
      </c>
      <c r="C16" s="195" t="inlineStr">
        <is>
          <t>MIND</t>
        </is>
      </c>
      <c r="D16" s="182" t="inlineStr">
        <is>
          <t>Daily</t>
        </is>
      </c>
      <c r="E16" s="183" t="n"/>
      <c r="F16" s="183" t="n"/>
      <c r="G16" s="183" t="n"/>
      <c r="H16" s="183" t="n"/>
      <c r="I16" s="183" t="n"/>
      <c r="J16" s="183" t="n"/>
      <c r="K16" s="183" t="n"/>
      <c r="L16" s="184" t="n"/>
      <c r="M16" s="184" t="n"/>
      <c r="N16" s="184" t="n"/>
      <c r="O16" s="184" t="n"/>
      <c r="P16" s="184" t="n"/>
      <c r="Q16" s="184" t="n"/>
      <c r="R16" s="184" t="n"/>
      <c r="S16" s="185" t="n"/>
      <c r="T16" s="185" t="n"/>
      <c r="U16" s="185" t="n"/>
      <c r="V16" s="185" t="n"/>
      <c r="W16" s="185" t="n"/>
      <c r="X16" s="185" t="n"/>
      <c r="Y16" s="185" t="n"/>
      <c r="Z16" s="186" t="n"/>
      <c r="AA16" s="186" t="n"/>
      <c r="AB16" s="186" t="n"/>
      <c r="AC16" s="186" t="n"/>
      <c r="AD16" s="186" t="n"/>
      <c r="AE16" s="186" t="n"/>
      <c r="AF16" s="186" t="n"/>
      <c r="AG16" s="187" t="n"/>
      <c r="AH16" s="187" t="n"/>
      <c r="AI16" s="187" t="n"/>
      <c r="AJ16" s="1" t="n"/>
      <c r="AK16" s="72">
        <f>COUNTIF(E16:AI16,TRUE)+COUNTIF(E16:AI16,"x")</f>
        <v/>
      </c>
      <c r="AL16" s="188">
        <f>ROUND($AP$9*7/7,0)</f>
        <v/>
      </c>
      <c r="AM16" s="59">
        <f>IF(ISNUMBER(AN16),REPT("█",ROUND(MAX(0,MIN(1,AN16))*10,0))&amp;REPT("░",10-ROUND(MAX(0,MIN(1,AN16))*10,0)),"")</f>
        <v/>
      </c>
      <c r="AN16" s="189">
        <f>IF(N(AL16)=0,"",MIN(1,AK16/AL16))</f>
        <v/>
      </c>
      <c r="AO16" s="1" t="n"/>
    </row>
    <row r="17" ht="16" customHeight="1">
      <c r="A17" s="1" t="n"/>
      <c r="B17" s="180" t="inlineStr">
        <is>
          <t>🌙 Evening shutdown</t>
        </is>
      </c>
      <c r="C17" s="193" t="inlineStr">
        <is>
          <t>WORK</t>
        </is>
      </c>
      <c r="D17" s="182" t="inlineStr">
        <is>
          <t>Daily</t>
        </is>
      </c>
      <c r="E17" s="183" t="n"/>
      <c r="F17" s="183" t="n"/>
      <c r="G17" s="183" t="n"/>
      <c r="H17" s="183" t="n"/>
      <c r="I17" s="183" t="n"/>
      <c r="J17" s="183" t="n"/>
      <c r="K17" s="183" t="n"/>
      <c r="L17" s="184" t="n"/>
      <c r="M17" s="184" t="n"/>
      <c r="N17" s="184" t="n"/>
      <c r="O17" s="184" t="n"/>
      <c r="P17" s="184" t="n"/>
      <c r="Q17" s="184" t="n"/>
      <c r="R17" s="184" t="n"/>
      <c r="S17" s="185" t="n"/>
      <c r="T17" s="185" t="n"/>
      <c r="U17" s="185" t="n"/>
      <c r="V17" s="185" t="n"/>
      <c r="W17" s="185" t="n"/>
      <c r="X17" s="185" t="n"/>
      <c r="Y17" s="185" t="n"/>
      <c r="Z17" s="186" t="n"/>
      <c r="AA17" s="186" t="n"/>
      <c r="AB17" s="186" t="n"/>
      <c r="AC17" s="186" t="n"/>
      <c r="AD17" s="186" t="n"/>
      <c r="AE17" s="186" t="n"/>
      <c r="AF17" s="186" t="n"/>
      <c r="AG17" s="187" t="n"/>
      <c r="AH17" s="187" t="n"/>
      <c r="AI17" s="187" t="n"/>
      <c r="AJ17" s="1" t="n"/>
      <c r="AK17" s="72">
        <f>COUNTIF(E17:AI17,TRUE)+COUNTIF(E17:AI17,"x")</f>
        <v/>
      </c>
      <c r="AL17" s="188">
        <f>ROUND($AP$9*7/7,0)</f>
        <v/>
      </c>
      <c r="AM17" s="59">
        <f>IF(ISNUMBER(AN17),REPT("█",ROUND(MAX(0,MIN(1,AN17))*10,0))&amp;REPT("░",10-ROUND(MAX(0,MIN(1,AN17))*10,0)),"")</f>
        <v/>
      </c>
      <c r="AN17" s="189">
        <f>IF(N(AL17)=0,"",MIN(1,AK17/AL17))</f>
        <v/>
      </c>
      <c r="AO17" s="1" t="n"/>
    </row>
    <row r="18" ht="16" customHeight="1">
      <c r="A18" s="1" t="n"/>
      <c r="B18" s="180" t="inlineStr">
        <is>
          <t>😴 Lights out 22:00  ◆</t>
        </is>
      </c>
      <c r="C18" s="181" t="inlineStr">
        <is>
          <t>HEALTH</t>
        </is>
      </c>
      <c r="D18" s="182" t="inlineStr">
        <is>
          <t>Daily</t>
        </is>
      </c>
      <c r="E18" s="183" t="n"/>
      <c r="F18" s="183" t="n"/>
      <c r="G18" s="183" t="n"/>
      <c r="H18" s="183" t="n"/>
      <c r="I18" s="183" t="n"/>
      <c r="J18" s="183" t="n"/>
      <c r="K18" s="183" t="n"/>
      <c r="L18" s="184" t="n"/>
      <c r="M18" s="184" t="n"/>
      <c r="N18" s="184" t="n"/>
      <c r="O18" s="184" t="n"/>
      <c r="P18" s="184" t="n"/>
      <c r="Q18" s="184" t="n"/>
      <c r="R18" s="184" t="n"/>
      <c r="S18" s="185" t="n"/>
      <c r="T18" s="185" t="n"/>
      <c r="U18" s="185" t="n"/>
      <c r="V18" s="185" t="n"/>
      <c r="W18" s="185" t="n"/>
      <c r="X18" s="185" t="n"/>
      <c r="Y18" s="185" t="n"/>
      <c r="Z18" s="186" t="n"/>
      <c r="AA18" s="186" t="n"/>
      <c r="AB18" s="186" t="n"/>
      <c r="AC18" s="186" t="n"/>
      <c r="AD18" s="186" t="n"/>
      <c r="AE18" s="186" t="n"/>
      <c r="AF18" s="186" t="n"/>
      <c r="AG18" s="187" t="n"/>
      <c r="AH18" s="187" t="n"/>
      <c r="AI18" s="187" t="n"/>
      <c r="AJ18" s="1" t="n"/>
      <c r="AK18" s="72">
        <f>COUNTIF(E18:AI18,TRUE)+COUNTIF(E18:AI18,"x")</f>
        <v/>
      </c>
      <c r="AL18" s="188">
        <f>ROUND($AP$9*7/7,0)</f>
        <v/>
      </c>
      <c r="AM18" s="59">
        <f>IF(ISNUMBER(AN18),REPT("█",ROUND(MAX(0,MIN(1,AN18))*10,0))&amp;REPT("░",10-ROUND(MAX(0,MIN(1,AN18))*10,0)),"")</f>
        <v/>
      </c>
      <c r="AN18" s="189">
        <f>IF(N(AL18)=0,"",MIN(1,AK18/AL18))</f>
        <v/>
      </c>
      <c r="AO18" s="1" t="n"/>
    </row>
    <row r="19" ht="13" customHeight="1">
      <c r="A19" s="1" t="n"/>
      <c r="B19" s="196" t="inlineStr">
        <is>
          <t>LEVEL 2 · HIGH VALUE</t>
        </is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" t="n"/>
      <c r="AK19" s="198" t="inlineStr">
        <is>
          <t>weekly targets</t>
        </is>
      </c>
      <c r="AO19" s="1" t="n"/>
    </row>
    <row r="20" ht="16" customHeight="1">
      <c r="A20" s="1" t="n"/>
      <c r="B20" s="180" t="inlineStr">
        <is>
          <t>🏋️ Strength session</t>
        </is>
      </c>
      <c r="C20" s="192" t="inlineStr">
        <is>
          <t>BODY</t>
        </is>
      </c>
      <c r="D20" s="182" t="inlineStr">
        <is>
          <t>4× / wk</t>
        </is>
      </c>
      <c r="E20" s="183" t="n"/>
      <c r="F20" s="183" t="n"/>
      <c r="G20" s="183" t="n"/>
      <c r="H20" s="183" t="n"/>
      <c r="I20" s="183" t="n"/>
      <c r="J20" s="183" t="n"/>
      <c r="K20" s="183" t="n"/>
      <c r="L20" s="184" t="n"/>
      <c r="M20" s="184" t="n"/>
      <c r="N20" s="184" t="n"/>
      <c r="O20" s="184" t="n"/>
      <c r="P20" s="184" t="n"/>
      <c r="Q20" s="184" t="n"/>
      <c r="R20" s="184" t="n"/>
      <c r="S20" s="185" t="n"/>
      <c r="T20" s="185" t="n"/>
      <c r="U20" s="185" t="n"/>
      <c r="V20" s="185" t="n"/>
      <c r="W20" s="185" t="n"/>
      <c r="X20" s="185" t="n"/>
      <c r="Y20" s="185" t="n"/>
      <c r="Z20" s="186" t="n"/>
      <c r="AA20" s="186" t="n"/>
      <c r="AB20" s="186" t="n"/>
      <c r="AC20" s="186" t="n"/>
      <c r="AD20" s="186" t="n"/>
      <c r="AE20" s="186" t="n"/>
      <c r="AF20" s="186" t="n"/>
      <c r="AG20" s="187" t="n"/>
      <c r="AH20" s="187" t="n"/>
      <c r="AI20" s="187" t="n"/>
      <c r="AJ20" s="1" t="n"/>
      <c r="AK20" s="72">
        <f>COUNTIF(E20:AI20,TRUE)+COUNTIF(E20:AI20,"x")</f>
        <v/>
      </c>
      <c r="AL20" s="188">
        <f>ROUND($AP$9*4/7,0)</f>
        <v/>
      </c>
      <c r="AM20" s="59">
        <f>IF(ISNUMBER(AN20),REPT("█",ROUND(MAX(0,MIN(1,AN20))*10,0))&amp;REPT("░",10-ROUND(MAX(0,MIN(1,AN20))*10,0)),"")</f>
        <v/>
      </c>
      <c r="AN20" s="189">
        <f>IF(N(AL20)=0,"",MIN(1,AK20/AL20))</f>
        <v/>
      </c>
      <c r="AO20" s="1" t="n"/>
    </row>
    <row r="21" ht="16" customHeight="1">
      <c r="A21" s="1" t="n"/>
      <c r="B21" s="180" t="inlineStr">
        <is>
          <t>📈 Progression achieved</t>
        </is>
      </c>
      <c r="C21" s="192" t="inlineStr">
        <is>
          <t>BODY</t>
        </is>
      </c>
      <c r="D21" s="182" t="inlineStr">
        <is>
          <t>4× / wk</t>
        </is>
      </c>
      <c r="E21" s="183" t="n"/>
      <c r="F21" s="183" t="n"/>
      <c r="G21" s="183" t="n"/>
      <c r="H21" s="183" t="n"/>
      <c r="I21" s="183" t="n"/>
      <c r="J21" s="183" t="n"/>
      <c r="K21" s="183" t="n"/>
      <c r="L21" s="184" t="n"/>
      <c r="M21" s="184" t="n"/>
      <c r="N21" s="184" t="n"/>
      <c r="O21" s="184" t="n"/>
      <c r="P21" s="184" t="n"/>
      <c r="Q21" s="184" t="n"/>
      <c r="R21" s="184" t="n"/>
      <c r="S21" s="185" t="n"/>
      <c r="T21" s="185" t="n"/>
      <c r="U21" s="185" t="n"/>
      <c r="V21" s="185" t="n"/>
      <c r="W21" s="185" t="n"/>
      <c r="X21" s="185" t="n"/>
      <c r="Y21" s="185" t="n"/>
      <c r="Z21" s="186" t="n"/>
      <c r="AA21" s="186" t="n"/>
      <c r="AB21" s="186" t="n"/>
      <c r="AC21" s="186" t="n"/>
      <c r="AD21" s="186" t="n"/>
      <c r="AE21" s="186" t="n"/>
      <c r="AF21" s="186" t="n"/>
      <c r="AG21" s="187" t="n"/>
      <c r="AH21" s="187" t="n"/>
      <c r="AI21" s="187" t="n"/>
      <c r="AJ21" s="1" t="n"/>
      <c r="AK21" s="72">
        <f>COUNTIF(E21:AI21,TRUE)+COUNTIF(E21:AI21,"x")</f>
        <v/>
      </c>
      <c r="AL21" s="188">
        <f>ROUND($AP$9*4/7,0)</f>
        <v/>
      </c>
      <c r="AM21" s="59">
        <f>IF(ISNUMBER(AN21),REPT("█",ROUND(MAX(0,MIN(1,AN21))*10,0))&amp;REPT("░",10-ROUND(MAX(0,MIN(1,AN21))*10,0)),"")</f>
        <v/>
      </c>
      <c r="AN21" s="189">
        <f>IF(N(AL21)=0,"",MIN(1,AK21/AL21))</f>
        <v/>
      </c>
      <c r="AO21" s="1" t="n"/>
    </row>
    <row r="22" ht="16" customHeight="1">
      <c r="A22" s="1" t="n"/>
      <c r="B22" s="180" t="inlineStr">
        <is>
          <t>🧱 Core</t>
        </is>
      </c>
      <c r="C22" s="192" t="inlineStr">
        <is>
          <t>BODY</t>
        </is>
      </c>
      <c r="D22" s="182" t="inlineStr">
        <is>
          <t>3× / wk</t>
        </is>
      </c>
      <c r="E22" s="183" t="n"/>
      <c r="F22" s="183" t="n"/>
      <c r="G22" s="183" t="n"/>
      <c r="H22" s="183" t="n"/>
      <c r="I22" s="183" t="n"/>
      <c r="J22" s="183" t="n"/>
      <c r="K22" s="183" t="n"/>
      <c r="L22" s="184" t="n"/>
      <c r="M22" s="184" t="n"/>
      <c r="N22" s="184" t="n"/>
      <c r="O22" s="184" t="n"/>
      <c r="P22" s="184" t="n"/>
      <c r="Q22" s="184" t="n"/>
      <c r="R22" s="184" t="n"/>
      <c r="S22" s="185" t="n"/>
      <c r="T22" s="185" t="n"/>
      <c r="U22" s="185" t="n"/>
      <c r="V22" s="185" t="n"/>
      <c r="W22" s="185" t="n"/>
      <c r="X22" s="185" t="n"/>
      <c r="Y22" s="185" t="n"/>
      <c r="Z22" s="186" t="n"/>
      <c r="AA22" s="186" t="n"/>
      <c r="AB22" s="186" t="n"/>
      <c r="AC22" s="186" t="n"/>
      <c r="AD22" s="186" t="n"/>
      <c r="AE22" s="186" t="n"/>
      <c r="AF22" s="186" t="n"/>
      <c r="AG22" s="187" t="n"/>
      <c r="AH22" s="187" t="n"/>
      <c r="AI22" s="187" t="n"/>
      <c r="AJ22" s="1" t="n"/>
      <c r="AK22" s="72">
        <f>COUNTIF(E22:AI22,TRUE)+COUNTIF(E22:AI22,"x")</f>
        <v/>
      </c>
      <c r="AL22" s="188">
        <f>ROUND($AP$9*3/7,0)</f>
        <v/>
      </c>
      <c r="AM22" s="59">
        <f>IF(ISNUMBER(AN22),REPT("█",ROUND(MAX(0,MIN(1,AN22))*10,0))&amp;REPT("░",10-ROUND(MAX(0,MIN(1,AN22))*10,0)),"")</f>
        <v/>
      </c>
      <c r="AN22" s="189">
        <f>IF(N(AL22)=0,"",MIN(1,AK22/AL22))</f>
        <v/>
      </c>
      <c r="AO22" s="1" t="n"/>
    </row>
    <row r="23" ht="16" customHeight="1">
      <c r="A23" s="1" t="n"/>
      <c r="B23" s="180" t="inlineStr">
        <is>
          <t>🦵 Calves</t>
        </is>
      </c>
      <c r="C23" s="192" t="inlineStr">
        <is>
          <t>BODY</t>
        </is>
      </c>
      <c r="D23" s="182" t="inlineStr">
        <is>
          <t>3× / wk</t>
        </is>
      </c>
      <c r="E23" s="183" t="n"/>
      <c r="F23" s="183" t="n"/>
      <c r="G23" s="183" t="n"/>
      <c r="H23" s="183" t="n"/>
      <c r="I23" s="183" t="n"/>
      <c r="J23" s="183" t="n"/>
      <c r="K23" s="183" t="n"/>
      <c r="L23" s="184" t="n"/>
      <c r="M23" s="184" t="n"/>
      <c r="N23" s="184" t="n"/>
      <c r="O23" s="184" t="n"/>
      <c r="P23" s="184" t="n"/>
      <c r="Q23" s="184" t="n"/>
      <c r="R23" s="184" t="n"/>
      <c r="S23" s="185" t="n"/>
      <c r="T23" s="185" t="n"/>
      <c r="U23" s="185" t="n"/>
      <c r="V23" s="185" t="n"/>
      <c r="W23" s="185" t="n"/>
      <c r="X23" s="185" t="n"/>
      <c r="Y23" s="185" t="n"/>
      <c r="Z23" s="186" t="n"/>
      <c r="AA23" s="186" t="n"/>
      <c r="AB23" s="186" t="n"/>
      <c r="AC23" s="186" t="n"/>
      <c r="AD23" s="186" t="n"/>
      <c r="AE23" s="186" t="n"/>
      <c r="AF23" s="186" t="n"/>
      <c r="AG23" s="187" t="n"/>
      <c r="AH23" s="187" t="n"/>
      <c r="AI23" s="187" t="n"/>
      <c r="AJ23" s="1" t="n"/>
      <c r="AK23" s="72">
        <f>COUNTIF(E23:AI23,TRUE)+COUNTIF(E23:AI23,"x")</f>
        <v/>
      </c>
      <c r="AL23" s="188">
        <f>ROUND($AP$9*3/7,0)</f>
        <v/>
      </c>
      <c r="AM23" s="59">
        <f>IF(ISNUMBER(AN23),REPT("█",ROUND(MAX(0,MIN(1,AN23))*10,0))&amp;REPT("░",10-ROUND(MAX(0,MIN(1,AN23))*10,0)),"")</f>
        <v/>
      </c>
      <c r="AN23" s="189">
        <f>IF(N(AL23)=0,"",MIN(1,AK23/AL23))</f>
        <v/>
      </c>
      <c r="AO23" s="1" t="n"/>
    </row>
    <row r="24" ht="16" customHeight="1">
      <c r="A24" s="1" t="n"/>
      <c r="B24" s="180" t="inlineStr">
        <is>
          <t>🚶 Cardio</t>
        </is>
      </c>
      <c r="C24" s="192" t="inlineStr">
        <is>
          <t>BODY</t>
        </is>
      </c>
      <c r="D24" s="182" t="inlineStr">
        <is>
          <t>2× / wk</t>
        </is>
      </c>
      <c r="E24" s="183" t="n"/>
      <c r="F24" s="183" t="n"/>
      <c r="G24" s="183" t="n"/>
      <c r="H24" s="183" t="n"/>
      <c r="I24" s="183" t="n"/>
      <c r="J24" s="183" t="n"/>
      <c r="K24" s="183" t="n"/>
      <c r="L24" s="184" t="n"/>
      <c r="M24" s="184" t="n"/>
      <c r="N24" s="184" t="n"/>
      <c r="O24" s="184" t="n"/>
      <c r="P24" s="184" t="n"/>
      <c r="Q24" s="184" t="n"/>
      <c r="R24" s="184" t="n"/>
      <c r="S24" s="185" t="n"/>
      <c r="T24" s="185" t="n"/>
      <c r="U24" s="185" t="n"/>
      <c r="V24" s="185" t="n"/>
      <c r="W24" s="185" t="n"/>
      <c r="X24" s="185" t="n"/>
      <c r="Y24" s="185" t="n"/>
      <c r="Z24" s="186" t="n"/>
      <c r="AA24" s="186" t="n"/>
      <c r="AB24" s="186" t="n"/>
      <c r="AC24" s="186" t="n"/>
      <c r="AD24" s="186" t="n"/>
      <c r="AE24" s="186" t="n"/>
      <c r="AF24" s="186" t="n"/>
      <c r="AG24" s="187" t="n"/>
      <c r="AH24" s="187" t="n"/>
      <c r="AI24" s="187" t="n"/>
      <c r="AJ24" s="1" t="n"/>
      <c r="AK24" s="72">
        <f>COUNTIF(E24:AI24,TRUE)+COUNTIF(E24:AI24,"x")</f>
        <v/>
      </c>
      <c r="AL24" s="188">
        <f>ROUND($AP$9*2/7,0)</f>
        <v/>
      </c>
      <c r="AM24" s="59">
        <f>IF(ISNUMBER(AN24),REPT("█",ROUND(MAX(0,MIN(1,AN24))*10,0))&amp;REPT("░",10-ROUND(MAX(0,MIN(1,AN24))*10,0)),"")</f>
        <v/>
      </c>
      <c r="AN24" s="189">
        <f>IF(N(AL24)=0,"",MIN(1,AK24/AL24))</f>
        <v/>
      </c>
      <c r="AO24" s="1" t="n"/>
    </row>
    <row r="25" ht="16" customHeight="1">
      <c r="A25" s="1" t="n"/>
      <c r="B25" s="180" t="inlineStr">
        <is>
          <t>🧠 Deep work 2+ blocks</t>
        </is>
      </c>
      <c r="C25" s="193" t="inlineStr">
        <is>
          <t>WORK</t>
        </is>
      </c>
      <c r="D25" s="182" t="inlineStr">
        <is>
          <t>5× / wk</t>
        </is>
      </c>
      <c r="E25" s="183" t="n"/>
      <c r="F25" s="183" t="n"/>
      <c r="G25" s="183" t="n"/>
      <c r="H25" s="183" t="n"/>
      <c r="I25" s="183" t="n"/>
      <c r="J25" s="183" t="n"/>
      <c r="K25" s="183" t="n"/>
      <c r="L25" s="184" t="n"/>
      <c r="M25" s="184" t="n"/>
      <c r="N25" s="184" t="n"/>
      <c r="O25" s="184" t="n"/>
      <c r="P25" s="184" t="n"/>
      <c r="Q25" s="184" t="n"/>
      <c r="R25" s="184" t="n"/>
      <c r="S25" s="185" t="n"/>
      <c r="T25" s="185" t="n"/>
      <c r="U25" s="185" t="n"/>
      <c r="V25" s="185" t="n"/>
      <c r="W25" s="185" t="n"/>
      <c r="X25" s="185" t="n"/>
      <c r="Y25" s="185" t="n"/>
      <c r="Z25" s="186" t="n"/>
      <c r="AA25" s="186" t="n"/>
      <c r="AB25" s="186" t="n"/>
      <c r="AC25" s="186" t="n"/>
      <c r="AD25" s="186" t="n"/>
      <c r="AE25" s="186" t="n"/>
      <c r="AF25" s="186" t="n"/>
      <c r="AG25" s="187" t="n"/>
      <c r="AH25" s="187" t="n"/>
      <c r="AI25" s="187" t="n"/>
      <c r="AJ25" s="1" t="n"/>
      <c r="AK25" s="72">
        <f>COUNTIF(E25:AI25,TRUE)+COUNTIF(E25:AI25,"x")</f>
        <v/>
      </c>
      <c r="AL25" s="188">
        <f>ROUND($AP$9*5/7,0)</f>
        <v/>
      </c>
      <c r="AM25" s="59">
        <f>IF(ISNUMBER(AN25),REPT("█",ROUND(MAX(0,MIN(1,AN25))*10,0))&amp;REPT("░",10-ROUND(MAX(0,MIN(1,AN25))*10,0)),"")</f>
        <v/>
      </c>
      <c r="AN25" s="189">
        <f>IF(N(AL25)=0,"",MIN(1,AK25/AL25))</f>
        <v/>
      </c>
      <c r="AO25" s="1" t="n"/>
    </row>
    <row r="26" ht="16" customHeight="1">
      <c r="A26" s="1" t="n"/>
      <c r="B26" s="180" t="inlineStr">
        <is>
          <t>👀 Posture &amp; eye breaks</t>
        </is>
      </c>
      <c r="C26" s="191" t="inlineStr">
        <is>
          <t>POSTURE</t>
        </is>
      </c>
      <c r="D26" s="182" t="inlineStr">
        <is>
          <t>5× / wk</t>
        </is>
      </c>
      <c r="E26" s="183" t="n"/>
      <c r="F26" s="183" t="n"/>
      <c r="G26" s="183" t="n"/>
      <c r="H26" s="183" t="n"/>
      <c r="I26" s="183" t="n"/>
      <c r="J26" s="183" t="n"/>
      <c r="K26" s="183" t="n"/>
      <c r="L26" s="184" t="n"/>
      <c r="M26" s="184" t="n"/>
      <c r="N26" s="184" t="n"/>
      <c r="O26" s="184" t="n"/>
      <c r="P26" s="184" t="n"/>
      <c r="Q26" s="184" t="n"/>
      <c r="R26" s="184" t="n"/>
      <c r="S26" s="185" t="n"/>
      <c r="T26" s="185" t="n"/>
      <c r="U26" s="185" t="n"/>
      <c r="V26" s="185" t="n"/>
      <c r="W26" s="185" t="n"/>
      <c r="X26" s="185" t="n"/>
      <c r="Y26" s="185" t="n"/>
      <c r="Z26" s="186" t="n"/>
      <c r="AA26" s="186" t="n"/>
      <c r="AB26" s="186" t="n"/>
      <c r="AC26" s="186" t="n"/>
      <c r="AD26" s="186" t="n"/>
      <c r="AE26" s="186" t="n"/>
      <c r="AF26" s="186" t="n"/>
      <c r="AG26" s="187" t="n"/>
      <c r="AH26" s="187" t="n"/>
      <c r="AI26" s="187" t="n"/>
      <c r="AJ26" s="1" t="n"/>
      <c r="AK26" s="72">
        <f>COUNTIF(E26:AI26,TRUE)+COUNTIF(E26:AI26,"x")</f>
        <v/>
      </c>
      <c r="AL26" s="188">
        <f>ROUND($AP$9*5/7,0)</f>
        <v/>
      </c>
      <c r="AM26" s="59">
        <f>IF(ISNUMBER(AN26),REPT("█",ROUND(MAX(0,MIN(1,AN26))*10,0))&amp;REPT("░",10-ROUND(MAX(0,MIN(1,AN26))*10,0)),"")</f>
        <v/>
      </c>
      <c r="AN26" s="189">
        <f>IF(N(AL26)=0,"",MIN(1,AK26/AL26))</f>
        <v/>
      </c>
      <c r="AO26" s="1" t="n"/>
    </row>
    <row r="27" ht="16" customHeight="1">
      <c r="A27" s="1" t="n"/>
      <c r="B27" s="180" t="inlineStr">
        <is>
          <t>🧹 Home reset</t>
        </is>
      </c>
      <c r="C27" s="199" t="inlineStr">
        <is>
          <t>LIFE ADMIN</t>
        </is>
      </c>
      <c r="D27" s="182" t="inlineStr">
        <is>
          <t>5× / wk</t>
        </is>
      </c>
      <c r="E27" s="183" t="n"/>
      <c r="F27" s="183" t="n"/>
      <c r="G27" s="183" t="n"/>
      <c r="H27" s="183" t="n"/>
      <c r="I27" s="183" t="n"/>
      <c r="J27" s="183" t="n"/>
      <c r="K27" s="183" t="n"/>
      <c r="L27" s="184" t="n"/>
      <c r="M27" s="184" t="n"/>
      <c r="N27" s="184" t="n"/>
      <c r="O27" s="184" t="n"/>
      <c r="P27" s="184" t="n"/>
      <c r="Q27" s="184" t="n"/>
      <c r="R27" s="184" t="n"/>
      <c r="S27" s="185" t="n"/>
      <c r="T27" s="185" t="n"/>
      <c r="U27" s="185" t="n"/>
      <c r="V27" s="185" t="n"/>
      <c r="W27" s="185" t="n"/>
      <c r="X27" s="185" t="n"/>
      <c r="Y27" s="185" t="n"/>
      <c r="Z27" s="186" t="n"/>
      <c r="AA27" s="186" t="n"/>
      <c r="AB27" s="186" t="n"/>
      <c r="AC27" s="186" t="n"/>
      <c r="AD27" s="186" t="n"/>
      <c r="AE27" s="186" t="n"/>
      <c r="AF27" s="186" t="n"/>
      <c r="AG27" s="187" t="n"/>
      <c r="AH27" s="187" t="n"/>
      <c r="AI27" s="187" t="n"/>
      <c r="AJ27" s="1" t="n"/>
      <c r="AK27" s="72">
        <f>COUNTIF(E27:AI27,TRUE)+COUNTIF(E27:AI27,"x")</f>
        <v/>
      </c>
      <c r="AL27" s="188">
        <f>ROUND($AP$9*5/7,0)</f>
        <v/>
      </c>
      <c r="AM27" s="59">
        <f>IF(ISNUMBER(AN27),REPT("█",ROUND(MAX(0,MIN(1,AN27))*10,0))&amp;REPT("░",10-ROUND(MAX(0,MIN(1,AN27))*10,0)),"")</f>
        <v/>
      </c>
      <c r="AN27" s="189">
        <f>IF(N(AL27)=0,"",MIN(1,AK27/AL27))</f>
        <v/>
      </c>
      <c r="AO27" s="1" t="n"/>
    </row>
    <row r="28" ht="16" customHeight="1">
      <c r="A28" s="1" t="n"/>
      <c r="B28" s="180" t="inlineStr">
        <is>
          <t>👦 Father–son time</t>
        </is>
      </c>
      <c r="C28" s="194" t="inlineStr">
        <is>
          <t>RELATIONSHIPS</t>
        </is>
      </c>
      <c r="D28" s="182" t="inlineStr">
        <is>
          <t>1× / wk</t>
        </is>
      </c>
      <c r="E28" s="183" t="n"/>
      <c r="F28" s="183" t="n"/>
      <c r="G28" s="183" t="n"/>
      <c r="H28" s="183" t="n"/>
      <c r="I28" s="183" t="n"/>
      <c r="J28" s="183" t="n"/>
      <c r="K28" s="183" t="n"/>
      <c r="L28" s="184" t="n"/>
      <c r="M28" s="184" t="n"/>
      <c r="N28" s="184" t="n"/>
      <c r="O28" s="184" t="n"/>
      <c r="P28" s="184" t="n"/>
      <c r="Q28" s="184" t="n"/>
      <c r="R28" s="184" t="n"/>
      <c r="S28" s="185" t="n"/>
      <c r="T28" s="185" t="n"/>
      <c r="U28" s="185" t="n"/>
      <c r="V28" s="185" t="n"/>
      <c r="W28" s="185" t="n"/>
      <c r="X28" s="185" t="n"/>
      <c r="Y28" s="185" t="n"/>
      <c r="Z28" s="186" t="n"/>
      <c r="AA28" s="186" t="n"/>
      <c r="AB28" s="186" t="n"/>
      <c r="AC28" s="186" t="n"/>
      <c r="AD28" s="186" t="n"/>
      <c r="AE28" s="186" t="n"/>
      <c r="AF28" s="186" t="n"/>
      <c r="AG28" s="187" t="n"/>
      <c r="AH28" s="187" t="n"/>
      <c r="AI28" s="187" t="n"/>
      <c r="AJ28" s="1" t="n"/>
      <c r="AK28" s="72">
        <f>COUNTIF(E28:AI28,TRUE)+COUNTIF(E28:AI28,"x")</f>
        <v/>
      </c>
      <c r="AL28" s="188">
        <f>ROUND($AP$9*1/7,0)</f>
        <v/>
      </c>
      <c r="AM28" s="59">
        <f>IF(ISNUMBER(AN28),REPT("█",ROUND(MAX(0,MIN(1,AN28))*10,0))&amp;REPT("░",10-ROUND(MAX(0,MIN(1,AN28))*10,0)),"")</f>
        <v/>
      </c>
      <c r="AN28" s="189">
        <f>IF(N(AL28)=0,"",MIN(1,AK28/AL28))</f>
        <v/>
      </c>
      <c r="AO28" s="1" t="n"/>
    </row>
    <row r="29" ht="16" customHeight="1">
      <c r="A29" s="1" t="n"/>
      <c r="B29" s="180" t="inlineStr">
        <is>
          <t>🥂 Couple time / date</t>
        </is>
      </c>
      <c r="C29" s="194" t="inlineStr">
        <is>
          <t>RELATIONSHIPS</t>
        </is>
      </c>
      <c r="D29" s="182" t="inlineStr">
        <is>
          <t>1× / wk</t>
        </is>
      </c>
      <c r="E29" s="183" t="n"/>
      <c r="F29" s="183" t="n"/>
      <c r="G29" s="183" t="n"/>
      <c r="H29" s="183" t="n"/>
      <c r="I29" s="183" t="n"/>
      <c r="J29" s="183" t="n"/>
      <c r="K29" s="183" t="n"/>
      <c r="L29" s="184" t="n"/>
      <c r="M29" s="184" t="n"/>
      <c r="N29" s="184" t="n"/>
      <c r="O29" s="184" t="n"/>
      <c r="P29" s="184" t="n"/>
      <c r="Q29" s="184" t="n"/>
      <c r="R29" s="184" t="n"/>
      <c r="S29" s="185" t="n"/>
      <c r="T29" s="185" t="n"/>
      <c r="U29" s="185" t="n"/>
      <c r="V29" s="185" t="n"/>
      <c r="W29" s="185" t="n"/>
      <c r="X29" s="185" t="n"/>
      <c r="Y29" s="185" t="n"/>
      <c r="Z29" s="186" t="n"/>
      <c r="AA29" s="186" t="n"/>
      <c r="AB29" s="186" t="n"/>
      <c r="AC29" s="186" t="n"/>
      <c r="AD29" s="186" t="n"/>
      <c r="AE29" s="186" t="n"/>
      <c r="AF29" s="186" t="n"/>
      <c r="AG29" s="187" t="n"/>
      <c r="AH29" s="187" t="n"/>
      <c r="AI29" s="187" t="n"/>
      <c r="AJ29" s="1" t="n"/>
      <c r="AK29" s="72">
        <f>COUNTIF(E29:AI29,TRUE)+COUNTIF(E29:AI29,"x")</f>
        <v/>
      </c>
      <c r="AL29" s="188">
        <f>ROUND($AP$9*1/7,0)</f>
        <v/>
      </c>
      <c r="AM29" s="59">
        <f>IF(ISNUMBER(AN29),REPT("█",ROUND(MAX(0,MIN(1,AN29))*10,0))&amp;REPT("░",10-ROUND(MAX(0,MIN(1,AN29))*10,0)),"")</f>
        <v/>
      </c>
      <c r="AN29" s="189">
        <f>IF(N(AL29)=0,"",MIN(1,AK29/AL29))</f>
        <v/>
      </c>
      <c r="AO29" s="1" t="n"/>
    </row>
    <row r="30" ht="16" customHeight="1">
      <c r="A30" s="1" t="n"/>
      <c r="B30" s="180" t="inlineStr">
        <is>
          <t>📞 Family check-in</t>
        </is>
      </c>
      <c r="C30" s="194" t="inlineStr">
        <is>
          <t>RELATIONSHIPS</t>
        </is>
      </c>
      <c r="D30" s="182" t="inlineStr">
        <is>
          <t>1× / wk</t>
        </is>
      </c>
      <c r="E30" s="183" t="n"/>
      <c r="F30" s="183" t="n"/>
      <c r="G30" s="183" t="n"/>
      <c r="H30" s="183" t="n"/>
      <c r="I30" s="183" t="n"/>
      <c r="J30" s="183" t="n"/>
      <c r="K30" s="183" t="n"/>
      <c r="L30" s="184" t="n"/>
      <c r="M30" s="184" t="n"/>
      <c r="N30" s="184" t="n"/>
      <c r="O30" s="184" t="n"/>
      <c r="P30" s="184" t="n"/>
      <c r="Q30" s="184" t="n"/>
      <c r="R30" s="184" t="n"/>
      <c r="S30" s="185" t="n"/>
      <c r="T30" s="185" t="n"/>
      <c r="U30" s="185" t="n"/>
      <c r="V30" s="185" t="n"/>
      <c r="W30" s="185" t="n"/>
      <c r="X30" s="185" t="n"/>
      <c r="Y30" s="185" t="n"/>
      <c r="Z30" s="186" t="n"/>
      <c r="AA30" s="186" t="n"/>
      <c r="AB30" s="186" t="n"/>
      <c r="AC30" s="186" t="n"/>
      <c r="AD30" s="186" t="n"/>
      <c r="AE30" s="186" t="n"/>
      <c r="AF30" s="186" t="n"/>
      <c r="AG30" s="187" t="n"/>
      <c r="AH30" s="187" t="n"/>
      <c r="AI30" s="187" t="n"/>
      <c r="AJ30" s="1" t="n"/>
      <c r="AK30" s="72">
        <f>COUNTIF(E30:AI30,TRUE)+COUNTIF(E30:AI30,"x")</f>
        <v/>
      </c>
      <c r="AL30" s="188">
        <f>ROUND($AP$9*1/7,0)</f>
        <v/>
      </c>
      <c r="AM30" s="59">
        <f>IF(ISNUMBER(AN30),REPT("█",ROUND(MAX(0,MIN(1,AN30))*10,0))&amp;REPT("░",10-ROUND(MAX(0,MIN(1,AN30))*10,0)),"")</f>
        <v/>
      </c>
      <c r="AN30" s="189">
        <f>IF(N(AL30)=0,"",MIN(1,AK30/AL30))</f>
        <v/>
      </c>
      <c r="AO30" s="1" t="n"/>
    </row>
    <row r="31" ht="16" customHeight="1">
      <c r="A31" s="1" t="n"/>
      <c r="B31" s="180" t="inlineStr">
        <is>
          <t>⛪ Church / worship</t>
        </is>
      </c>
      <c r="C31" s="190" t="inlineStr">
        <is>
          <t>SPIRIT</t>
        </is>
      </c>
      <c r="D31" s="182" t="inlineStr">
        <is>
          <t>1× / wk</t>
        </is>
      </c>
      <c r="E31" s="183" t="n"/>
      <c r="F31" s="183" t="n"/>
      <c r="G31" s="183" t="n"/>
      <c r="H31" s="183" t="n"/>
      <c r="I31" s="183" t="n"/>
      <c r="J31" s="183" t="n"/>
      <c r="K31" s="183" t="n"/>
      <c r="L31" s="184" t="n"/>
      <c r="M31" s="184" t="n"/>
      <c r="N31" s="184" t="n"/>
      <c r="O31" s="184" t="n"/>
      <c r="P31" s="184" t="n"/>
      <c r="Q31" s="184" t="n"/>
      <c r="R31" s="184" t="n"/>
      <c r="S31" s="185" t="n"/>
      <c r="T31" s="185" t="n"/>
      <c r="U31" s="185" t="n"/>
      <c r="V31" s="185" t="n"/>
      <c r="W31" s="185" t="n"/>
      <c r="X31" s="185" t="n"/>
      <c r="Y31" s="185" t="n"/>
      <c r="Z31" s="186" t="n"/>
      <c r="AA31" s="186" t="n"/>
      <c r="AB31" s="186" t="n"/>
      <c r="AC31" s="186" t="n"/>
      <c r="AD31" s="186" t="n"/>
      <c r="AE31" s="186" t="n"/>
      <c r="AF31" s="186" t="n"/>
      <c r="AG31" s="187" t="n"/>
      <c r="AH31" s="187" t="n"/>
      <c r="AI31" s="187" t="n"/>
      <c r="AJ31" s="1" t="n"/>
      <c r="AK31" s="72">
        <f>COUNTIF(E31:AI31,TRUE)+COUNTIF(E31:AI31,"x")</f>
        <v/>
      </c>
      <c r="AL31" s="188">
        <f>ROUND($AP$9*1/7,0)</f>
        <v/>
      </c>
      <c r="AM31" s="59">
        <f>IF(ISNUMBER(AN31),REPT("█",ROUND(MAX(0,MIN(1,AN31))*10,0))&amp;REPT("░",10-ROUND(MAX(0,MIN(1,AN31))*10,0)),"")</f>
        <v/>
      </c>
      <c r="AN31" s="189">
        <f>IF(N(AL31)=0,"",MIN(1,AK31/AL31))</f>
        <v/>
      </c>
      <c r="AO31" s="1" t="n"/>
    </row>
    <row r="32" ht="16" customHeight="1">
      <c r="A32" s="1" t="n"/>
      <c r="B32" s="180" t="inlineStr">
        <is>
          <t>🍱 Meal prep</t>
        </is>
      </c>
      <c r="C32" s="199" t="inlineStr">
        <is>
          <t>LIFE ADMIN</t>
        </is>
      </c>
      <c r="D32" s="182" t="inlineStr">
        <is>
          <t>1× / wk</t>
        </is>
      </c>
      <c r="E32" s="183" t="n"/>
      <c r="F32" s="183" t="n"/>
      <c r="G32" s="183" t="n"/>
      <c r="H32" s="183" t="n"/>
      <c r="I32" s="183" t="n"/>
      <c r="J32" s="183" t="n"/>
      <c r="K32" s="183" t="n"/>
      <c r="L32" s="184" t="n"/>
      <c r="M32" s="184" t="n"/>
      <c r="N32" s="184" t="n"/>
      <c r="O32" s="184" t="n"/>
      <c r="P32" s="184" t="n"/>
      <c r="Q32" s="184" t="n"/>
      <c r="R32" s="184" t="n"/>
      <c r="S32" s="185" t="n"/>
      <c r="T32" s="185" t="n"/>
      <c r="U32" s="185" t="n"/>
      <c r="V32" s="185" t="n"/>
      <c r="W32" s="185" t="n"/>
      <c r="X32" s="185" t="n"/>
      <c r="Y32" s="185" t="n"/>
      <c r="Z32" s="186" t="n"/>
      <c r="AA32" s="186" t="n"/>
      <c r="AB32" s="186" t="n"/>
      <c r="AC32" s="186" t="n"/>
      <c r="AD32" s="186" t="n"/>
      <c r="AE32" s="186" t="n"/>
      <c r="AF32" s="186" t="n"/>
      <c r="AG32" s="187" t="n"/>
      <c r="AH32" s="187" t="n"/>
      <c r="AI32" s="187" t="n"/>
      <c r="AJ32" s="1" t="n"/>
      <c r="AK32" s="72">
        <f>COUNTIF(E32:AI32,TRUE)+COUNTIF(E32:AI32,"x")</f>
        <v/>
      </c>
      <c r="AL32" s="188">
        <f>ROUND($AP$9*1/7,0)</f>
        <v/>
      </c>
      <c r="AM32" s="59">
        <f>IF(ISNUMBER(AN32),REPT("█",ROUND(MAX(0,MIN(1,AN32))*10,0))&amp;REPT("░",10-ROUND(MAX(0,MIN(1,AN32))*10,0)),"")</f>
        <v/>
      </c>
      <c r="AN32" s="189">
        <f>IF(N(AL32)=0,"",MIN(1,AK32/AL32))</f>
        <v/>
      </c>
      <c r="AO32" s="1" t="n"/>
    </row>
    <row r="33" ht="13" customHeight="1">
      <c r="A33" s="1" t="n"/>
      <c r="B33" s="200" t="inlineStr">
        <is>
          <t>LEVEL 3 · OPTIONAL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1" t="n"/>
      <c r="Z33" s="201" t="n"/>
      <c r="AA33" s="201" t="n"/>
      <c r="AB33" s="201" t="n"/>
      <c r="AC33" s="201" t="n"/>
      <c r="AD33" s="201" t="n"/>
      <c r="AE33" s="201" t="n"/>
      <c r="AF33" s="201" t="n"/>
      <c r="AG33" s="201" t="n"/>
      <c r="AH33" s="201" t="n"/>
      <c r="AI33" s="201" t="n"/>
      <c r="AJ33" s="1" t="n"/>
      <c r="AK33" s="202" t="inlineStr">
        <is>
          <t>bonus, never guilt</t>
        </is>
      </c>
      <c r="AO33" s="1" t="n"/>
    </row>
    <row r="34" ht="16" customHeight="1">
      <c r="A34" s="1" t="n"/>
      <c r="B34" s="180" t="inlineStr">
        <is>
          <t>🕊️ Meditation / journal</t>
        </is>
      </c>
      <c r="C34" s="195" t="inlineStr">
        <is>
          <t>MIND</t>
        </is>
      </c>
      <c r="D34" s="182" t="inlineStr">
        <is>
          <t>Optional</t>
        </is>
      </c>
      <c r="E34" s="183" t="n"/>
      <c r="F34" s="183" t="n"/>
      <c r="G34" s="183" t="n"/>
      <c r="H34" s="183" t="n"/>
      <c r="I34" s="183" t="n"/>
      <c r="J34" s="183" t="n"/>
      <c r="K34" s="183" t="n"/>
      <c r="L34" s="184" t="n"/>
      <c r="M34" s="184" t="n"/>
      <c r="N34" s="184" t="n"/>
      <c r="O34" s="184" t="n"/>
      <c r="P34" s="184" t="n"/>
      <c r="Q34" s="184" t="n"/>
      <c r="R34" s="184" t="n"/>
      <c r="S34" s="185" t="n"/>
      <c r="T34" s="185" t="n"/>
      <c r="U34" s="185" t="n"/>
      <c r="V34" s="185" t="n"/>
      <c r="W34" s="185" t="n"/>
      <c r="X34" s="185" t="n"/>
      <c r="Y34" s="185" t="n"/>
      <c r="Z34" s="186" t="n"/>
      <c r="AA34" s="186" t="n"/>
      <c r="AB34" s="186" t="n"/>
      <c r="AC34" s="186" t="n"/>
      <c r="AD34" s="186" t="n"/>
      <c r="AE34" s="186" t="n"/>
      <c r="AF34" s="186" t="n"/>
      <c r="AG34" s="187" t="n"/>
      <c r="AH34" s="187" t="n"/>
      <c r="AI34" s="187" t="n"/>
      <c r="AJ34" s="1" t="n"/>
      <c r="AK34" s="72">
        <f>COUNTIF(E34:AI34,TRUE)+COUNTIF(E34:AI34,"x")</f>
        <v/>
      </c>
      <c r="AL34" s="203" t="inlineStr">
        <is>
          <t>—</t>
        </is>
      </c>
      <c r="AM34" s="204">
        <f>IF(AK34=0,"",AK34&amp;" × bonus")</f>
        <v/>
      </c>
      <c r="AN34" s="205" t="n"/>
      <c r="AO34" s="1" t="n"/>
    </row>
    <row r="35" ht="16" customHeight="1">
      <c r="A35" s="1" t="n"/>
      <c r="B35" s="180" t="inlineStr">
        <is>
          <t>➕ Extra walk / cardio</t>
        </is>
      </c>
      <c r="C35" s="192" t="inlineStr">
        <is>
          <t>BODY</t>
        </is>
      </c>
      <c r="D35" s="182" t="inlineStr">
        <is>
          <t>Optional</t>
        </is>
      </c>
      <c r="E35" s="183" t="n"/>
      <c r="F35" s="183" t="n"/>
      <c r="G35" s="183" t="n"/>
      <c r="H35" s="183" t="n"/>
      <c r="I35" s="183" t="n"/>
      <c r="J35" s="183" t="n"/>
      <c r="K35" s="183" t="n"/>
      <c r="L35" s="184" t="n"/>
      <c r="M35" s="184" t="n"/>
      <c r="N35" s="184" t="n"/>
      <c r="O35" s="184" t="n"/>
      <c r="P35" s="184" t="n"/>
      <c r="Q35" s="184" t="n"/>
      <c r="R35" s="184" t="n"/>
      <c r="S35" s="185" t="n"/>
      <c r="T35" s="185" t="n"/>
      <c r="U35" s="185" t="n"/>
      <c r="V35" s="185" t="n"/>
      <c r="W35" s="185" t="n"/>
      <c r="X35" s="185" t="n"/>
      <c r="Y35" s="185" t="n"/>
      <c r="Z35" s="186" t="n"/>
      <c r="AA35" s="186" t="n"/>
      <c r="AB35" s="186" t="n"/>
      <c r="AC35" s="186" t="n"/>
      <c r="AD35" s="186" t="n"/>
      <c r="AE35" s="186" t="n"/>
      <c r="AF35" s="186" t="n"/>
      <c r="AG35" s="187" t="n"/>
      <c r="AH35" s="187" t="n"/>
      <c r="AI35" s="187" t="n"/>
      <c r="AJ35" s="1" t="n"/>
      <c r="AK35" s="72">
        <f>COUNTIF(E35:AI35,TRUE)+COUNTIF(E35:AI35,"x")</f>
        <v/>
      </c>
      <c r="AL35" s="203" t="inlineStr">
        <is>
          <t>—</t>
        </is>
      </c>
      <c r="AM35" s="204">
        <f>IF(AK35=0,"",AK35&amp;" × bonus")</f>
        <v/>
      </c>
      <c r="AN35" s="205" t="n"/>
      <c r="AO35" s="1" t="n"/>
    </row>
    <row r="36" ht="16" customHeight="1">
      <c r="A36" s="1" t="n"/>
      <c r="B36" s="180" t="inlineStr">
        <is>
          <t>➕ Extra mobility</t>
        </is>
      </c>
      <c r="C36" s="191" t="inlineStr">
        <is>
          <t>POSTURE</t>
        </is>
      </c>
      <c r="D36" s="182" t="inlineStr">
        <is>
          <t>Optional</t>
        </is>
      </c>
      <c r="E36" s="183" t="n"/>
      <c r="F36" s="183" t="n"/>
      <c r="G36" s="183" t="n"/>
      <c r="H36" s="183" t="n"/>
      <c r="I36" s="183" t="n"/>
      <c r="J36" s="183" t="n"/>
      <c r="K36" s="183" t="n"/>
      <c r="L36" s="184" t="n"/>
      <c r="M36" s="184" t="n"/>
      <c r="N36" s="184" t="n"/>
      <c r="O36" s="184" t="n"/>
      <c r="P36" s="184" t="n"/>
      <c r="Q36" s="184" t="n"/>
      <c r="R36" s="184" t="n"/>
      <c r="S36" s="185" t="n"/>
      <c r="T36" s="185" t="n"/>
      <c r="U36" s="185" t="n"/>
      <c r="V36" s="185" t="n"/>
      <c r="W36" s="185" t="n"/>
      <c r="X36" s="185" t="n"/>
      <c r="Y36" s="185" t="n"/>
      <c r="Z36" s="186" t="n"/>
      <c r="AA36" s="186" t="n"/>
      <c r="AB36" s="186" t="n"/>
      <c r="AC36" s="186" t="n"/>
      <c r="AD36" s="186" t="n"/>
      <c r="AE36" s="186" t="n"/>
      <c r="AF36" s="186" t="n"/>
      <c r="AG36" s="187" t="n"/>
      <c r="AH36" s="187" t="n"/>
      <c r="AI36" s="187" t="n"/>
      <c r="AJ36" s="1" t="n"/>
      <c r="AK36" s="72">
        <f>COUNTIF(E36:AI36,TRUE)+COUNTIF(E36:AI36,"x")</f>
        <v/>
      </c>
      <c r="AL36" s="203" t="inlineStr">
        <is>
          <t>—</t>
        </is>
      </c>
      <c r="AM36" s="204">
        <f>IF(AK36=0,"",AK36&amp;" × bonus")</f>
        <v/>
      </c>
      <c r="AN36" s="205" t="n"/>
      <c r="AO36" s="1" t="n"/>
    </row>
    <row r="37" ht="16" customHeight="1">
      <c r="A37" s="1" t="n"/>
      <c r="B37" s="180" t="inlineStr">
        <is>
          <t>➕ Extra reading</t>
        </is>
      </c>
      <c r="C37" s="195" t="inlineStr">
        <is>
          <t>MIND</t>
        </is>
      </c>
      <c r="D37" s="182" t="inlineStr">
        <is>
          <t>Optional</t>
        </is>
      </c>
      <c r="E37" s="183" t="n"/>
      <c r="F37" s="183" t="n"/>
      <c r="G37" s="183" t="n"/>
      <c r="H37" s="183" t="n"/>
      <c r="I37" s="183" t="n"/>
      <c r="J37" s="183" t="n"/>
      <c r="K37" s="183" t="n"/>
      <c r="L37" s="184" t="n"/>
      <c r="M37" s="184" t="n"/>
      <c r="N37" s="184" t="n"/>
      <c r="O37" s="184" t="n"/>
      <c r="P37" s="184" t="n"/>
      <c r="Q37" s="184" t="n"/>
      <c r="R37" s="184" t="n"/>
      <c r="S37" s="185" t="n"/>
      <c r="T37" s="185" t="n"/>
      <c r="U37" s="185" t="n"/>
      <c r="V37" s="185" t="n"/>
      <c r="W37" s="185" t="n"/>
      <c r="X37" s="185" t="n"/>
      <c r="Y37" s="185" t="n"/>
      <c r="Z37" s="186" t="n"/>
      <c r="AA37" s="186" t="n"/>
      <c r="AB37" s="186" t="n"/>
      <c r="AC37" s="186" t="n"/>
      <c r="AD37" s="186" t="n"/>
      <c r="AE37" s="186" t="n"/>
      <c r="AF37" s="186" t="n"/>
      <c r="AG37" s="187" t="n"/>
      <c r="AH37" s="187" t="n"/>
      <c r="AI37" s="187" t="n"/>
      <c r="AJ37" s="1" t="n"/>
      <c r="AK37" s="72">
        <f>COUNTIF(E37:AI37,TRUE)+COUNTIF(E37:AI37,"x")</f>
        <v/>
      </c>
      <c r="AL37" s="203" t="inlineStr">
        <is>
          <t>—</t>
        </is>
      </c>
      <c r="AM37" s="204">
        <f>IF(AK37=0,"",AK37&amp;" × bonus")</f>
        <v/>
      </c>
      <c r="AN37" s="205" t="n"/>
      <c r="AO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 ht="16" customHeight="1">
      <c r="A39" s="1" t="n"/>
      <c r="B39" s="56" t="inlineStr">
        <is>
          <t>Foundation score</t>
        </is>
      </c>
      <c r="C39" s="182" t="inlineStr">
        <is>
          <t>auto · 9 pillars of the day</t>
        </is>
      </c>
      <c r="E39" s="206">
        <f>Data!BF345</f>
        <v/>
      </c>
      <c r="F39" s="206">
        <f>Data!BF346</f>
        <v/>
      </c>
      <c r="G39" s="206">
        <f>Data!BF347</f>
        <v/>
      </c>
      <c r="H39" s="206">
        <f>Data!BF348</f>
        <v/>
      </c>
      <c r="I39" s="206">
        <f>Data!BF349</f>
        <v/>
      </c>
      <c r="J39" s="206">
        <f>Data!BF350</f>
        <v/>
      </c>
      <c r="K39" s="206">
        <f>Data!BF351</f>
        <v/>
      </c>
      <c r="L39" s="206">
        <f>Data!BF352</f>
        <v/>
      </c>
      <c r="M39" s="206">
        <f>Data!BF353</f>
        <v/>
      </c>
      <c r="N39" s="206">
        <f>Data!BF354</f>
        <v/>
      </c>
      <c r="O39" s="206">
        <f>Data!BF355</f>
        <v/>
      </c>
      <c r="P39" s="206">
        <f>Data!BF356</f>
        <v/>
      </c>
      <c r="Q39" s="206">
        <f>Data!BF357</f>
        <v/>
      </c>
      <c r="R39" s="206">
        <f>Data!BF358</f>
        <v/>
      </c>
      <c r="S39" s="206">
        <f>Data!BF359</f>
        <v/>
      </c>
      <c r="T39" s="206">
        <f>Data!BF360</f>
        <v/>
      </c>
      <c r="U39" s="206">
        <f>Data!BF361</f>
        <v/>
      </c>
      <c r="V39" s="206">
        <f>Data!BF362</f>
        <v/>
      </c>
      <c r="W39" s="206">
        <f>Data!BF363</f>
        <v/>
      </c>
      <c r="X39" s="206">
        <f>Data!BF364</f>
        <v/>
      </c>
      <c r="Y39" s="206">
        <f>Data!BF365</f>
        <v/>
      </c>
      <c r="Z39" s="206">
        <f>Data!BF366</f>
        <v/>
      </c>
      <c r="AA39" s="206">
        <f>Data!BF367</f>
        <v/>
      </c>
      <c r="AB39" s="206">
        <f>Data!BF368</f>
        <v/>
      </c>
      <c r="AC39" s="206">
        <f>Data!BF369</f>
        <v/>
      </c>
      <c r="AD39" s="206">
        <f>Data!BF370</f>
        <v/>
      </c>
      <c r="AE39" s="206">
        <f>Data!BF371</f>
        <v/>
      </c>
      <c r="AF39" s="206">
        <f>Data!BF372</f>
        <v/>
      </c>
      <c r="AG39" s="206">
        <f>Data!BF373</f>
        <v/>
      </c>
      <c r="AH39" s="206">
        <f>Data!BF374</f>
        <v/>
      </c>
      <c r="AI39" s="206">
        <f>Data!BF375</f>
        <v/>
      </c>
      <c r="AJ39" s="1" t="n"/>
      <c r="AK39" s="189">
        <f>IFERROR(AVERAGE(E39:AI39),"")</f>
        <v/>
      </c>
      <c r="AL39" s="204" t="inlineStr">
        <is>
          <t>avg</t>
        </is>
      </c>
      <c r="AM39" s="57">
        <f>IF(ISNUMBER(AN39),REPT("█",ROUND(MAX(0,MIN(1,AN39))*10,0))&amp;REPT("░",10-ROUND(MAX(0,MIN(1,AN39))*10,0)),"")</f>
        <v/>
      </c>
      <c r="AN39" s="189">
        <f>AK39</f>
        <v/>
      </c>
      <c r="AO39" s="1" t="n"/>
    </row>
    <row r="40" ht="16" customHeight="1">
      <c r="A40" s="1" t="n"/>
      <c r="B40" s="180" t="inlineStr">
        <is>
          <t>Non-negotiables done</t>
        </is>
      </c>
      <c r="C40" s="182" t="inlineStr">
        <is>
          <t>of 9 (8 on non-work days)</t>
        </is>
      </c>
      <c r="E40" s="207">
        <f>IF(Data!BF345="","",Data!BJ345)</f>
        <v/>
      </c>
      <c r="F40" s="207">
        <f>IF(Data!BF346="","",Data!BJ346)</f>
        <v/>
      </c>
      <c r="G40" s="207">
        <f>IF(Data!BF347="","",Data!BJ347)</f>
        <v/>
      </c>
      <c r="H40" s="207">
        <f>IF(Data!BF348="","",Data!BJ348)</f>
        <v/>
      </c>
      <c r="I40" s="207">
        <f>IF(Data!BF349="","",Data!BJ349)</f>
        <v/>
      </c>
      <c r="J40" s="207">
        <f>IF(Data!BF350="","",Data!BJ350)</f>
        <v/>
      </c>
      <c r="K40" s="207">
        <f>IF(Data!BF351="","",Data!BJ351)</f>
        <v/>
      </c>
      <c r="L40" s="207">
        <f>IF(Data!BF352="","",Data!BJ352)</f>
        <v/>
      </c>
      <c r="M40" s="207">
        <f>IF(Data!BF353="","",Data!BJ353)</f>
        <v/>
      </c>
      <c r="N40" s="207">
        <f>IF(Data!BF354="","",Data!BJ354)</f>
        <v/>
      </c>
      <c r="O40" s="207">
        <f>IF(Data!BF355="","",Data!BJ355)</f>
        <v/>
      </c>
      <c r="P40" s="207">
        <f>IF(Data!BF356="","",Data!BJ356)</f>
        <v/>
      </c>
      <c r="Q40" s="207">
        <f>IF(Data!BF357="","",Data!BJ357)</f>
        <v/>
      </c>
      <c r="R40" s="207">
        <f>IF(Data!BF358="","",Data!BJ358)</f>
        <v/>
      </c>
      <c r="S40" s="207">
        <f>IF(Data!BF359="","",Data!BJ359)</f>
        <v/>
      </c>
      <c r="T40" s="207">
        <f>IF(Data!BF360="","",Data!BJ360)</f>
        <v/>
      </c>
      <c r="U40" s="207">
        <f>IF(Data!BF361="","",Data!BJ361)</f>
        <v/>
      </c>
      <c r="V40" s="207">
        <f>IF(Data!BF362="","",Data!BJ362)</f>
        <v/>
      </c>
      <c r="W40" s="207">
        <f>IF(Data!BF363="","",Data!BJ363)</f>
        <v/>
      </c>
      <c r="X40" s="207">
        <f>IF(Data!BF364="","",Data!BJ364)</f>
        <v/>
      </c>
      <c r="Y40" s="207">
        <f>IF(Data!BF365="","",Data!BJ365)</f>
        <v/>
      </c>
      <c r="Z40" s="207">
        <f>IF(Data!BF366="","",Data!BJ366)</f>
        <v/>
      </c>
      <c r="AA40" s="207">
        <f>IF(Data!BF367="","",Data!BJ367)</f>
        <v/>
      </c>
      <c r="AB40" s="207">
        <f>IF(Data!BF368="","",Data!BJ368)</f>
        <v/>
      </c>
      <c r="AC40" s="207">
        <f>IF(Data!BF369="","",Data!BJ369)</f>
        <v/>
      </c>
      <c r="AD40" s="207">
        <f>IF(Data!BF370="","",Data!BJ370)</f>
        <v/>
      </c>
      <c r="AE40" s="207">
        <f>IF(Data!BF371="","",Data!BJ371)</f>
        <v/>
      </c>
      <c r="AF40" s="207">
        <f>IF(Data!BF372="","",Data!BJ372)</f>
        <v/>
      </c>
      <c r="AG40" s="207">
        <f>IF(Data!BF373="","",Data!BJ373)</f>
        <v/>
      </c>
      <c r="AH40" s="207">
        <f>IF(Data!BF374="","",Data!BJ374)</f>
        <v/>
      </c>
      <c r="AI40" s="207">
        <f>IF(Data!BF375="","",Data!BJ375)</f>
        <v/>
      </c>
      <c r="AJ40" s="1" t="n"/>
      <c r="AK40" s="9" t="n"/>
      <c r="AL40" s="9" t="n"/>
      <c r="AM40" s="9" t="n"/>
      <c r="AN40" s="9" t="n"/>
      <c r="AO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 ht="16" customHeight="1">
      <c r="A42" s="1" t="n"/>
      <c r="B42" s="41" t="inlineStr">
        <is>
          <t>DAILY FOUNDATION SCORE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1" t="n"/>
      <c r="AK42" s="72" t="inlineStr">
        <is>
          <t>WEEKLY AVERAGE</t>
        </is>
      </c>
      <c r="AO42" s="1" t="n"/>
    </row>
    <row r="43" ht="16" customHeight="1">
      <c r="A43" s="1" t="n"/>
      <c r="B43" s="208" t="inlineStr">
        <is>
          <t>One number for the day, built from 9 things:
Sleep · Movement · Protein · Water · Steps · Prayer · Top 3 (work days) · Fiancée · Read/learn
M days are scored on the Minimum Viable Day.
S days are paused — no score, no guilt.
◆ = part of the Minimum Viable Day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1" t="n"/>
      <c r="AK43" s="9" t="n"/>
      <c r="AL43" s="9" t="n"/>
      <c r="AM43" s="9" t="n"/>
      <c r="AN43" s="9" t="n"/>
      <c r="AO43" s="1" t="n"/>
    </row>
    <row r="44" ht="16" customHeight="1">
      <c r="A44" s="1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1" t="n"/>
      <c r="AK44" s="209" t="inlineStr">
        <is>
          <t>Week 1</t>
        </is>
      </c>
      <c r="AM44" s="67">
        <f>IF(ISNUMBER(AN44),REPT("█",ROUND(MAX(0,MIN(1,AN44))*10,0))&amp;REPT("░",10-ROUND(MAX(0,MIN(1,AN44))*10,0)),"")</f>
        <v/>
      </c>
      <c r="AN44" s="189">
        <f>IFERROR(AVERAGE(E39:K39),"")</f>
        <v/>
      </c>
      <c r="AO44" s="1" t="n"/>
    </row>
    <row r="45" ht="16" customHeight="1">
      <c r="A45" s="1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1" t="n"/>
      <c r="AK45" s="9" t="n"/>
      <c r="AL45" s="9" t="n"/>
      <c r="AM45" s="9" t="n"/>
      <c r="AN45" s="9" t="n"/>
      <c r="AO45" s="1" t="n"/>
    </row>
    <row r="46" ht="16" customHeight="1">
      <c r="A46" s="1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1" t="n"/>
      <c r="AK46" s="210" t="inlineStr">
        <is>
          <t>Week 2</t>
        </is>
      </c>
      <c r="AM46" s="63">
        <f>IF(ISNUMBER(AN46),REPT("█",ROUND(MAX(0,MIN(1,AN46))*10,0))&amp;REPT("░",10-ROUND(MAX(0,MIN(1,AN46))*10,0)),"")</f>
        <v/>
      </c>
      <c r="AN46" s="189">
        <f>IFERROR(AVERAGE(L39:R39),"")</f>
        <v/>
      </c>
      <c r="AO46" s="1" t="n"/>
    </row>
    <row r="47" ht="16" customHeight="1">
      <c r="A47" s="1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1" t="n"/>
      <c r="AK47" s="9" t="n"/>
      <c r="AL47" s="9" t="n"/>
      <c r="AM47" s="9" t="n"/>
      <c r="AN47" s="9" t="n"/>
      <c r="AO47" s="1" t="n"/>
    </row>
    <row r="48" ht="16" customHeight="1">
      <c r="A48" s="1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" t="n"/>
      <c r="AK48" s="211" t="inlineStr">
        <is>
          <t>Week 3</t>
        </is>
      </c>
      <c r="AM48" s="59">
        <f>IF(ISNUMBER(AN48),REPT("█",ROUND(MAX(0,MIN(1,AN48))*10,0))&amp;REPT("░",10-ROUND(MAX(0,MIN(1,AN48))*10,0)),"")</f>
        <v/>
      </c>
      <c r="AN48" s="189">
        <f>IFERROR(AVERAGE(S39:Y39),"")</f>
        <v/>
      </c>
      <c r="AO48" s="1" t="n"/>
    </row>
    <row r="49" ht="16" customHeight="1">
      <c r="A49" s="1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1" t="n"/>
      <c r="AK49" s="9" t="n"/>
      <c r="AL49" s="9" t="n"/>
      <c r="AM49" s="9" t="n"/>
      <c r="AN49" s="9" t="n"/>
      <c r="AO49" s="1" t="n"/>
    </row>
    <row r="50" ht="16" customHeight="1">
      <c r="A50" s="1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1" t="n"/>
      <c r="AK50" s="126" t="inlineStr">
        <is>
          <t>Week 4</t>
        </is>
      </c>
      <c r="AM50" s="54">
        <f>IF(ISNUMBER(AN50),REPT("█",ROUND(MAX(0,MIN(1,AN50))*10,0))&amp;REPT("░",10-ROUND(MAX(0,MIN(1,AN50))*10,0)),"")</f>
        <v/>
      </c>
      <c r="AN50" s="189">
        <f>IFERROR(AVERAGE(Z39:AF39),"")</f>
        <v/>
      </c>
      <c r="AO50" s="1" t="n"/>
    </row>
    <row r="51" ht="16" customHeight="1">
      <c r="A51" s="1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" t="n"/>
      <c r="AK51" s="9" t="n"/>
      <c r="AL51" s="9" t="n"/>
      <c r="AM51" s="9" t="n"/>
      <c r="AN51" s="9" t="n"/>
      <c r="AO51" s="1" t="n"/>
    </row>
    <row r="52" ht="16" customHeight="1">
      <c r="A52" s="1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" t="n"/>
      <c r="AK52" s="125" t="inlineStr">
        <is>
          <t>Week 5</t>
        </is>
      </c>
      <c r="AM52" s="212">
        <f>IF(ISNUMBER(AN52),REPT("█",ROUND(MAX(0,MIN(1,AN52))*10,0))&amp;REPT("░",10-ROUND(MAX(0,MIN(1,AN52))*10,0)),"")</f>
        <v/>
      </c>
      <c r="AN52" s="189">
        <f>IFERROR(AVERAGE(AG39:AI39),"")</f>
        <v/>
      </c>
      <c r="AO52" s="1" t="n"/>
    </row>
    <row r="53" ht="16" customHeight="1">
      <c r="A53" s="1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1" t="n"/>
      <c r="AK53" s="9" t="n"/>
      <c r="AL53" s="9" t="n"/>
      <c r="AM53" s="9" t="n"/>
      <c r="AN53" s="9" t="n"/>
      <c r="AO53" s="1" t="n"/>
    </row>
    <row r="54" ht="16" customHeight="1">
      <c r="A54" s="1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1" t="n"/>
      <c r="AK54" s="9" t="n"/>
      <c r="AL54" s="9" t="n"/>
      <c r="AM54" s="9" t="n"/>
      <c r="AN54" s="9" t="n"/>
      <c r="AO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 ht="16" customHeight="1">
      <c r="A56" s="1" t="n"/>
      <c r="B56" s="152" t="inlineStr">
        <is>
          <t>BODY &amp; MIND</t>
        </is>
      </c>
      <c r="E56" s="153" t="inlineStr">
        <is>
          <t>Week 1</t>
        </is>
      </c>
      <c r="L56" s="154" t="inlineStr">
        <is>
          <t>Week 2</t>
        </is>
      </c>
      <c r="S56" s="155" t="inlineStr">
        <is>
          <t>Week 3</t>
        </is>
      </c>
      <c r="Z56" s="156" t="inlineStr">
        <is>
          <t>Week 4</t>
        </is>
      </c>
      <c r="AG56" s="157" t="inlineStr">
        <is>
          <t>Week 5</t>
        </is>
      </c>
      <c r="AJ56" s="1" t="n"/>
      <c r="AK56" s="158" t="inlineStr">
        <is>
          <t>ANALYSIS</t>
        </is>
      </c>
      <c r="AO56" s="1" t="n"/>
    </row>
    <row r="57" ht="16" customHeight="1">
      <c r="A57" s="1" t="n"/>
      <c r="B57" s="39" t="inlineStr">
        <is>
          <t>Log the numbers you have. Blank is fine.</t>
        </is>
      </c>
      <c r="E57" s="159">
        <f>E6</f>
        <v/>
      </c>
      <c r="F57" s="159">
        <f>F6</f>
        <v/>
      </c>
      <c r="G57" s="159">
        <f>G6</f>
        <v/>
      </c>
      <c r="H57" s="159">
        <f>H6</f>
        <v/>
      </c>
      <c r="I57" s="159">
        <f>I6</f>
        <v/>
      </c>
      <c r="J57" s="159">
        <f>J6</f>
        <v/>
      </c>
      <c r="K57" s="159">
        <f>K6</f>
        <v/>
      </c>
      <c r="L57" s="160">
        <f>L6</f>
        <v/>
      </c>
      <c r="M57" s="160">
        <f>M6</f>
        <v/>
      </c>
      <c r="N57" s="160">
        <f>N6</f>
        <v/>
      </c>
      <c r="O57" s="160">
        <f>O6</f>
        <v/>
      </c>
      <c r="P57" s="160">
        <f>P6</f>
        <v/>
      </c>
      <c r="Q57" s="160">
        <f>Q6</f>
        <v/>
      </c>
      <c r="R57" s="160">
        <f>R6</f>
        <v/>
      </c>
      <c r="S57" s="161">
        <f>S6</f>
        <v/>
      </c>
      <c r="T57" s="161">
        <f>T6</f>
        <v/>
      </c>
      <c r="U57" s="161">
        <f>U6</f>
        <v/>
      </c>
      <c r="V57" s="161">
        <f>V6</f>
        <v/>
      </c>
      <c r="W57" s="161">
        <f>W6</f>
        <v/>
      </c>
      <c r="X57" s="161">
        <f>X6</f>
        <v/>
      </c>
      <c r="Y57" s="161">
        <f>Y6</f>
        <v/>
      </c>
      <c r="Z57" s="162">
        <f>Z6</f>
        <v/>
      </c>
      <c r="AA57" s="162">
        <f>AA6</f>
        <v/>
      </c>
      <c r="AB57" s="162">
        <f>AB6</f>
        <v/>
      </c>
      <c r="AC57" s="162">
        <f>AC6</f>
        <v/>
      </c>
      <c r="AD57" s="162">
        <f>AD6</f>
        <v/>
      </c>
      <c r="AE57" s="162">
        <f>AE6</f>
        <v/>
      </c>
      <c r="AF57" s="162">
        <f>AF6</f>
        <v/>
      </c>
      <c r="AG57" s="163">
        <f>AG6</f>
        <v/>
      </c>
      <c r="AH57" s="163">
        <f>AH6</f>
        <v/>
      </c>
      <c r="AI57" s="163">
        <f>AI6</f>
        <v/>
      </c>
      <c r="AJ57" s="1" t="n"/>
      <c r="AK57" s="164" t="inlineStr">
        <is>
          <t>Avg</t>
        </is>
      </c>
      <c r="AL57" s="164" t="inlineStr">
        <is>
          <t>Target</t>
        </is>
      </c>
      <c r="AM57" s="164" t="inlineStr">
        <is>
          <t>Progress</t>
        </is>
      </c>
      <c r="AN57" s="164" t="inlineStr">
        <is>
          <t>Hit %</t>
        </is>
      </c>
      <c r="AO57" s="1" t="n"/>
    </row>
    <row r="58" ht="16" customHeight="1">
      <c r="A58" s="1" t="n"/>
      <c r="B58" s="165" t="inlineStr">
        <is>
          <t>Metric</t>
        </is>
      </c>
      <c r="C58" s="166" t="inlineStr">
        <is>
          <t>Unit</t>
        </is>
      </c>
      <c r="D58" s="166" t="inlineStr">
        <is>
          <t>Target</t>
        </is>
      </c>
      <c r="E58" s="167">
        <f>E7</f>
        <v/>
      </c>
      <c r="F58" s="167">
        <f>F7</f>
        <v/>
      </c>
      <c r="G58" s="167">
        <f>G7</f>
        <v/>
      </c>
      <c r="H58" s="167">
        <f>H7</f>
        <v/>
      </c>
      <c r="I58" s="167">
        <f>I7</f>
        <v/>
      </c>
      <c r="J58" s="167">
        <f>J7</f>
        <v/>
      </c>
      <c r="K58" s="167">
        <f>K7</f>
        <v/>
      </c>
      <c r="L58" s="168">
        <f>L7</f>
        <v/>
      </c>
      <c r="M58" s="168">
        <f>M7</f>
        <v/>
      </c>
      <c r="N58" s="168">
        <f>N7</f>
        <v/>
      </c>
      <c r="O58" s="168">
        <f>O7</f>
        <v/>
      </c>
      <c r="P58" s="168">
        <f>P7</f>
        <v/>
      </c>
      <c r="Q58" s="168">
        <f>Q7</f>
        <v/>
      </c>
      <c r="R58" s="168">
        <f>R7</f>
        <v/>
      </c>
      <c r="S58" s="169">
        <f>S7</f>
        <v/>
      </c>
      <c r="T58" s="169">
        <f>T7</f>
        <v/>
      </c>
      <c r="U58" s="169">
        <f>U7</f>
        <v/>
      </c>
      <c r="V58" s="169">
        <f>V7</f>
        <v/>
      </c>
      <c r="W58" s="169">
        <f>W7</f>
        <v/>
      </c>
      <c r="X58" s="169">
        <f>X7</f>
        <v/>
      </c>
      <c r="Y58" s="169">
        <f>Y7</f>
        <v/>
      </c>
      <c r="Z58" s="170">
        <f>Z7</f>
        <v/>
      </c>
      <c r="AA58" s="170">
        <f>AA7</f>
        <v/>
      </c>
      <c r="AB58" s="170">
        <f>AB7</f>
        <v/>
      </c>
      <c r="AC58" s="170">
        <f>AC7</f>
        <v/>
      </c>
      <c r="AD58" s="170">
        <f>AD7</f>
        <v/>
      </c>
      <c r="AE58" s="170">
        <f>AE7</f>
        <v/>
      </c>
      <c r="AF58" s="170">
        <f>AF7</f>
        <v/>
      </c>
      <c r="AG58" s="171">
        <f>AG7</f>
        <v/>
      </c>
      <c r="AH58" s="171">
        <f>AH7</f>
        <v/>
      </c>
      <c r="AI58" s="171">
        <f>AI7</f>
        <v/>
      </c>
      <c r="AJ58" s="1" t="n"/>
      <c r="AK58" s="172" t="inlineStr">
        <is>
          <t>hit % = days on target ÷ days logged</t>
        </is>
      </c>
      <c r="AO58" s="1" t="n"/>
    </row>
    <row r="59" ht="16" customHeight="1">
      <c r="A59" s="1" t="n"/>
      <c r="B59" s="180" t="inlineStr">
        <is>
          <t>⚖️ Weight</t>
        </is>
      </c>
      <c r="C59" s="182" t="inlineStr">
        <is>
          <t>kg</t>
        </is>
      </c>
      <c r="D59" s="182" t="inlineStr">
        <is>
          <t>AM, 7-day avg</t>
        </is>
      </c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1" t="n"/>
      <c r="AK59" s="214">
        <f>IF($AP$11=0,"",INDEX(Data!$BI$4:$BI$375,MATCH($AP$11,Data!$A$4:$A$375,0)))</f>
        <v/>
      </c>
      <c r="AL59" s="204" t="inlineStr">
        <is>
          <t>7d avg</t>
        </is>
      </c>
      <c r="AM59" s="215">
        <f>IF($AP$11=0,"",IFERROR("Δ month "&amp;TEXT(AK59-INDEX(Data!$BI$4:$BI$375,MATCH($AP$12,Data!$A$4:$A$375,0)),"+0.0;-0.0")&amp;" kg",""))</f>
        <v/>
      </c>
      <c r="AO59" s="1" t="n"/>
    </row>
    <row r="60" ht="16" customHeight="1">
      <c r="A60" s="1" t="n"/>
      <c r="B60" s="180" t="inlineStr">
        <is>
          <t>👣 Steps</t>
        </is>
      </c>
      <c r="C60" s="182" t="inlineStr">
        <is>
          <t>steps</t>
        </is>
      </c>
      <c r="D60" s="182" t="inlineStr">
        <is>
          <t>adaptive</t>
        </is>
      </c>
      <c r="E60" s="216" t="n"/>
      <c r="F60" s="216" t="n"/>
      <c r="G60" s="216" t="n"/>
      <c r="H60" s="216" t="n"/>
      <c r="I60" s="216" t="n"/>
      <c r="J60" s="216" t="n"/>
      <c r="K60" s="216" t="n"/>
      <c r="L60" s="216" t="n"/>
      <c r="M60" s="216" t="n"/>
      <c r="N60" s="216" t="n"/>
      <c r="O60" s="216" t="n"/>
      <c r="P60" s="216" t="n"/>
      <c r="Q60" s="216" t="n"/>
      <c r="R60" s="216" t="n"/>
      <c r="S60" s="216" t="n"/>
      <c r="T60" s="216" t="n"/>
      <c r="U60" s="216" t="n"/>
      <c r="V60" s="216" t="n"/>
      <c r="W60" s="216" t="n"/>
      <c r="X60" s="216" t="n"/>
      <c r="Y60" s="216" t="n"/>
      <c r="Z60" s="216" t="n"/>
      <c r="AA60" s="216" t="n"/>
      <c r="AB60" s="216" t="n"/>
      <c r="AC60" s="216" t="n"/>
      <c r="AD60" s="216" t="n"/>
      <c r="AE60" s="216" t="n"/>
      <c r="AF60" s="216" t="n"/>
      <c r="AG60" s="216" t="n"/>
      <c r="AH60" s="216" t="n"/>
      <c r="AI60" s="216" t="n"/>
      <c r="AJ60" s="1" t="n"/>
      <c r="AK60" s="217">
        <f>IFERROR(AVERAGE(E60:AI60),"")</f>
        <v/>
      </c>
      <c r="AL60" s="218">
        <f>IFERROR(MAX(E69:AI69)*1000,"")</f>
        <v/>
      </c>
      <c r="AM60" s="59">
        <f>IF(AND(ISNUMBER(AK60),ISNUMBER(AL60)),IF(ISNUMBER(AK60/AL60),REPT("█",ROUND(MAX(0,MIN(1,AK60/AL60))*10,0))&amp;REPT("░",10-ROUND(MAX(0,MIN(1,AK60/AL60))*10,0)),""),"")</f>
        <v/>
      </c>
      <c r="AN60" s="189">
        <f>IFERROR(SUMIFS(Data!$AY$4:$AY$375,Data!$B$4:$B$375,12)/COUNTIFS(Data!$B$4:$B$375,12,Data!$AG$4:$AG$375,"&gt;0"),"")</f>
        <v/>
      </c>
      <c r="AO60" s="1" t="n"/>
    </row>
    <row r="61" ht="16" customHeight="1">
      <c r="A61" s="1" t="n"/>
      <c r="B61" s="180" t="inlineStr">
        <is>
          <t>🍗 Protein</t>
        </is>
      </c>
      <c r="C61" s="182" t="inlineStr">
        <is>
          <t>g</t>
        </is>
      </c>
      <c r="D61" s="182" t="inlineStr">
        <is>
          <t>150 g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1" t="n"/>
      <c r="AK61" s="220">
        <f>IFERROR(AVERAGE(E61:AI61),"")</f>
        <v/>
      </c>
      <c r="AL61" s="221">
        <f>ProtTarget</f>
        <v/>
      </c>
      <c r="AM61" s="59">
        <f>IF(AND(ISNUMBER(AK61),ISNUMBER(AL61)),IF(ISNUMBER(AK61/AL61),REPT("█",ROUND(MAX(0,MIN(1,AK61/AL61))*10,0))&amp;REPT("░",10-ROUND(MAX(0,MIN(1,AK61/AL61))*10,0)),""),"")</f>
        <v/>
      </c>
      <c r="AN61" s="189">
        <f>IFERROR(SUMIFS(Data!$AW$4:$AW$375,Data!$B$4:$B$375,12)/COUNTIFS(Data!$B$4:$B$375,12,Data!$AH$4:$AH$375,"&gt;0"),"")</f>
        <v/>
      </c>
      <c r="AO61" s="1" t="n"/>
    </row>
    <row r="62" ht="16" customHeight="1">
      <c r="A62" s="1" t="n"/>
      <c r="B62" s="180" t="inlineStr">
        <is>
          <t>💧 Water</t>
        </is>
      </c>
      <c r="C62" s="182" t="inlineStr">
        <is>
          <t>L</t>
        </is>
      </c>
      <c r="D62" s="182" t="inlineStr">
        <is>
          <t>2.5–3 L</t>
        </is>
      </c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1" t="n"/>
      <c r="AK62" s="214">
        <f>IFERROR(AVERAGE(E62:AI62),"")</f>
        <v/>
      </c>
      <c r="AL62" s="222">
        <f>WaterHit</f>
        <v/>
      </c>
      <c r="AM62" s="59">
        <f>IF(AND(ISNUMBER(AK62),ISNUMBER(AL62)),IF(ISNUMBER(AK62/AL62),REPT("█",ROUND(MAX(0,MIN(1,AK62/AL62))*10,0))&amp;REPT("░",10-ROUND(MAX(0,MIN(1,AK62/AL62))*10,0)),""),"")</f>
        <v/>
      </c>
      <c r="AN62" s="189">
        <f>IFERROR(SUMIFS(Data!$AX$4:$AX$375,Data!$B$4:$B$375,12)/COUNTIFS(Data!$B$4:$B$375,12,Data!$AI$4:$AI$375,"&gt;0"),"")</f>
        <v/>
      </c>
      <c r="AO62" s="1" t="n"/>
    </row>
    <row r="63" ht="16" customHeight="1">
      <c r="A63" s="1" t="n"/>
      <c r="B63" s="180" t="inlineStr">
        <is>
          <t>🔥 Calories</t>
        </is>
      </c>
      <c r="C63" s="182" t="inlineStr">
        <is>
          <t>kcal</t>
        </is>
      </c>
      <c r="D63" s="182" t="inlineStr">
        <is>
          <t>1.8–2k</t>
        </is>
      </c>
      <c r="E63" s="216" t="n"/>
      <c r="F63" s="216" t="n"/>
      <c r="G63" s="216" t="n"/>
      <c r="H63" s="216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6" t="n"/>
      <c r="V63" s="216" t="n"/>
      <c r="W63" s="216" t="n"/>
      <c r="X63" s="216" t="n"/>
      <c r="Y63" s="216" t="n"/>
      <c r="Z63" s="216" t="n"/>
      <c r="AA63" s="216" t="n"/>
      <c r="AB63" s="216" t="n"/>
      <c r="AC63" s="216" t="n"/>
      <c r="AD63" s="216" t="n"/>
      <c r="AE63" s="216" t="n"/>
      <c r="AF63" s="216" t="n"/>
      <c r="AG63" s="216" t="n"/>
      <c r="AH63" s="216" t="n"/>
      <c r="AI63" s="216" t="n"/>
      <c r="AJ63" s="1" t="n"/>
      <c r="AK63" s="217">
        <f>IFERROR(AVERAGE(E63:AI63),"")</f>
        <v/>
      </c>
      <c r="AL63" s="223">
        <f>TEXT(KcalMin,"#,##0")&amp;"–"&amp;TEXT(KcalMax,"#,##0")</f>
        <v/>
      </c>
      <c r="AM63" s="61">
        <f>IF(ISNUMBER(AN63),REPT("█",ROUND(MAX(0,MIN(1,AN63))*10,0))&amp;REPT("░",10-ROUND(MAX(0,MIN(1,AN63))*10,0)),"")</f>
        <v/>
      </c>
      <c r="AN63" s="189">
        <f>IFERROR(COUNTIFS(E63:AI63,"&gt;="&amp;$AP$7,E63:AI63,"&lt;="&amp;$AP$8)/COUNT(E63:AI63),"")</f>
        <v/>
      </c>
      <c r="AO63" s="1" t="n"/>
    </row>
    <row r="64" ht="16" customHeight="1">
      <c r="A64" s="1" t="n"/>
      <c r="B64" s="180" t="inlineStr">
        <is>
          <t>🛌 Sleep</t>
        </is>
      </c>
      <c r="C64" s="182" t="inlineStr">
        <is>
          <t>hours</t>
        </is>
      </c>
      <c r="D64" s="182" t="inlineStr">
        <is>
          <t>7.5–8.5 h</t>
        </is>
      </c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1" t="n"/>
      <c r="AK64" s="214">
        <f>IFERROR(AVERAGE(E64:AI64),"")</f>
        <v/>
      </c>
      <c r="AL64" s="222">
        <f>SleepTarget</f>
        <v/>
      </c>
      <c r="AM64" s="59">
        <f>IF(AND(ISNUMBER(AK64),ISNUMBER(AL64)),IF(ISNUMBER(AK64/AL64),REPT("█",ROUND(MAX(0,MIN(1,AK64/AL64))*10,0))&amp;REPT("░",10-ROUND(MAX(0,MIN(1,AK64/AL64))*10,0)),""),"")</f>
        <v/>
      </c>
      <c r="AN64" s="189">
        <f>IFERROR(COUNTIF(E64:AI64,"&gt;="&amp;$AP$4)/COUNT(E64:AI64),"")</f>
        <v/>
      </c>
      <c r="AO64" s="1" t="n"/>
    </row>
    <row r="65" ht="16" customHeight="1">
      <c r="A65" s="1" t="n"/>
      <c r="B65" s="180" t="inlineStr">
        <is>
          <t>⚡ Energy</t>
        </is>
      </c>
      <c r="C65" s="182" t="inlineStr">
        <is>
          <t>1–10</t>
        </is>
      </c>
      <c r="D65" s="182" t="inlineStr">
        <is>
          <t>1–10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1" t="n"/>
      <c r="AK65" s="214">
        <f>IFERROR(AVERAGE(E65:AI65),"")</f>
        <v/>
      </c>
      <c r="AL65" s="204" t="inlineStr">
        <is>
          <t>/ 10</t>
        </is>
      </c>
      <c r="AM65" s="57">
        <f>IF(ISNUMBER(AK65),IF(ISNUMBER(AK65/10),REPT("█",ROUND(MAX(0,MIN(1,AK65/10))*10,0))&amp;REPT("░",10-ROUND(MAX(0,MIN(1,AK65/10))*10,0)),""),"")</f>
        <v/>
      </c>
      <c r="AN65" s="205" t="n"/>
      <c r="AO65" s="1" t="n"/>
    </row>
    <row r="66" ht="16" customHeight="1">
      <c r="A66" s="1" t="n"/>
      <c r="B66" s="180" t="inlineStr">
        <is>
          <t>🌡️ Stress</t>
        </is>
      </c>
      <c r="C66" s="182" t="inlineStr">
        <is>
          <t>1–10</t>
        </is>
      </c>
      <c r="D66" s="182" t="inlineStr">
        <is>
          <t>1–10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1" t="n"/>
      <c r="AK66" s="214">
        <f>IFERROR(AVERAGE(E66:AI66),"")</f>
        <v/>
      </c>
      <c r="AL66" s="204" t="inlineStr">
        <is>
          <t>/ 10</t>
        </is>
      </c>
      <c r="AM66" s="54">
        <f>IF(ISNUMBER(AK66),IF(ISNUMBER(AK66/10),REPT("█",ROUND(MAX(0,MIN(1,AK66/10))*10,0))&amp;REPT("░",10-ROUND(MAX(0,MIN(1,AK66/10))*10,0)),""),"")</f>
        <v/>
      </c>
      <c r="AN66" s="205" t="n"/>
      <c r="AO66" s="1" t="n"/>
    </row>
    <row r="67" ht="16" customHeight="1">
      <c r="A67" s="1" t="n"/>
      <c r="B67" s="180" t="inlineStr">
        <is>
          <t>🙂 Mood</t>
        </is>
      </c>
      <c r="C67" s="182" t="inlineStr">
        <is>
          <t>1–10</t>
        </is>
      </c>
      <c r="D67" s="182" t="inlineStr">
        <is>
          <t>1–10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1" t="n"/>
      <c r="AK67" s="214">
        <f>IFERROR(AVERAGE(E67:AI67),"")</f>
        <v/>
      </c>
      <c r="AL67" s="204" t="inlineStr">
        <is>
          <t>/ 10</t>
        </is>
      </c>
      <c r="AM67" s="59">
        <f>IF(ISNUMBER(AK67),IF(ISNUMBER(AK67/10),REPT("█",ROUND(MAX(0,MIN(1,AK67/10))*10,0))&amp;REPT("░",10-ROUND(MAX(0,MIN(1,AK67/10))*10,0)),""),"")</f>
        <v/>
      </c>
      <c r="AN67" s="205" t="n"/>
      <c r="AO67" s="1" t="n"/>
    </row>
    <row r="68" ht="16" customHeight="1">
      <c r="A68" s="1" t="n"/>
      <c r="B68" s="224" t="inlineStr">
        <is>
          <t>↳ Weight · 7-day average</t>
        </is>
      </c>
      <c r="C68" s="225" t="inlineStr">
        <is>
          <t>decide on this</t>
        </is>
      </c>
      <c r="E68" s="226">
        <f>Data!BI345</f>
        <v/>
      </c>
      <c r="F68" s="226">
        <f>Data!BI346</f>
        <v/>
      </c>
      <c r="G68" s="226">
        <f>Data!BI347</f>
        <v/>
      </c>
      <c r="H68" s="226">
        <f>Data!BI348</f>
        <v/>
      </c>
      <c r="I68" s="226">
        <f>Data!BI349</f>
        <v/>
      </c>
      <c r="J68" s="226">
        <f>Data!BI350</f>
        <v/>
      </c>
      <c r="K68" s="226">
        <f>Data!BI351</f>
        <v/>
      </c>
      <c r="L68" s="226">
        <f>Data!BI352</f>
        <v/>
      </c>
      <c r="M68" s="226">
        <f>Data!BI353</f>
        <v/>
      </c>
      <c r="N68" s="226">
        <f>Data!BI354</f>
        <v/>
      </c>
      <c r="O68" s="226">
        <f>Data!BI355</f>
        <v/>
      </c>
      <c r="P68" s="226">
        <f>Data!BI356</f>
        <v/>
      </c>
      <c r="Q68" s="226">
        <f>Data!BI357</f>
        <v/>
      </c>
      <c r="R68" s="226">
        <f>Data!BI358</f>
        <v/>
      </c>
      <c r="S68" s="226">
        <f>Data!BI359</f>
        <v/>
      </c>
      <c r="T68" s="226">
        <f>Data!BI360</f>
        <v/>
      </c>
      <c r="U68" s="226">
        <f>Data!BI361</f>
        <v/>
      </c>
      <c r="V68" s="226">
        <f>Data!BI362</f>
        <v/>
      </c>
      <c r="W68" s="226">
        <f>Data!BI363</f>
        <v/>
      </c>
      <c r="X68" s="226">
        <f>Data!BI364</f>
        <v/>
      </c>
      <c r="Y68" s="226">
        <f>Data!BI365</f>
        <v/>
      </c>
      <c r="Z68" s="226">
        <f>Data!BI366</f>
        <v/>
      </c>
      <c r="AA68" s="226">
        <f>Data!BI367</f>
        <v/>
      </c>
      <c r="AB68" s="226">
        <f>Data!BI368</f>
        <v/>
      </c>
      <c r="AC68" s="226">
        <f>Data!BI369</f>
        <v/>
      </c>
      <c r="AD68" s="226">
        <f>Data!BI370</f>
        <v/>
      </c>
      <c r="AE68" s="226">
        <f>Data!BI371</f>
        <v/>
      </c>
      <c r="AF68" s="226">
        <f>Data!BI372</f>
        <v/>
      </c>
      <c r="AG68" s="226">
        <f>Data!BI373</f>
        <v/>
      </c>
      <c r="AH68" s="226">
        <f>Data!BI374</f>
        <v/>
      </c>
      <c r="AI68" s="226">
        <f>Data!BI375</f>
        <v/>
      </c>
      <c r="AJ68" s="1" t="n"/>
      <c r="AK68" s="9" t="n"/>
      <c r="AL68" s="9" t="n"/>
      <c r="AM68" s="9" t="n"/>
      <c r="AN68" s="9" t="n"/>
      <c r="AO68" s="1" t="n"/>
    </row>
    <row r="69" ht="16" customHeight="1">
      <c r="A69" s="1" t="n"/>
      <c r="B69" s="224" t="inlineStr">
        <is>
          <t>↳ Steps target (adaptive)</t>
        </is>
      </c>
      <c r="C69" s="225" t="inlineStr">
        <is>
          <t>7k → 8k → 9k</t>
        </is>
      </c>
      <c r="E69" s="227">
        <f>IF(Data!A345="","",Data!AR345/1000)</f>
        <v/>
      </c>
      <c r="F69" s="227">
        <f>IF(Data!A346="","",Data!AR346/1000)</f>
        <v/>
      </c>
      <c r="G69" s="227">
        <f>IF(Data!A347="","",Data!AR347/1000)</f>
        <v/>
      </c>
      <c r="H69" s="227">
        <f>IF(Data!A348="","",Data!AR348/1000)</f>
        <v/>
      </c>
      <c r="I69" s="227">
        <f>IF(Data!A349="","",Data!AR349/1000)</f>
        <v/>
      </c>
      <c r="J69" s="227">
        <f>IF(Data!A350="","",Data!AR350/1000)</f>
        <v/>
      </c>
      <c r="K69" s="227">
        <f>IF(Data!A351="","",Data!AR351/1000)</f>
        <v/>
      </c>
      <c r="L69" s="227">
        <f>IF(Data!A352="","",Data!AR352/1000)</f>
        <v/>
      </c>
      <c r="M69" s="227">
        <f>IF(Data!A353="","",Data!AR353/1000)</f>
        <v/>
      </c>
      <c r="N69" s="227">
        <f>IF(Data!A354="","",Data!AR354/1000)</f>
        <v/>
      </c>
      <c r="O69" s="227">
        <f>IF(Data!A355="","",Data!AR355/1000)</f>
        <v/>
      </c>
      <c r="P69" s="227">
        <f>IF(Data!A356="","",Data!AR356/1000)</f>
        <v/>
      </c>
      <c r="Q69" s="227">
        <f>IF(Data!A357="","",Data!AR357/1000)</f>
        <v/>
      </c>
      <c r="R69" s="227">
        <f>IF(Data!A358="","",Data!AR358/1000)</f>
        <v/>
      </c>
      <c r="S69" s="227">
        <f>IF(Data!A359="","",Data!AR359/1000)</f>
        <v/>
      </c>
      <c r="T69" s="227">
        <f>IF(Data!A360="","",Data!AR360/1000)</f>
        <v/>
      </c>
      <c r="U69" s="227">
        <f>IF(Data!A361="","",Data!AR361/1000)</f>
        <v/>
      </c>
      <c r="V69" s="227">
        <f>IF(Data!A362="","",Data!AR362/1000)</f>
        <v/>
      </c>
      <c r="W69" s="227">
        <f>IF(Data!A363="","",Data!AR363/1000)</f>
        <v/>
      </c>
      <c r="X69" s="227">
        <f>IF(Data!A364="","",Data!AR364/1000)</f>
        <v/>
      </c>
      <c r="Y69" s="227">
        <f>IF(Data!A365="","",Data!AR365/1000)</f>
        <v/>
      </c>
      <c r="Z69" s="227">
        <f>IF(Data!A366="","",Data!AR366/1000)</f>
        <v/>
      </c>
      <c r="AA69" s="227">
        <f>IF(Data!A367="","",Data!AR367/1000)</f>
        <v/>
      </c>
      <c r="AB69" s="227">
        <f>IF(Data!A368="","",Data!AR368/1000)</f>
        <v/>
      </c>
      <c r="AC69" s="227">
        <f>IF(Data!A369="","",Data!AR369/1000)</f>
        <v/>
      </c>
      <c r="AD69" s="227">
        <f>IF(Data!A370="","",Data!AR370/1000)</f>
        <v/>
      </c>
      <c r="AE69" s="227">
        <f>IF(Data!A371="","",Data!AR371/1000)</f>
        <v/>
      </c>
      <c r="AF69" s="227">
        <f>IF(Data!A372="","",Data!AR372/1000)</f>
        <v/>
      </c>
      <c r="AG69" s="227">
        <f>IF(Data!A373="","",Data!AR373/1000)</f>
        <v/>
      </c>
      <c r="AH69" s="227">
        <f>IF(Data!A374="","",Data!AR374/1000)</f>
        <v/>
      </c>
      <c r="AI69" s="227">
        <f>IF(Data!A375="","",Data!AR375/1000)</f>
        <v/>
      </c>
      <c r="AJ69" s="1" t="n"/>
      <c r="AK69" s="9" t="n"/>
      <c r="AL69" s="9" t="n"/>
      <c r="AM69" s="9" t="n"/>
      <c r="AN69" s="9" t="n"/>
      <c r="AO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 ht="16" customHeight="1">
      <c r="A71" s="1" t="n"/>
      <c r="B71" s="50" t="inlineStr">
        <is>
          <t>TRENDS</t>
        </is>
      </c>
      <c r="E71" s="71" t="inlineStr">
        <is>
          <t>MIND &amp; RECOVERY · energy · stress · mood</t>
        </is>
      </c>
      <c r="U71" s="71" t="inlineStr">
        <is>
          <t>WEIGHT · daily vs 7-day average</t>
        </is>
      </c>
      <c r="AJ71" s="1" t="n"/>
      <c r="AK71" s="1" t="n"/>
      <c r="AL71" s="1" t="n"/>
      <c r="AM71" s="1" t="n"/>
      <c r="AN71" s="1" t="n"/>
      <c r="AO71" s="1" t="n"/>
    </row>
    <row r="72" ht="16" customHeight="1">
      <c r="A72" s="1" t="n"/>
      <c r="B72" s="208" t="inlineStr">
        <is>
          <t>Energy, stress and mood show how the month feels, not just what got done.
Weight: the dots jump around with water and salt. The 7-day average is the only line that decides anything.
Target pace: −0.4 to −0.8 kg a week.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1" t="n"/>
      <c r="AK72" s="1" t="n"/>
      <c r="AL72" s="1" t="n"/>
      <c r="AM72" s="1" t="n"/>
      <c r="AN72" s="1" t="n"/>
      <c r="AO72" s="1" t="n"/>
    </row>
    <row r="73" ht="16" customHeight="1">
      <c r="A73" s="1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1" t="n"/>
      <c r="AK73" s="1" t="n"/>
      <c r="AL73" s="1" t="n"/>
      <c r="AM73" s="1" t="n"/>
      <c r="AN73" s="1" t="n"/>
      <c r="AO73" s="1" t="n"/>
    </row>
    <row r="74" ht="16" customHeight="1">
      <c r="A74" s="1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1" t="n"/>
      <c r="AK74" s="1" t="n"/>
      <c r="AL74" s="1" t="n"/>
      <c r="AM74" s="1" t="n"/>
      <c r="AN74" s="1" t="n"/>
      <c r="AO74" s="1" t="n"/>
    </row>
    <row r="75" ht="16" customHeight="1">
      <c r="A75" s="1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1" t="n"/>
      <c r="AK75" s="1" t="n"/>
      <c r="AL75" s="1" t="n"/>
      <c r="AM75" s="1" t="n"/>
      <c r="AN75" s="1" t="n"/>
      <c r="AO75" s="1" t="n"/>
    </row>
    <row r="76" ht="16" customHeight="1">
      <c r="A76" s="1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1" t="n"/>
      <c r="AK76" s="1" t="n"/>
      <c r="AL76" s="1" t="n"/>
      <c r="AM76" s="1" t="n"/>
      <c r="AN76" s="1" t="n"/>
      <c r="AO76" s="1" t="n"/>
    </row>
    <row r="77" ht="16" customHeight="1">
      <c r="A77" s="1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1" t="n"/>
      <c r="AK77" s="1" t="n"/>
      <c r="AL77" s="1" t="n"/>
      <c r="AM77" s="1" t="n"/>
      <c r="AN77" s="1" t="n"/>
      <c r="AO77" s="1" t="n"/>
    </row>
    <row r="78" ht="16" customHeight="1">
      <c r="A78" s="1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1" t="n"/>
      <c r="AK78" s="1" t="n"/>
      <c r="AL78" s="1" t="n"/>
      <c r="AM78" s="1" t="n"/>
      <c r="AN78" s="1" t="n"/>
      <c r="AO78" s="1" t="n"/>
    </row>
    <row r="79" ht="16" customHeight="1">
      <c r="A79" s="1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1" t="n"/>
      <c r="AK79" s="1" t="n"/>
      <c r="AL79" s="1" t="n"/>
      <c r="AM79" s="1" t="n"/>
      <c r="AN79" s="1" t="n"/>
      <c r="AO79" s="1" t="n"/>
    </row>
    <row r="80" ht="16" customHeight="1">
      <c r="A80" s="1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1" t="n"/>
      <c r="AK80" s="1" t="n"/>
      <c r="AL80" s="1" t="n"/>
      <c r="AM80" s="1" t="n"/>
      <c r="AN80" s="1" t="n"/>
      <c r="AO80" s="1" t="n"/>
    </row>
    <row r="81" ht="16" customHeight="1">
      <c r="A81" s="1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1" t="n"/>
      <c r="AK81" s="1" t="n"/>
      <c r="AL81" s="1" t="n"/>
      <c r="AM81" s="1" t="n"/>
      <c r="AN81" s="1" t="n"/>
      <c r="AO81" s="1" t="n"/>
    </row>
    <row r="82" ht="16" customHeight="1">
      <c r="A82" s="1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1" t="n"/>
      <c r="AK82" s="1" t="n"/>
      <c r="AL82" s="1" t="n"/>
      <c r="AM82" s="1" t="n"/>
      <c r="AN82" s="1" t="n"/>
      <c r="AO82" s="1" t="n"/>
    </row>
    <row r="83" ht="16" customHeight="1">
      <c r="A83" s="1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1" t="n"/>
      <c r="AK83" s="1" t="n"/>
      <c r="AL83" s="1" t="n"/>
      <c r="AM83" s="1" t="n"/>
      <c r="AN83" s="1" t="n"/>
      <c r="AO83" s="1" t="n"/>
    </row>
    <row r="84" ht="16" customHeight="1">
      <c r="A84" s="1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1" t="n"/>
      <c r="AK84" s="1" t="n"/>
      <c r="AL84" s="1" t="n"/>
      <c r="AM84" s="1" t="n"/>
      <c r="AN84" s="1" t="n"/>
      <c r="AO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 ht="16" customHeight="1"/>
  </sheetData>
  <mergeCells count="55">
    <mergeCell ref="B42:D42"/>
    <mergeCell ref="Z5:AF5"/>
    <mergeCell ref="AK48:AL48"/>
    <mergeCell ref="C68:D68"/>
    <mergeCell ref="B43:D54"/>
    <mergeCell ref="B57:D57"/>
    <mergeCell ref="L56:R56"/>
    <mergeCell ref="AK56:AN56"/>
    <mergeCell ref="S5:Y5"/>
    <mergeCell ref="AK8:AN8"/>
    <mergeCell ref="AK2:AN2"/>
    <mergeCell ref="AC2:AI2"/>
    <mergeCell ref="B19:D19"/>
    <mergeCell ref="C69:D69"/>
    <mergeCell ref="B72:D84"/>
    <mergeCell ref="E2:J2"/>
    <mergeCell ref="E56:K56"/>
    <mergeCell ref="AM59:AN59"/>
    <mergeCell ref="B9:D9"/>
    <mergeCell ref="AK42:AN42"/>
    <mergeCell ref="U71:AI71"/>
    <mergeCell ref="AK7:AN7"/>
    <mergeCell ref="C40:D40"/>
    <mergeCell ref="S56:Y56"/>
    <mergeCell ref="B6:D6"/>
    <mergeCell ref="E5:K5"/>
    <mergeCell ref="B33:D33"/>
    <mergeCell ref="E71:T71"/>
    <mergeCell ref="B5:D5"/>
    <mergeCell ref="AK19:AN19"/>
    <mergeCell ref="AG5:AI5"/>
    <mergeCell ref="AC3:AI3"/>
    <mergeCell ref="AK3:AN3"/>
    <mergeCell ref="AK9:AN9"/>
    <mergeCell ref="AK50:AL50"/>
    <mergeCell ref="AK44:AL44"/>
    <mergeCell ref="AK46:AL46"/>
    <mergeCell ref="AK33:AN33"/>
    <mergeCell ref="E3:J3"/>
    <mergeCell ref="C39:D39"/>
    <mergeCell ref="L2:Q2"/>
    <mergeCell ref="C8:D8"/>
    <mergeCell ref="AK58:AN58"/>
    <mergeCell ref="B3:D3"/>
    <mergeCell ref="L5:R5"/>
    <mergeCell ref="AK5:AN5"/>
    <mergeCell ref="AK52:AL52"/>
    <mergeCell ref="Z56:AF56"/>
    <mergeCell ref="B71:D71"/>
    <mergeCell ref="B56:D56"/>
    <mergeCell ref="S3:AA3"/>
    <mergeCell ref="AG56:AI56"/>
    <mergeCell ref="L3:Q3"/>
    <mergeCell ref="B2:D2"/>
    <mergeCell ref="S2:AA2"/>
  </mergeCells>
  <conditionalFormatting sqref="E6:AI69">
    <cfRule type="expression" priority="1" dxfId="8" stopIfTrue="1">
      <formula>E$7=""</formula>
    </cfRule>
  </conditionalFormatting>
  <conditionalFormatting sqref="E6:AI7">
    <cfRule type="expression" priority="2" dxfId="9" stopIfTrue="1">
      <formula>AND(E$7&lt;&gt;"",E$7=$AP$6)</formula>
    </cfRule>
  </conditionalFormatting>
  <conditionalFormatting sqref="E57:AI58">
    <cfRule type="expression" priority="3" dxfId="9" stopIfTrue="1">
      <formula>AND(E$58&lt;&gt;"",E$58=$AP$6)</formula>
    </cfRule>
  </conditionalFormatting>
  <conditionalFormatting sqref="E8:AI8">
    <cfRule type="expression" priority="4" dxfId="9" stopIfTrue="1">
      <formula>UPPER(E8)="M"</formula>
    </cfRule>
    <cfRule type="expression" priority="5" dxfId="10" stopIfTrue="1">
      <formula>UPPER(E8)="S"</formula>
    </cfRule>
    <cfRule type="expression" priority="6" dxfId="11" stopIfTrue="1">
      <formula>UPPER(E8)="R"</formula>
    </cfRule>
  </conditionalFormatting>
  <conditionalFormatting sqref="E10:K18">
    <cfRule type="expression" priority="7" dxfId="12" stopIfTrue="1">
      <formula>OR(E10=TRUE,E10="x",E10="X")</formula>
    </cfRule>
  </conditionalFormatting>
  <conditionalFormatting sqref="E20:K32">
    <cfRule type="expression" priority="8" dxfId="12" stopIfTrue="1">
      <formula>OR(E20=TRUE,E20="x",E20="X")</formula>
    </cfRule>
  </conditionalFormatting>
  <conditionalFormatting sqref="E34:K37">
    <cfRule type="expression" priority="9" dxfId="12" stopIfTrue="1">
      <formula>OR(E34=TRUE,E34="x",E34="X")</formula>
    </cfRule>
  </conditionalFormatting>
  <conditionalFormatting sqref="L10:R18">
    <cfRule type="expression" priority="10" dxfId="13" stopIfTrue="1">
      <formula>OR(L10=TRUE,L10="x",L10="X")</formula>
    </cfRule>
  </conditionalFormatting>
  <conditionalFormatting sqref="L20:R32">
    <cfRule type="expression" priority="11" dxfId="13" stopIfTrue="1">
      <formula>OR(L20=TRUE,L20="x",L20="X")</formula>
    </cfRule>
  </conditionalFormatting>
  <conditionalFormatting sqref="L34:R37">
    <cfRule type="expression" priority="12" dxfId="13" stopIfTrue="1">
      <formula>OR(L34=TRUE,L34="x",L34="X")</formula>
    </cfRule>
  </conditionalFormatting>
  <conditionalFormatting sqref="S10:Y18">
    <cfRule type="expression" priority="13" dxfId="14" stopIfTrue="1">
      <formula>OR(S10=TRUE,S10="x",S10="X")</formula>
    </cfRule>
  </conditionalFormatting>
  <conditionalFormatting sqref="S20:Y32">
    <cfRule type="expression" priority="14" dxfId="14" stopIfTrue="1">
      <formula>OR(S20=TRUE,S20="x",S20="X")</formula>
    </cfRule>
  </conditionalFormatting>
  <conditionalFormatting sqref="S34:Y37">
    <cfRule type="expression" priority="15" dxfId="14" stopIfTrue="1">
      <formula>OR(S34=TRUE,S34="x",S34="X")</formula>
    </cfRule>
  </conditionalFormatting>
  <conditionalFormatting sqref="Z10:AF18">
    <cfRule type="expression" priority="16" dxfId="15" stopIfTrue="1">
      <formula>OR(Z10=TRUE,Z10="x",Z10="X")</formula>
    </cfRule>
  </conditionalFormatting>
  <conditionalFormatting sqref="Z20:AF32">
    <cfRule type="expression" priority="17" dxfId="15" stopIfTrue="1">
      <formula>OR(Z20=TRUE,Z20="x",Z20="X")</formula>
    </cfRule>
  </conditionalFormatting>
  <conditionalFormatting sqref="Z34:AF37">
    <cfRule type="expression" priority="18" dxfId="15" stopIfTrue="1">
      <formula>OR(Z34=TRUE,Z34="x",Z34="X")</formula>
    </cfRule>
  </conditionalFormatting>
  <conditionalFormatting sqref="AG10:AI18">
    <cfRule type="expression" priority="19" dxfId="16" stopIfTrue="1">
      <formula>OR(AG10=TRUE,AG10="x",AG10="X")</formula>
    </cfRule>
  </conditionalFormatting>
  <conditionalFormatting sqref="AG20:AI32">
    <cfRule type="expression" priority="20" dxfId="16" stopIfTrue="1">
      <formula>OR(AG20=TRUE,AG20="x",AG20="X")</formula>
    </cfRule>
  </conditionalFormatting>
  <conditionalFormatting sqref="AG34:AI37">
    <cfRule type="expression" priority="21" dxfId="16" stopIfTrue="1">
      <formula>OR(AG34=TRUE,AG34="x",AG34="X")</formula>
    </cfRule>
  </conditionalFormatting>
  <conditionalFormatting sqref="E39:AI39">
    <cfRule type="expression" priority="22" dxfId="0" stopIfTrue="1">
      <formula>AND(ISNUMBER(E39),E39&gt;=0.85)</formula>
    </cfRule>
    <cfRule type="expression" priority="23" dxfId="1" stopIfTrue="1">
      <formula>AND(ISNUMBER(E39),E39&gt;=0.7)</formula>
    </cfRule>
    <cfRule type="expression" priority="24" dxfId="2" stopIfTrue="1">
      <formula>AND(ISNUMBER(E39),E39&gt;=0.5)</formula>
    </cfRule>
    <cfRule type="expression" priority="25" dxfId="3" stopIfTrue="1">
      <formula>AND(ISNUMBER(E39),E39&lt;0.5)</formula>
    </cfRule>
  </conditionalFormatting>
  <conditionalFormatting sqref="AM10:AN39">
    <cfRule type="expression" priority="26" dxfId="0" stopIfTrue="1">
      <formula>AND(ISNUMBER($AN10),$AN10&gt;=0.85)</formula>
    </cfRule>
    <cfRule type="expression" priority="27" dxfId="1" stopIfTrue="1">
      <formula>AND(ISNUMBER($AN10),$AN10&gt;=0.7)</formula>
    </cfRule>
    <cfRule type="expression" priority="28" dxfId="2" stopIfTrue="1">
      <formula>AND(ISNUMBER($AN10),$AN10&gt;=0.5)</formula>
    </cfRule>
    <cfRule type="expression" priority="29" dxfId="3" stopIfTrue="1">
      <formula>AND(ISNUMBER($AN10),$AN10&lt;0.5)</formula>
    </cfRule>
  </conditionalFormatting>
  <conditionalFormatting sqref="AN44">
    <cfRule type="expression" priority="30" dxfId="0" stopIfTrue="1">
      <formula>AND(ISNUMBER(AN44),AN44&gt;=0.85)</formula>
    </cfRule>
    <cfRule type="expression" priority="31" dxfId="1" stopIfTrue="1">
      <formula>AND(ISNUMBER(AN44),AN44&gt;=0.7)</formula>
    </cfRule>
    <cfRule type="expression" priority="32" dxfId="2" stopIfTrue="1">
      <formula>AND(ISNUMBER(AN44),AN44&gt;=0.5)</formula>
    </cfRule>
    <cfRule type="expression" priority="33" dxfId="3" stopIfTrue="1">
      <formula>AND(ISNUMBER(AN44),AN44&lt;0.5)</formula>
    </cfRule>
  </conditionalFormatting>
  <conditionalFormatting sqref="AN46">
    <cfRule type="expression" priority="34" dxfId="0" stopIfTrue="1">
      <formula>AND(ISNUMBER(AN46),AN46&gt;=0.85)</formula>
    </cfRule>
    <cfRule type="expression" priority="35" dxfId="1" stopIfTrue="1">
      <formula>AND(ISNUMBER(AN46),AN46&gt;=0.7)</formula>
    </cfRule>
    <cfRule type="expression" priority="36" dxfId="2" stopIfTrue="1">
      <formula>AND(ISNUMBER(AN46),AN46&gt;=0.5)</formula>
    </cfRule>
    <cfRule type="expression" priority="37" dxfId="3" stopIfTrue="1">
      <formula>AND(ISNUMBER(AN46),AN46&lt;0.5)</formula>
    </cfRule>
  </conditionalFormatting>
  <conditionalFormatting sqref="AN48">
    <cfRule type="expression" priority="38" dxfId="0" stopIfTrue="1">
      <formula>AND(ISNUMBER(AN48),AN48&gt;=0.85)</formula>
    </cfRule>
    <cfRule type="expression" priority="39" dxfId="1" stopIfTrue="1">
      <formula>AND(ISNUMBER(AN48),AN48&gt;=0.7)</formula>
    </cfRule>
    <cfRule type="expression" priority="40" dxfId="2" stopIfTrue="1">
      <formula>AND(ISNUMBER(AN48),AN48&gt;=0.5)</formula>
    </cfRule>
    <cfRule type="expression" priority="41" dxfId="3" stopIfTrue="1">
      <formula>AND(ISNUMBER(AN48),AN48&lt;0.5)</formula>
    </cfRule>
  </conditionalFormatting>
  <conditionalFormatting sqref="AN50">
    <cfRule type="expression" priority="42" dxfId="0" stopIfTrue="1">
      <formula>AND(ISNUMBER(AN50),AN50&gt;=0.85)</formula>
    </cfRule>
    <cfRule type="expression" priority="43" dxfId="1" stopIfTrue="1">
      <formula>AND(ISNUMBER(AN50),AN50&gt;=0.7)</formula>
    </cfRule>
    <cfRule type="expression" priority="44" dxfId="2" stopIfTrue="1">
      <formula>AND(ISNUMBER(AN50),AN50&gt;=0.5)</formula>
    </cfRule>
    <cfRule type="expression" priority="45" dxfId="3" stopIfTrue="1">
      <formula>AND(ISNUMBER(AN50),AN50&lt;0.5)</formula>
    </cfRule>
  </conditionalFormatting>
  <conditionalFormatting sqref="AN52">
    <cfRule type="expression" priority="46" dxfId="0" stopIfTrue="1">
      <formula>AND(ISNUMBER(AN52),AN52&gt;=0.85)</formula>
    </cfRule>
    <cfRule type="expression" priority="47" dxfId="1" stopIfTrue="1">
      <formula>AND(ISNUMBER(AN52),AN52&gt;=0.7)</formula>
    </cfRule>
    <cfRule type="expression" priority="48" dxfId="2" stopIfTrue="1">
      <formula>AND(ISNUMBER(AN52),AN52&gt;=0.5)</formula>
    </cfRule>
    <cfRule type="expression" priority="49" dxfId="3" stopIfTrue="1">
      <formula>AND(ISNUMBER(AN52),AN52&lt;0.5)</formula>
    </cfRule>
  </conditionalFormatting>
  <conditionalFormatting sqref="AN60:AN67">
    <cfRule type="expression" priority="50" dxfId="0" stopIfTrue="1">
      <formula>AND(ISNUMBER(AN60),AN60&gt;=0.85)</formula>
    </cfRule>
    <cfRule type="expression" priority="51" dxfId="1" stopIfTrue="1">
      <formula>AND(ISNUMBER(AN60),AN60&gt;=0.7)</formula>
    </cfRule>
    <cfRule type="expression" priority="52" dxfId="2" stopIfTrue="1">
      <formula>AND(ISNUMBER(AN60),AN60&gt;=0.5)</formula>
    </cfRule>
    <cfRule type="expression" priority="53" dxfId="3" stopIfTrue="1">
      <formula>AND(ISNUMBER(AN60),AN60&lt;0.5)</formula>
    </cfRule>
  </conditionalFormatting>
  <conditionalFormatting sqref="E61:AI61">
    <cfRule type="expression" priority="54" dxfId="17" stopIfTrue="1">
      <formula>AND(ISNUMBER(E61),E61&gt;=$AP$2)</formula>
    </cfRule>
  </conditionalFormatting>
  <conditionalFormatting sqref="E62:AI62">
    <cfRule type="expression" priority="55" dxfId="17" stopIfTrue="1">
      <formula>AND(ISNUMBER(E62),E62&gt;=$AP$3)</formula>
    </cfRule>
  </conditionalFormatting>
  <conditionalFormatting sqref="E60:AI60">
    <cfRule type="expression" priority="56" dxfId="17" stopIfTrue="1">
      <formula>AND(ISNUMBER(E60),ISNUMBER(E$69),E60&gt;=E$69*1000)</formula>
    </cfRule>
  </conditionalFormatting>
  <conditionalFormatting sqref="E64:AI64">
    <cfRule type="expression" priority="57" dxfId="17" stopIfTrue="1">
      <formula>AND(ISNUMBER(E64),E64&gt;=$AP$4)</formula>
    </cfRule>
    <cfRule type="expression" priority="58" dxfId="18" stopIfTrue="1">
      <formula>AND(ISNUMBER(E64),E64&lt;$AP$5)</formula>
    </cfRule>
  </conditionalFormatting>
  <conditionalFormatting sqref="E63:AI63">
    <cfRule type="expression" priority="59" dxfId="17" stopIfTrue="1">
      <formula>AND(ISNUMBER(E63),E63&gt;=$AP$7,E63&lt;=$AP$8)</formula>
    </cfRule>
  </conditionalFormatting>
  <conditionalFormatting sqref="E65:AI65">
    <cfRule type="expression" priority="60" dxfId="17" stopIfTrue="1">
      <formula>AND(ISNUMBER(E65),E65&gt;=7)</formula>
    </cfRule>
    <cfRule type="expression" priority="61" dxfId="18" stopIfTrue="1">
      <formula>AND(ISNUMBER(E65),E65&lt;=3)</formula>
    </cfRule>
  </conditionalFormatting>
  <conditionalFormatting sqref="E67:AI67">
    <cfRule type="expression" priority="62" dxfId="17" stopIfTrue="1">
      <formula>AND(ISNUMBER(E67),E67&gt;=7)</formula>
    </cfRule>
    <cfRule type="expression" priority="63" dxfId="18" stopIfTrue="1">
      <formula>AND(ISNUMBER(E67),E67&lt;=3)</formula>
    </cfRule>
  </conditionalFormatting>
  <conditionalFormatting sqref="E66:AI66">
    <cfRule type="expression" priority="64" dxfId="18" stopIfTrue="1">
      <formula>AND(ISNUMBER(E66),E66&gt;=8)</formula>
    </cfRule>
    <cfRule type="expression" priority="65" dxfId="17" stopIfTrue="1">
      <formula>AND(ISNUMBER(E66),E66&lt;=3)</formula>
    </cfRule>
  </conditionalFormatting>
  <dataValidations count="4">
    <dataValidation sqref="E8:AI8" showDropDown="0" showInputMessage="0" showErrorMessage="1" allowBlank="1" errorTitle="Day mode" error="Use M (minimum viable day), S (sick) or R (rest). Leave blank for a normal day." type="list">
      <formula1>"M,S,R"</formula1>
    </dataValidation>
    <dataValidation sqref="E65:AI65" showDropDown="0" showInputMessage="0" showErrorMessage="1" allowBlank="1" errorTitle="⚡ Energy" error="Use a number from 1 to 10." type="whole" operator="between">
      <formula1>1</formula1>
      <formula2>10</formula2>
    </dataValidation>
    <dataValidation sqref="E66:AI66" showDropDown="0" showInputMessage="0" showErrorMessage="1" allowBlank="1" errorTitle="🌡️ Stress" error="Use a number from 1 to 10." type="whole" operator="between">
      <formula1>1</formula1>
      <formula2>10</formula2>
    </dataValidation>
    <dataValidation sqref="E67:AI67" showDropDown="0" showInputMessage="0" showErrorMessage="1" allowBlank="1" errorTitle="🙂 Mood" error="Use a number from 1 to 10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F0508A"/>
    <outlinePr summaryBelow="1" summaryRight="1"/>
    <pageSetUpPr fitToPage="1"/>
  </sheetPr>
  <dimension ref="A1:W48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26" customWidth="1" min="11" max="11"/>
    <col width="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0" customHeight="1">
      <c r="A2" s="1" t="n"/>
      <c r="B2" s="2" t="inlineStr">
        <is>
          <t>BODY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8" customHeight="1">
      <c r="A3" s="1" t="n"/>
      <c r="B3" s="3" t="inlineStr">
        <is>
          <t>Fat down, muscle kept. Weigh daily, decide weekly, measure every two weeks, photos monthly.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8" customHeight="1">
      <c r="A5" s="1" t="n"/>
      <c r="B5" s="228" t="inlineStr">
        <is>
          <t>PROFILE &amp; GOAL</t>
        </is>
      </c>
      <c r="G5" s="1" t="n"/>
      <c r="H5" s="5" t="inlineStr">
        <is>
          <t>PROGRESS TO GOAL WEIGHT</t>
        </is>
      </c>
      <c r="L5" s="1" t="n"/>
      <c r="M5" s="66" t="inlineStr">
        <is>
          <t>WEIGHT · weekly average</t>
        </is>
      </c>
    </row>
    <row r="6" ht="18" customHeight="1">
      <c r="A6" s="1" t="n"/>
      <c r="B6" s="45" t="inlineStr">
        <is>
          <t>Age · height</t>
        </is>
      </c>
      <c r="E6" s="40">
        <f>Age&amp;" · "&amp;HeightCm&amp;" cm"</f>
        <v/>
      </c>
      <c r="G6" s="1" t="n"/>
      <c r="H6" s="229">
        <f>IF(ISNUMBER(k_T_w7),TEXT(MAX(0,(StartWeight-k_T_w7)/(StartWeight-GoalWeight)),"0%"),"—")</f>
        <v/>
      </c>
      <c r="L6" s="1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 ht="18" customHeight="1">
      <c r="A7" s="1" t="n"/>
      <c r="B7" s="45" t="inlineStr">
        <is>
          <t>Starting weight</t>
        </is>
      </c>
      <c r="E7" s="40">
        <f>TEXT(StartWeight,"0.0")&amp;" kg"</f>
        <v/>
      </c>
      <c r="G7" s="1" t="n"/>
      <c r="L7" s="1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 ht="18" customHeight="1">
      <c r="A8" s="1" t="n"/>
      <c r="B8" s="45" t="inlineStr">
        <is>
          <t>Body fat (est.)</t>
        </is>
      </c>
      <c r="E8" s="40">
        <f>TEXT(StartBF,"0%")&amp;" → goal "&amp;TEXT(GoalBF,"0%")</f>
        <v/>
      </c>
      <c r="G8" s="1" t="n"/>
      <c r="H8" s="230">
        <f>IF(ISNUMBER(k_T_w7),IF(ISNUMBER(MAX(0,(StartWeight-k_T_w7)/(StartWeight-GoalWeight))),REPT("█",ROUND(MAX(0,MIN(1,MAX(0,(StartWeight-k_T_w7)/(StartWeight-GoalWeight))))*20,0))&amp;REPT("░",20-ROUND(MAX(0,MIN(1,MAX(0,(StartWeight-k_T_w7)/(StartWeight-GoalWeight))))*20,0)),""),"")</f>
        <v/>
      </c>
      <c r="L8" s="1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 ht="18" customHeight="1">
      <c r="A9" s="1" t="n"/>
      <c r="B9" s="45" t="inlineStr">
        <is>
          <t>Lean mass (est.)</t>
        </is>
      </c>
      <c r="E9" s="40">
        <f>TEXT(LeanMass,"0.0")&amp;" kg"</f>
        <v/>
      </c>
      <c r="G9" s="1" t="n"/>
      <c r="H9" s="208" t="inlineStr">
        <is>
          <t>Estimates only, assuming lean mass is kept. The real test is the waist, the mirror and strength going up. If the scale stalls but the waist drops, it's working.</t>
        </is>
      </c>
      <c r="L9" s="1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 ht="18" customHeight="1">
      <c r="A10" s="1" t="n"/>
      <c r="B10" s="45" t="inlineStr">
        <is>
          <t>Goal weight if muscle is kept</t>
        </is>
      </c>
      <c r="E10" s="40">
        <f>TEXT(GoalWeight,"0.0")&amp;" kg"</f>
        <v/>
      </c>
      <c r="G10" s="1" t="n"/>
      <c r="L10" s="1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18" customHeight="1">
      <c r="A11" s="1" t="n"/>
      <c r="B11" s="45" t="inlineStr">
        <is>
          <t>Current 7-day average</t>
        </is>
      </c>
      <c r="E11" s="40">
        <f>IF(ISNUMBER(k_T_w7),TEXT(k_T_w7,"0.0")&amp;" kg","—")</f>
        <v/>
      </c>
      <c r="G11" s="1" t="n"/>
      <c r="L11" s="1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18" customHeight="1">
      <c r="A12" s="1" t="n"/>
      <c r="B12" s="45" t="inlineStr">
        <is>
          <t>Healthy pace</t>
        </is>
      </c>
      <c r="E12" s="40">
        <f>"−"&amp;TEXT(LossMin,"0.0")&amp;" to −"&amp;TEXT(LossMax,"0.0")&amp;" kg / week"</f>
        <v/>
      </c>
      <c r="G12" s="1" t="n"/>
      <c r="L12" s="1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18" customHeight="1">
      <c r="A13" s="1" t="n"/>
      <c r="B13" s="45" t="inlineStr">
        <is>
          <t>Time at that pace</t>
        </is>
      </c>
      <c r="E13" s="40">
        <f>ROUND((StartWeight-GoalWeight)/LossMax,0)&amp;"–"&amp;ROUND((StartWeight-GoalWeight)/LossMin,0)&amp;" weeks"</f>
        <v/>
      </c>
      <c r="G13" s="1" t="n"/>
      <c r="L13" s="1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18" customHeight="1">
      <c r="A15" s="1" t="n"/>
      <c r="B15" s="71" t="inlineStr">
        <is>
          <t>MEASUREMENTS · every 2 weeks (cm) · photos monthly: same light, distance, pose, time · front / side / back</t>
        </is>
      </c>
      <c r="L15" s="1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 ht="18" customHeight="1">
      <c r="A16" s="1" t="n"/>
      <c r="B16" s="231" t="inlineStr">
        <is>
          <t>Date</t>
        </is>
      </c>
      <c r="C16" s="231" t="inlineStr">
        <is>
          <t>Weight 7d</t>
        </is>
      </c>
      <c r="D16" s="231" t="inlineStr">
        <is>
          <t>Waist</t>
        </is>
      </c>
      <c r="E16" s="231" t="inlineStr">
        <is>
          <t>Chest</t>
        </is>
      </c>
      <c r="F16" s="231" t="inlineStr">
        <is>
          <t>Arms</t>
        </is>
      </c>
      <c r="G16" s="231" t="inlineStr">
        <is>
          <t>Thigh</t>
        </is>
      </c>
      <c r="H16" s="231" t="inlineStr">
        <is>
          <t>Calf</t>
        </is>
      </c>
      <c r="I16" s="231" t="inlineStr">
        <is>
          <t>Neck</t>
        </is>
      </c>
      <c r="J16" s="231" t="inlineStr">
        <is>
          <t>Photos</t>
        </is>
      </c>
      <c r="K16" s="231" t="inlineStr">
        <is>
          <t>Notes</t>
        </is>
      </c>
      <c r="L16" s="1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 ht="18" customHeight="1">
      <c r="A17" s="1" t="n"/>
      <c r="B17" s="232">
        <f>TrackStart+0</f>
        <v/>
      </c>
      <c r="C17" s="233">
        <f>IFERROR(INDEX(Data!$BI$4:$BI$375,MATCH(B17,Data!$A$4:$A$375,0)),"")</f>
        <v/>
      </c>
      <c r="D17" s="234" t="n"/>
      <c r="E17" s="234" t="n"/>
      <c r="F17" s="234" t="n"/>
      <c r="G17" s="234" t="n"/>
      <c r="H17" s="234" t="n"/>
      <c r="I17" s="234" t="n"/>
      <c r="J17" s="235" t="n"/>
      <c r="K17" s="51" t="n"/>
      <c r="L17" s="1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18" customHeight="1">
      <c r="A18" s="1" t="n"/>
      <c r="B18" s="236">
        <f>TrackStart+14</f>
        <v/>
      </c>
      <c r="C18" s="237">
        <f>IFERROR(INDEX(Data!$BI$4:$BI$375,MATCH(B18,Data!$A$4:$A$375,0)),"")</f>
        <v/>
      </c>
      <c r="D18" s="238" t="n"/>
      <c r="E18" s="238" t="n"/>
      <c r="F18" s="238" t="n"/>
      <c r="G18" s="238" t="n"/>
      <c r="H18" s="238" t="n"/>
      <c r="I18" s="238" t="n"/>
      <c r="J18" s="239" t="n"/>
      <c r="K18" s="39" t="n"/>
      <c r="L18" s="1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18" customHeight="1">
      <c r="A19" s="1" t="n"/>
      <c r="B19" s="232">
        <f>TrackStart+28</f>
        <v/>
      </c>
      <c r="C19" s="233">
        <f>IFERROR(INDEX(Data!$BI$4:$BI$375,MATCH(B19,Data!$A$4:$A$375,0)),"")</f>
        <v/>
      </c>
      <c r="D19" s="234" t="n"/>
      <c r="E19" s="234" t="n"/>
      <c r="F19" s="234" t="n"/>
      <c r="G19" s="234" t="n"/>
      <c r="H19" s="234" t="n"/>
      <c r="I19" s="234" t="n"/>
      <c r="J19" s="235" t="n"/>
      <c r="K19" s="51" t="n"/>
      <c r="L19" s="1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18" customHeight="1">
      <c r="A20" s="1" t="n"/>
      <c r="B20" s="236">
        <f>TrackStart+42</f>
        <v/>
      </c>
      <c r="C20" s="237">
        <f>IFERROR(INDEX(Data!$BI$4:$BI$375,MATCH(B20,Data!$A$4:$A$375,0)),"")</f>
        <v/>
      </c>
      <c r="D20" s="238" t="n"/>
      <c r="E20" s="238" t="n"/>
      <c r="F20" s="238" t="n"/>
      <c r="G20" s="238" t="n"/>
      <c r="H20" s="238" t="n"/>
      <c r="I20" s="238" t="n"/>
      <c r="J20" s="239" t="n"/>
      <c r="K20" s="39" t="n"/>
      <c r="L20" s="1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 ht="18" customHeight="1">
      <c r="A21" s="1" t="n"/>
      <c r="B21" s="232">
        <f>TrackStart+56</f>
        <v/>
      </c>
      <c r="C21" s="233">
        <f>IFERROR(INDEX(Data!$BI$4:$BI$375,MATCH(B21,Data!$A$4:$A$375,0)),"")</f>
        <v/>
      </c>
      <c r="D21" s="234" t="n"/>
      <c r="E21" s="234" t="n"/>
      <c r="F21" s="234" t="n"/>
      <c r="G21" s="234" t="n"/>
      <c r="H21" s="234" t="n"/>
      <c r="I21" s="234" t="n"/>
      <c r="J21" s="235" t="n"/>
      <c r="K21" s="51" t="n"/>
      <c r="L21" s="1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 ht="18" customHeight="1">
      <c r="A22" s="1" t="n"/>
      <c r="B22" s="236">
        <f>TrackStart+70</f>
        <v/>
      </c>
      <c r="C22" s="237">
        <f>IFERROR(INDEX(Data!$BI$4:$BI$375,MATCH(B22,Data!$A$4:$A$375,0)),"")</f>
        <v/>
      </c>
      <c r="D22" s="238" t="n"/>
      <c r="E22" s="238" t="n"/>
      <c r="F22" s="238" t="n"/>
      <c r="G22" s="238" t="n"/>
      <c r="H22" s="238" t="n"/>
      <c r="I22" s="238" t="n"/>
      <c r="J22" s="239" t="n"/>
      <c r="K22" s="39" t="n"/>
      <c r="L22" s="1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  <row r="23" ht="18" customHeight="1">
      <c r="A23" s="1" t="n"/>
      <c r="B23" s="232">
        <f>TrackStart+84</f>
        <v/>
      </c>
      <c r="C23" s="233">
        <f>IFERROR(INDEX(Data!$BI$4:$BI$375,MATCH(B23,Data!$A$4:$A$375,0)),"")</f>
        <v/>
      </c>
      <c r="D23" s="234" t="n"/>
      <c r="E23" s="234" t="n"/>
      <c r="F23" s="234" t="n"/>
      <c r="G23" s="234" t="n"/>
      <c r="H23" s="234" t="n"/>
      <c r="I23" s="234" t="n"/>
      <c r="J23" s="235" t="n"/>
      <c r="K23" s="51" t="n"/>
      <c r="L23" s="1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 ht="18" customHeight="1">
      <c r="A24" s="1" t="n"/>
      <c r="B24" s="236">
        <f>TrackStart+98</f>
        <v/>
      </c>
      <c r="C24" s="237">
        <f>IFERROR(INDEX(Data!$BI$4:$BI$375,MATCH(B24,Data!$A$4:$A$375,0)),"")</f>
        <v/>
      </c>
      <c r="D24" s="238" t="n"/>
      <c r="E24" s="238" t="n"/>
      <c r="F24" s="238" t="n"/>
      <c r="G24" s="238" t="n"/>
      <c r="H24" s="238" t="n"/>
      <c r="I24" s="238" t="n"/>
      <c r="J24" s="239" t="n"/>
      <c r="K24" s="39" t="n"/>
      <c r="L24" s="1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</row>
    <row r="25" ht="18" customHeight="1">
      <c r="A25" s="1" t="n"/>
      <c r="B25" s="232">
        <f>TrackStart+112</f>
        <v/>
      </c>
      <c r="C25" s="233">
        <f>IFERROR(INDEX(Data!$BI$4:$BI$375,MATCH(B25,Data!$A$4:$A$375,0)),"")</f>
        <v/>
      </c>
      <c r="D25" s="234" t="n"/>
      <c r="E25" s="234" t="n"/>
      <c r="F25" s="234" t="n"/>
      <c r="G25" s="234" t="n"/>
      <c r="H25" s="234" t="n"/>
      <c r="I25" s="234" t="n"/>
      <c r="J25" s="235" t="n"/>
      <c r="K25" s="5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8" customHeight="1">
      <c r="A26" s="1" t="n"/>
      <c r="B26" s="236">
        <f>TrackStart+126</f>
        <v/>
      </c>
      <c r="C26" s="237">
        <f>IFERROR(INDEX(Data!$BI$4:$BI$375,MATCH(B26,Data!$A$4:$A$375,0)),"")</f>
        <v/>
      </c>
      <c r="D26" s="238" t="n"/>
      <c r="E26" s="238" t="n"/>
      <c r="F26" s="238" t="n"/>
      <c r="G26" s="238" t="n"/>
      <c r="H26" s="238" t="n"/>
      <c r="I26" s="238" t="n"/>
      <c r="J26" s="239" t="n"/>
      <c r="K26" s="39" t="n"/>
      <c r="L26" s="1" t="n"/>
      <c r="M26" s="58" t="inlineStr">
        <is>
          <t>WAIST · cm</t>
        </is>
      </c>
    </row>
    <row r="27" ht="18" customHeight="1">
      <c r="A27" s="1" t="n"/>
      <c r="B27" s="232">
        <f>TrackStart+140</f>
        <v/>
      </c>
      <c r="C27" s="233">
        <f>IFERROR(INDEX(Data!$BI$4:$BI$375,MATCH(B27,Data!$A$4:$A$375,0)),"")</f>
        <v/>
      </c>
      <c r="D27" s="234" t="n"/>
      <c r="E27" s="234" t="n"/>
      <c r="F27" s="234" t="n"/>
      <c r="G27" s="234" t="n"/>
      <c r="H27" s="234" t="n"/>
      <c r="I27" s="234" t="n"/>
      <c r="J27" s="235" t="n"/>
      <c r="K27" s="51" t="n"/>
      <c r="L27" s="1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</row>
    <row r="28" ht="18" customHeight="1">
      <c r="A28" s="1" t="n"/>
      <c r="B28" s="236">
        <f>TrackStart+154</f>
        <v/>
      </c>
      <c r="C28" s="237">
        <f>IFERROR(INDEX(Data!$BI$4:$BI$375,MATCH(B28,Data!$A$4:$A$375,0)),"")</f>
        <v/>
      </c>
      <c r="D28" s="238" t="n"/>
      <c r="E28" s="238" t="n"/>
      <c r="F28" s="238" t="n"/>
      <c r="G28" s="238" t="n"/>
      <c r="H28" s="238" t="n"/>
      <c r="I28" s="238" t="n"/>
      <c r="J28" s="239" t="n"/>
      <c r="K28" s="39" t="n"/>
      <c r="L28" s="1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 ht="18" customHeight="1">
      <c r="A29" s="1" t="n"/>
      <c r="B29" s="232">
        <f>TrackStart+168</f>
        <v/>
      </c>
      <c r="C29" s="233">
        <f>IFERROR(INDEX(Data!$BI$4:$BI$375,MATCH(B29,Data!$A$4:$A$375,0)),"")</f>
        <v/>
      </c>
      <c r="D29" s="234" t="n"/>
      <c r="E29" s="234" t="n"/>
      <c r="F29" s="234" t="n"/>
      <c r="G29" s="234" t="n"/>
      <c r="H29" s="234" t="n"/>
      <c r="I29" s="234" t="n"/>
      <c r="J29" s="235" t="n"/>
      <c r="K29" s="51" t="n"/>
      <c r="L29" s="1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 ht="18" customHeight="1">
      <c r="A30" s="1" t="n"/>
      <c r="B30" s="236">
        <f>TrackStart+182</f>
        <v/>
      </c>
      <c r="C30" s="237">
        <f>IFERROR(INDEX(Data!$BI$4:$BI$375,MATCH(B30,Data!$A$4:$A$375,0)),"")</f>
        <v/>
      </c>
      <c r="D30" s="238" t="n"/>
      <c r="E30" s="238" t="n"/>
      <c r="F30" s="238" t="n"/>
      <c r="G30" s="238" t="n"/>
      <c r="H30" s="238" t="n"/>
      <c r="I30" s="238" t="n"/>
      <c r="J30" s="239" t="n"/>
      <c r="K30" s="39" t="n"/>
      <c r="L30" s="1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 ht="18" customHeight="1">
      <c r="A31" s="1" t="n"/>
      <c r="B31" s="232">
        <f>TrackStart+196</f>
        <v/>
      </c>
      <c r="C31" s="233">
        <f>IFERROR(INDEX(Data!$BI$4:$BI$375,MATCH(B31,Data!$A$4:$A$375,0)),"")</f>
        <v/>
      </c>
      <c r="D31" s="234" t="n"/>
      <c r="E31" s="234" t="n"/>
      <c r="F31" s="234" t="n"/>
      <c r="G31" s="234" t="n"/>
      <c r="H31" s="234" t="n"/>
      <c r="I31" s="234" t="n"/>
      <c r="J31" s="235" t="n"/>
      <c r="K31" s="51" t="n"/>
      <c r="L31" s="1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 ht="18" customHeight="1">
      <c r="A32" s="1" t="n"/>
      <c r="B32" s="236">
        <f>TrackStart+210</f>
        <v/>
      </c>
      <c r="C32" s="237">
        <f>IFERROR(INDEX(Data!$BI$4:$BI$375,MATCH(B32,Data!$A$4:$A$375,0)),"")</f>
        <v/>
      </c>
      <c r="D32" s="238" t="n"/>
      <c r="E32" s="238" t="n"/>
      <c r="F32" s="238" t="n"/>
      <c r="G32" s="238" t="n"/>
      <c r="H32" s="238" t="n"/>
      <c r="I32" s="238" t="n"/>
      <c r="J32" s="239" t="n"/>
      <c r="K32" s="39" t="n"/>
      <c r="L32" s="1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 ht="18" customHeight="1">
      <c r="A33" s="1" t="n"/>
      <c r="B33" s="232">
        <f>TrackStart+224</f>
        <v/>
      </c>
      <c r="C33" s="233">
        <f>IFERROR(INDEX(Data!$BI$4:$BI$375,MATCH(B33,Data!$A$4:$A$375,0)),"")</f>
        <v/>
      </c>
      <c r="D33" s="234" t="n"/>
      <c r="E33" s="234" t="n"/>
      <c r="F33" s="234" t="n"/>
      <c r="G33" s="234" t="n"/>
      <c r="H33" s="234" t="n"/>
      <c r="I33" s="234" t="n"/>
      <c r="J33" s="235" t="n"/>
      <c r="K33" s="51" t="n"/>
      <c r="L33" s="1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 ht="18" customHeight="1">
      <c r="A34" s="1" t="n"/>
      <c r="B34" s="236">
        <f>TrackStart+238</f>
        <v/>
      </c>
      <c r="C34" s="237">
        <f>IFERROR(INDEX(Data!$BI$4:$BI$375,MATCH(B34,Data!$A$4:$A$375,0)),"")</f>
        <v/>
      </c>
      <c r="D34" s="238" t="n"/>
      <c r="E34" s="238" t="n"/>
      <c r="F34" s="238" t="n"/>
      <c r="G34" s="238" t="n"/>
      <c r="H34" s="238" t="n"/>
      <c r="I34" s="238" t="n"/>
      <c r="J34" s="239" t="n"/>
      <c r="K34" s="39" t="n"/>
      <c r="L34" s="1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 ht="18" customHeight="1">
      <c r="A35" s="1" t="n"/>
      <c r="B35" s="232">
        <f>TrackStart+252</f>
        <v/>
      </c>
      <c r="C35" s="233">
        <f>IFERROR(INDEX(Data!$BI$4:$BI$375,MATCH(B35,Data!$A$4:$A$375,0)),"")</f>
        <v/>
      </c>
      <c r="D35" s="234" t="n"/>
      <c r="E35" s="234" t="n"/>
      <c r="F35" s="234" t="n"/>
      <c r="G35" s="234" t="n"/>
      <c r="H35" s="234" t="n"/>
      <c r="I35" s="234" t="n"/>
      <c r="J35" s="235" t="n"/>
      <c r="K35" s="51" t="n"/>
      <c r="L35" s="1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 ht="18" customHeight="1">
      <c r="A36" s="1" t="n"/>
      <c r="B36" s="236">
        <f>TrackStart+266</f>
        <v/>
      </c>
      <c r="C36" s="237">
        <f>IFERROR(INDEX(Data!$BI$4:$BI$375,MATCH(B36,Data!$A$4:$A$375,0)),"")</f>
        <v/>
      </c>
      <c r="D36" s="238" t="n"/>
      <c r="E36" s="238" t="n"/>
      <c r="F36" s="238" t="n"/>
      <c r="G36" s="238" t="n"/>
      <c r="H36" s="238" t="n"/>
      <c r="I36" s="238" t="n"/>
      <c r="J36" s="239" t="n"/>
      <c r="K36" s="39" t="n"/>
      <c r="L36" s="1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 ht="18" customHeight="1">
      <c r="A37" s="1" t="n"/>
      <c r="B37" s="232">
        <f>TrackStart+280</f>
        <v/>
      </c>
      <c r="C37" s="233">
        <f>IFERROR(INDEX(Data!$BI$4:$BI$375,MATCH(B37,Data!$A$4:$A$375,0)),"")</f>
        <v/>
      </c>
      <c r="D37" s="234" t="n"/>
      <c r="E37" s="234" t="n"/>
      <c r="F37" s="234" t="n"/>
      <c r="G37" s="234" t="n"/>
      <c r="H37" s="234" t="n"/>
      <c r="I37" s="234" t="n"/>
      <c r="J37" s="235" t="n"/>
      <c r="K37" s="51" t="n"/>
      <c r="L37" s="1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</row>
    <row r="38" ht="18" customHeight="1">
      <c r="A38" s="1" t="n"/>
      <c r="B38" s="236">
        <f>TrackStart+294</f>
        <v/>
      </c>
      <c r="C38" s="237">
        <f>IFERROR(INDEX(Data!$BI$4:$BI$375,MATCH(B38,Data!$A$4:$A$375,0)),"")</f>
        <v/>
      </c>
      <c r="D38" s="238" t="n"/>
      <c r="E38" s="238" t="n"/>
      <c r="F38" s="238" t="n"/>
      <c r="G38" s="238" t="n"/>
      <c r="H38" s="238" t="n"/>
      <c r="I38" s="238" t="n"/>
      <c r="J38" s="239" t="n"/>
      <c r="K38" s="39" t="n"/>
      <c r="L38" s="1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</row>
    <row r="39" ht="18" customHeight="1">
      <c r="A39" s="1" t="n"/>
      <c r="B39" s="232">
        <f>TrackStart+308</f>
        <v/>
      </c>
      <c r="C39" s="233">
        <f>IFERROR(INDEX(Data!$BI$4:$BI$375,MATCH(B39,Data!$A$4:$A$375,0)),"")</f>
        <v/>
      </c>
      <c r="D39" s="234" t="n"/>
      <c r="E39" s="234" t="n"/>
      <c r="F39" s="234" t="n"/>
      <c r="G39" s="234" t="n"/>
      <c r="H39" s="234" t="n"/>
      <c r="I39" s="234" t="n"/>
      <c r="J39" s="235" t="n"/>
      <c r="K39" s="51" t="n"/>
      <c r="L39" s="1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</row>
    <row r="40" ht="18" customHeight="1">
      <c r="A40" s="1" t="n"/>
      <c r="B40" s="236">
        <f>TrackStart+322</f>
        <v/>
      </c>
      <c r="C40" s="237">
        <f>IFERROR(INDEX(Data!$BI$4:$BI$375,MATCH(B40,Data!$A$4:$A$375,0)),"")</f>
        <v/>
      </c>
      <c r="D40" s="238" t="n"/>
      <c r="E40" s="238" t="n"/>
      <c r="F40" s="238" t="n"/>
      <c r="G40" s="238" t="n"/>
      <c r="H40" s="238" t="n"/>
      <c r="I40" s="238" t="n"/>
      <c r="J40" s="239" t="n"/>
      <c r="K40" s="39" t="n"/>
      <c r="L40" s="1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</row>
    <row r="41" ht="18" customHeight="1">
      <c r="A41" s="1" t="n"/>
      <c r="B41" s="232">
        <f>TrackStart+336</f>
        <v/>
      </c>
      <c r="C41" s="233">
        <f>IFERROR(INDEX(Data!$BI$4:$BI$375,MATCH(B41,Data!$A$4:$A$375,0)),"")</f>
        <v/>
      </c>
      <c r="D41" s="234" t="n"/>
      <c r="E41" s="234" t="n"/>
      <c r="F41" s="234" t="n"/>
      <c r="G41" s="234" t="n"/>
      <c r="H41" s="234" t="n"/>
      <c r="I41" s="234" t="n"/>
      <c r="J41" s="235" t="n"/>
      <c r="K41" s="51" t="n"/>
      <c r="L41" s="1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</row>
    <row r="42" ht="18" customHeight="1">
      <c r="A42" s="1" t="n"/>
      <c r="B42" s="236">
        <f>TrackStart+350</f>
        <v/>
      </c>
      <c r="C42" s="237">
        <f>IFERROR(INDEX(Data!$BI$4:$BI$375,MATCH(B42,Data!$A$4:$A$375,0)),"")</f>
        <v/>
      </c>
      <c r="D42" s="238" t="n"/>
      <c r="E42" s="238" t="n"/>
      <c r="F42" s="238" t="n"/>
      <c r="G42" s="238" t="n"/>
      <c r="H42" s="238" t="n"/>
      <c r="I42" s="238" t="n"/>
      <c r="J42" s="239" t="n"/>
      <c r="K42" s="39" t="n"/>
      <c r="L42" s="1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</row>
    <row r="43" ht="18" customHeight="1">
      <c r="A43" s="1" t="n"/>
      <c r="B43" s="232">
        <f>TrackStart+364</f>
        <v/>
      </c>
      <c r="C43" s="233">
        <f>IFERROR(INDEX(Data!$BI$4:$BI$375,MATCH(B43,Data!$A$4:$A$375,0)),"")</f>
        <v/>
      </c>
      <c r="D43" s="234" t="n"/>
      <c r="E43" s="234" t="n"/>
      <c r="F43" s="234" t="n"/>
      <c r="G43" s="234" t="n"/>
      <c r="H43" s="234" t="n"/>
      <c r="I43" s="234" t="n"/>
      <c r="J43" s="235" t="n"/>
      <c r="K43" s="51" t="n"/>
      <c r="L43" s="1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</row>
    <row r="45" ht="18" customHeight="1">
      <c r="A45" s="1" t="n"/>
      <c r="B45" s="240" t="inlineStr">
        <is>
          <t>Dates are suggestions (every 14 days from your start date). Overwrite any date with the day you actually measured. Waist is the one that matters most.</t>
        </is>
      </c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8" customHeight="1">
      <c r="A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</sheetData>
  <mergeCells count="27">
    <mergeCell ref="B11:D11"/>
    <mergeCell ref="E12:F12"/>
    <mergeCell ref="B8:D8"/>
    <mergeCell ref="B13:D13"/>
    <mergeCell ref="B15:K15"/>
    <mergeCell ref="H6:K7"/>
    <mergeCell ref="M5:W5"/>
    <mergeCell ref="E8:F8"/>
    <mergeCell ref="H5:K5"/>
    <mergeCell ref="B10:D10"/>
    <mergeCell ref="E10:F10"/>
    <mergeCell ref="H8:K8"/>
    <mergeCell ref="B9:D9"/>
    <mergeCell ref="E13:F13"/>
    <mergeCell ref="E9:F9"/>
    <mergeCell ref="B6:D6"/>
    <mergeCell ref="B3:K3"/>
    <mergeCell ref="E6:F6"/>
    <mergeCell ref="E11:F11"/>
    <mergeCell ref="B2:H2"/>
    <mergeCell ref="B7:D7"/>
    <mergeCell ref="M26:W26"/>
    <mergeCell ref="H9:K13"/>
    <mergeCell ref="B45:K46"/>
    <mergeCell ref="E7:F7"/>
    <mergeCell ref="B5:F5"/>
    <mergeCell ref="B12:D1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N63"/>
  <sheetViews>
    <sheetView showGridLines="0" tabSelected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9" customWidth="1" min="3" max="3"/>
    <col width="9" customWidth="1" min="4" max="4"/>
    <col width="11" customWidth="1" min="5" max="5"/>
    <col width="7" customWidth="1" min="6" max="6"/>
    <col width="7" customWidth="1" min="7" max="7"/>
    <col width="9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  <col width="8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7" customWidth="1" min="26" max="26"/>
    <col width="7" customWidth="1" min="27" max="27"/>
    <col width="7" customWidth="1" min="28" max="28"/>
    <col width="24" customWidth="1" min="29" max="29"/>
    <col width="24" customWidth="1" min="30" max="30"/>
    <col width="22" customWidth="1" min="31" max="31"/>
    <col width="24" customWidth="1" min="32" max="32"/>
    <col width="26" customWidth="1" min="33" max="33"/>
    <col width="22" customWidth="1" min="34" max="34"/>
    <col width="6" customWidth="1" min="35" max="35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N1" s="241">
        <f>AsOf</f>
        <v/>
      </c>
    </row>
    <row r="2" ht="30" customHeight="1">
      <c r="A2" s="1" t="n"/>
      <c r="B2" s="2" t="inlineStr">
        <is>
          <t>WEEKLY REVIEW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 ht="20" customHeight="1">
      <c r="A3" s="1" t="n"/>
      <c r="B3" s="3" t="inlineStr">
        <is>
          <t>Sunday evening, 15–30 minutes. The left side fills itself from your daily log; you only write the right side. End with ONE change — only one.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20" customHeight="1">
      <c r="A4" s="1" t="n"/>
      <c r="B4" s="242" t="inlineStr">
        <is>
          <t>Business check (tick Business ✓ when done): revenue · pipeline · sales activity · client delivery · marketing · cash flow · outstanding tasks · strategic priority.   Life: laundry · rooms · bathroom · groceries · meal prep · finances · calendar · desk ergonomics check.</t>
        </is>
      </c>
      <c r="C4" s="243" t="n"/>
      <c r="D4" s="243" t="n"/>
      <c r="E4" s="243" t="n"/>
      <c r="F4" s="243" t="n"/>
      <c r="G4" s="243" t="n"/>
      <c r="H4" s="243" t="n"/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3" t="n"/>
      <c r="S4" s="243" t="n"/>
      <c r="T4" s="243" t="n"/>
      <c r="U4" s="243" t="n"/>
      <c r="V4" s="243" t="n"/>
      <c r="W4" s="243" t="n"/>
      <c r="X4" s="243" t="n"/>
      <c r="Y4" s="243" t="n"/>
      <c r="Z4" s="243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 ht="20" customHeight="1">
      <c r="A6" s="1" t="n"/>
      <c r="B6" s="9" t="n"/>
      <c r="C6" s="9" t="n"/>
      <c r="D6" s="244" t="inlineStr">
        <is>
          <t>AUTO · from your daily log</t>
        </is>
      </c>
      <c r="AA6" s="245" t="inlineStr">
        <is>
          <t>YOUR REVIEW</t>
        </is>
      </c>
      <c r="AJ6" s="1" t="n"/>
      <c r="AK6" s="1" t="n"/>
    </row>
    <row r="7" ht="26" customHeight="1">
      <c r="A7" s="1" t="n"/>
      <c r="B7" s="246" t="inlineStr">
        <is>
          <t>Week</t>
        </is>
      </c>
      <c r="C7" s="246" t="inlineStr">
        <is>
          <t>Monday</t>
        </is>
      </c>
      <c r="D7" s="246" t="inlineStr">
        <is>
          <t>Foundation</t>
        </is>
      </c>
      <c r="E7" s="246" t="inlineStr">
        <is>
          <t>Status</t>
        </is>
      </c>
      <c r="F7" s="246" t="inlineStr">
        <is>
          <t>Avg kg</t>
        </is>
      </c>
      <c r="G7" s="246" t="inlineStr">
        <is>
          <t>Δ kg</t>
        </is>
      </c>
      <c r="H7" s="246" t="inlineStr">
        <is>
          <t>Pace</t>
        </is>
      </c>
      <c r="I7" s="246" t="inlineStr">
        <is>
          <t>Strength /4</t>
        </is>
      </c>
      <c r="J7" s="246" t="inlineStr">
        <is>
          <t>Progress %</t>
        </is>
      </c>
      <c r="K7" s="246" t="inlineStr">
        <is>
          <t>Core /3</t>
        </is>
      </c>
      <c r="L7" s="246" t="inlineStr">
        <is>
          <t>Calves /3</t>
        </is>
      </c>
      <c r="M7" s="246" t="inlineStr">
        <is>
          <t>Cardio /2</t>
        </is>
      </c>
      <c r="N7" s="246" t="inlineStr">
        <is>
          <t>Steps avg</t>
        </is>
      </c>
      <c r="O7" s="246" t="inlineStr">
        <is>
          <t>Protein avg</t>
        </is>
      </c>
      <c r="P7" s="246" t="inlineStr">
        <is>
          <t>Sleep avg</t>
        </is>
      </c>
      <c r="Q7" s="246" t="inlineStr">
        <is>
          <t>Energy</t>
        </is>
      </c>
      <c r="R7" s="246" t="inlineStr">
        <is>
          <t>Stress</t>
        </is>
      </c>
      <c r="S7" s="246" t="inlineStr">
        <is>
          <t>Prayer /7</t>
        </is>
      </c>
      <c r="T7" s="246" t="inlineStr">
        <is>
          <t>Church</t>
        </is>
      </c>
      <c r="U7" s="246" t="inlineStr">
        <is>
          <t>Couple</t>
        </is>
      </c>
      <c r="V7" s="246" t="inlineStr">
        <is>
          <t>Son</t>
        </is>
      </c>
      <c r="W7" s="246" t="inlineStr">
        <is>
          <t>Family</t>
        </is>
      </c>
      <c r="X7" s="246" t="inlineStr">
        <is>
          <t>Meal prep</t>
        </is>
      </c>
      <c r="Y7" s="246" t="inlineStr">
        <is>
          <t>Deep work</t>
        </is>
      </c>
      <c r="Z7" s="246" t="inlineStr">
        <is>
          <t>Recovery</t>
        </is>
      </c>
      <c r="AA7" s="246" t="inlineStr">
        <is>
          <t>Business ✓</t>
        </is>
      </c>
      <c r="AB7" s="246" t="inlineStr">
        <is>
          <t>Finance ✓</t>
        </is>
      </c>
      <c r="AC7" s="246" t="inlineStr">
        <is>
          <t>Major wins</t>
        </is>
      </c>
      <c r="AD7" s="246" t="inlineStr">
        <is>
          <t>Major problems</t>
        </is>
      </c>
      <c r="AE7" s="246" t="inlineStr">
        <is>
          <t>What I learned</t>
        </is>
      </c>
      <c r="AF7" s="246" t="inlineStr">
        <is>
          <t>Spirit / relationships</t>
        </is>
      </c>
      <c r="AG7" s="246" t="inlineStr">
        <is>
          <t>ONE change for next week</t>
        </is>
      </c>
      <c r="AH7" s="246" t="inlineStr">
        <is>
          <t>Next week's priority</t>
        </is>
      </c>
      <c r="AI7" s="246" t="inlineStr">
        <is>
          <t>Done ✓</t>
        </is>
      </c>
      <c r="AJ7" s="1" t="n"/>
      <c r="AK7" s="1" t="n"/>
    </row>
    <row r="8" ht="20" customHeight="1">
      <c r="A8" s="1" t="n"/>
      <c r="B8" s="247" t="n">
        <v>1</v>
      </c>
      <c r="C8" s="248">
        <f>DATE(2026,9,28)+0</f>
        <v/>
      </c>
      <c r="D8" s="249">
        <f>IF($C8&gt;$AN$1,"",IFERROR(AVERAGEIFS(Data!$BF$4:$BF$375,Data!$A$4:$A$375,"&gt;="&amp;$C8,Data!$A$4:$A$375,"&lt;="&amp;($C8+6)),""))</f>
        <v/>
      </c>
      <c r="E8" s="250">
        <f>IF($C8&gt;$AN$1,"",IF(NOT(ISNUMBER(D8)),"—",IF(D8&gt;=Band1,"GREEN",IF(D8&gt;=Band2,"GOOD",IF(D8&gt;=Band3,"NEEDS ATTENTION","RESET")))))</f>
        <v/>
      </c>
      <c r="F8" s="251">
        <f>IF($C8&gt;$AN$1,"",IFERROR(AVERAGEIFS(Data!$AF$4:$AF$375,Data!$A$4:$A$375,"&gt;="&amp;$C8,Data!$A$4:$A$375,"&lt;="&amp;($C8+6),Data!$AF$4:$AF$375,"&gt;0"),""))</f>
        <v/>
      </c>
      <c r="G8" s="252">
        <f>""</f>
        <v/>
      </c>
      <c r="H8" s="253">
        <f>IF($C8&gt;$AN$1,"",IF(NOT(ISNUMBER(G8)),"",IF(-G8&gt;LossMaxPct*F8,"too fast",IF(-G8&gt;=LossMin,IF(-G8&lt;=LossMax,"on target","fast end"),IF(-G8&gt;0,"slow","flat / up")))))</f>
        <v/>
      </c>
      <c r="I8" s="247">
        <f>IF($C8&gt;$AN$1,"",SUMIFS(Data!$O$4:$O$375,Data!$A$4:$A$375,"&gt;="&amp;$C8,Data!$A$4:$A$375,"&lt;="&amp;($C8+6)))</f>
        <v/>
      </c>
      <c r="J8" s="254">
        <f>IF($C8&gt;$AN$1,"",IF(I8=0,"",MIN(1,SUMIFS(Data!$P$4:$P$375,Data!$A$4:$A$375,"&gt;="&amp;$C8,Data!$A$4:$A$375,"&lt;="&amp;($C8+6))/I8)))</f>
        <v/>
      </c>
      <c r="K8" s="247">
        <f>IF($C8&gt;$AN$1,"",SUMIFS(Data!$Q$4:$Q$375,Data!$A$4:$A$375,"&gt;="&amp;$C8,Data!$A$4:$A$375,"&lt;="&amp;($C8+6)))</f>
        <v/>
      </c>
      <c r="L8" s="247">
        <f>IF($C8&gt;$AN$1,"",SUMIFS(Data!$R$4:$R$375,Data!$A$4:$A$375,"&gt;="&amp;$C8,Data!$A$4:$A$375,"&lt;="&amp;($C8+6)))</f>
        <v/>
      </c>
      <c r="M8" s="247">
        <f>IF($C8&gt;$AN$1,"",SUMIFS(Data!$S$4:$S$375,Data!$A$4:$A$375,"&gt;="&amp;$C8,Data!$A$4:$A$375,"&lt;="&amp;($C8+6))+SUMIFS(Data!$AC$4:$AC$375,Data!$A$4:$A$375,"&gt;="&amp;$C8,Data!$A$4:$A$375,"&lt;="&amp;($C8+6)))</f>
        <v/>
      </c>
      <c r="N8" s="255">
        <f>IF($C8&gt;$AN$1,"",IFERROR(AVERAGEIFS(Data!$AG$4:$AG$375,Data!$A$4:$A$375,"&gt;="&amp;$C8,Data!$A$4:$A$375,"&lt;="&amp;($C8+6),Data!$AG$4:$AG$375,"&gt;0"),""))</f>
        <v/>
      </c>
      <c r="O8" s="247">
        <f>IF($C8&gt;$AN$1,"",IFERROR(AVERAGEIFS(Data!$AH$4:$AH$375,Data!$A$4:$A$375,"&gt;="&amp;$C8,Data!$A$4:$A$375,"&lt;="&amp;($C8+6),Data!$AH$4:$AH$375,"&gt;0"),""))</f>
        <v/>
      </c>
      <c r="P8" s="251">
        <f>IF($C8&gt;$AN$1,"",IFERROR(AVERAGEIFS(Data!$AK$4:$AK$375,Data!$A$4:$A$375,"&gt;="&amp;$C8,Data!$A$4:$A$375,"&lt;="&amp;($C8+6),Data!$AK$4:$AK$375,"&gt;0"),""))</f>
        <v/>
      </c>
      <c r="Q8" s="251">
        <f>IF($C8&gt;$AN$1,"",IFERROR(AVERAGEIFS(Data!$AL$4:$AL$375,Data!$A$4:$A$375,"&gt;="&amp;$C8,Data!$A$4:$A$375,"&lt;="&amp;($C8+6),Data!$AL$4:$AL$375,"&gt;0"),""))</f>
        <v/>
      </c>
      <c r="R8" s="251">
        <f>IF($C8&gt;$AN$1,"",IFERROR(AVERAGEIFS(Data!$AM$4:$AM$375,Data!$A$4:$A$375,"&gt;="&amp;$C8,Data!$A$4:$A$375,"&lt;="&amp;($C8+6),Data!$AM$4:$AM$375,"&gt;0"),""))</f>
        <v/>
      </c>
      <c r="S8" s="247">
        <f>IF($C8&gt;$AN$1,"",SUMIFS(Data!$G$4:$G$375,Data!$A$4:$A$375,"&gt;="&amp;$C8,Data!$A$4:$A$375,"&lt;="&amp;($C8+6)))</f>
        <v/>
      </c>
      <c r="T8" s="247">
        <f>IF($C8&gt;$AN$1,"",SUMIFS(Data!$Z$4:$Z$375,Data!$A$4:$A$375,"&gt;="&amp;$C8,Data!$A$4:$A$375,"&lt;="&amp;($C8+6)))</f>
        <v/>
      </c>
      <c r="U8" s="247">
        <f>IF($C8&gt;$AN$1,"",SUMIFS(Data!$X$4:$X$375,Data!$A$4:$A$375,"&gt;="&amp;$C8,Data!$A$4:$A$375,"&lt;="&amp;($C8+6)))</f>
        <v/>
      </c>
      <c r="V8" s="247">
        <f>IF($C8&gt;$AN$1,"",SUMIFS(Data!$W$4:$W$375,Data!$A$4:$A$375,"&gt;="&amp;$C8,Data!$A$4:$A$375,"&lt;="&amp;($C8+6)))</f>
        <v/>
      </c>
      <c r="W8" s="247">
        <f>IF($C8&gt;$AN$1,"",SUMIFS(Data!$Y$4:$Y$375,Data!$A$4:$A$375,"&gt;="&amp;$C8,Data!$A$4:$A$375,"&lt;="&amp;($C8+6)))</f>
        <v/>
      </c>
      <c r="X8" s="247">
        <f>IF($C8&gt;$AN$1,"",SUMIFS(Data!$AA$4:$AA$375,Data!$A$4:$A$375,"&gt;="&amp;$C8,Data!$A$4:$A$375,"&lt;="&amp;($C8+6)))</f>
        <v/>
      </c>
      <c r="Y8" s="247">
        <f>IF($C8&gt;$AN$1,"",SUMIFS(Data!$T$4:$T$375,Data!$A$4:$A$375,"&gt;="&amp;$C8,Data!$A$4:$A$375,"&lt;="&amp;($C8+6)))</f>
        <v/>
      </c>
      <c r="Z8" s="247">
        <f>IF($C8&gt;$AN$1,"",IF(NOT(ISNUMBER(D8)),"",ROUND(100*(0.3*IF(ISNUMBER(P8),MIN(1,P8/SleepTarget),0.7)+0.2*IF(ISNUMBER(Q8),Q8/10,0.7)+0.2*IF(ISNUMBER(R8),(10-R8)/9,0.7)+0.15*IF(I8&lt;7,1,0)+0.15*IF(ISNUMBER(J8),MIN(1,J8/0.5),0.5)),0)))</f>
        <v/>
      </c>
      <c r="AA8" s="256" t="n"/>
      <c r="AB8" s="256" t="n"/>
      <c r="AC8" s="257" t="n"/>
      <c r="AD8" s="257" t="n"/>
      <c r="AE8" s="257" t="n"/>
      <c r="AF8" s="257" t="n"/>
      <c r="AG8" s="257" t="n"/>
      <c r="AH8" s="257" t="n"/>
      <c r="AI8" s="256" t="n"/>
      <c r="AJ8" s="1" t="n"/>
      <c r="AK8" s="1" t="n"/>
    </row>
    <row r="9" ht="20" customHeight="1">
      <c r="A9" s="1" t="n"/>
      <c r="B9" s="258" t="n">
        <v>2</v>
      </c>
      <c r="C9" s="259">
        <f>DATE(2026,9,28)+7</f>
        <v/>
      </c>
      <c r="D9" s="260">
        <f>IF($C9&gt;$AN$1,"",IFERROR(AVERAGEIFS(Data!$BF$4:$BF$375,Data!$A$4:$A$375,"&gt;="&amp;$C9,Data!$A$4:$A$375,"&lt;="&amp;($C9+6)),""))</f>
        <v/>
      </c>
      <c r="E9" s="261">
        <f>IF($C9&gt;$AN$1,"",IF(NOT(ISNUMBER(D9)),"—",IF(D9&gt;=Band1,"GREEN",IF(D9&gt;=Band2,"GOOD",IF(D9&gt;=Band3,"NEEDS ATTENTION","RESET")))))</f>
        <v/>
      </c>
      <c r="F9" s="262">
        <f>IF($C9&gt;$AN$1,"",IFERROR(AVERAGEIFS(Data!$AF$4:$AF$375,Data!$A$4:$A$375,"&gt;="&amp;$C9,Data!$A$4:$A$375,"&lt;="&amp;($C9+6),Data!$AF$4:$AF$375,"&gt;0"),""))</f>
        <v/>
      </c>
      <c r="G9" s="263">
        <f>IF($C9&gt;$AN$1,"",IF(AND(ISNUMBER(F9),ISNUMBER(F8)),F9-F8,""))</f>
        <v/>
      </c>
      <c r="H9" s="264">
        <f>IF($C9&gt;$AN$1,"",IF(NOT(ISNUMBER(G9)),"",IF(-G9&gt;LossMaxPct*F9,"too fast",IF(-G9&gt;=LossMin,IF(-G9&lt;=LossMax,"on target","fast end"),IF(-G9&gt;0,"slow","flat / up")))))</f>
        <v/>
      </c>
      <c r="I9" s="258">
        <f>IF($C9&gt;$AN$1,"",SUMIFS(Data!$O$4:$O$375,Data!$A$4:$A$375,"&gt;="&amp;$C9,Data!$A$4:$A$375,"&lt;="&amp;($C9+6)))</f>
        <v/>
      </c>
      <c r="J9" s="265">
        <f>IF($C9&gt;$AN$1,"",IF(I9=0,"",MIN(1,SUMIFS(Data!$P$4:$P$375,Data!$A$4:$A$375,"&gt;="&amp;$C9,Data!$A$4:$A$375,"&lt;="&amp;($C9+6))/I9)))</f>
        <v/>
      </c>
      <c r="K9" s="258">
        <f>IF($C9&gt;$AN$1,"",SUMIFS(Data!$Q$4:$Q$375,Data!$A$4:$A$375,"&gt;="&amp;$C9,Data!$A$4:$A$375,"&lt;="&amp;($C9+6)))</f>
        <v/>
      </c>
      <c r="L9" s="258">
        <f>IF($C9&gt;$AN$1,"",SUMIFS(Data!$R$4:$R$375,Data!$A$4:$A$375,"&gt;="&amp;$C9,Data!$A$4:$A$375,"&lt;="&amp;($C9+6)))</f>
        <v/>
      </c>
      <c r="M9" s="258">
        <f>IF($C9&gt;$AN$1,"",SUMIFS(Data!$S$4:$S$375,Data!$A$4:$A$375,"&gt;="&amp;$C9,Data!$A$4:$A$375,"&lt;="&amp;($C9+6))+SUMIFS(Data!$AC$4:$AC$375,Data!$A$4:$A$375,"&gt;="&amp;$C9,Data!$A$4:$A$375,"&lt;="&amp;($C9+6)))</f>
        <v/>
      </c>
      <c r="N9" s="266">
        <f>IF($C9&gt;$AN$1,"",IFERROR(AVERAGEIFS(Data!$AG$4:$AG$375,Data!$A$4:$A$375,"&gt;="&amp;$C9,Data!$A$4:$A$375,"&lt;="&amp;($C9+6),Data!$AG$4:$AG$375,"&gt;0"),""))</f>
        <v/>
      </c>
      <c r="O9" s="258">
        <f>IF($C9&gt;$AN$1,"",IFERROR(AVERAGEIFS(Data!$AH$4:$AH$375,Data!$A$4:$A$375,"&gt;="&amp;$C9,Data!$A$4:$A$375,"&lt;="&amp;($C9+6),Data!$AH$4:$AH$375,"&gt;0"),""))</f>
        <v/>
      </c>
      <c r="P9" s="262">
        <f>IF($C9&gt;$AN$1,"",IFERROR(AVERAGEIFS(Data!$AK$4:$AK$375,Data!$A$4:$A$375,"&gt;="&amp;$C9,Data!$A$4:$A$375,"&lt;="&amp;($C9+6),Data!$AK$4:$AK$375,"&gt;0"),""))</f>
        <v/>
      </c>
      <c r="Q9" s="262">
        <f>IF($C9&gt;$AN$1,"",IFERROR(AVERAGEIFS(Data!$AL$4:$AL$375,Data!$A$4:$A$375,"&gt;="&amp;$C9,Data!$A$4:$A$375,"&lt;="&amp;($C9+6),Data!$AL$4:$AL$375,"&gt;0"),""))</f>
        <v/>
      </c>
      <c r="R9" s="262">
        <f>IF($C9&gt;$AN$1,"",IFERROR(AVERAGEIFS(Data!$AM$4:$AM$375,Data!$A$4:$A$375,"&gt;="&amp;$C9,Data!$A$4:$A$375,"&lt;="&amp;($C9+6),Data!$AM$4:$AM$375,"&gt;0"),""))</f>
        <v/>
      </c>
      <c r="S9" s="258">
        <f>IF($C9&gt;$AN$1,"",SUMIFS(Data!$G$4:$G$375,Data!$A$4:$A$375,"&gt;="&amp;$C9,Data!$A$4:$A$375,"&lt;="&amp;($C9+6)))</f>
        <v/>
      </c>
      <c r="T9" s="258">
        <f>IF($C9&gt;$AN$1,"",SUMIFS(Data!$Z$4:$Z$375,Data!$A$4:$A$375,"&gt;="&amp;$C9,Data!$A$4:$A$375,"&lt;="&amp;($C9+6)))</f>
        <v/>
      </c>
      <c r="U9" s="258">
        <f>IF($C9&gt;$AN$1,"",SUMIFS(Data!$X$4:$X$375,Data!$A$4:$A$375,"&gt;="&amp;$C9,Data!$A$4:$A$375,"&lt;="&amp;($C9+6)))</f>
        <v/>
      </c>
      <c r="V9" s="258">
        <f>IF($C9&gt;$AN$1,"",SUMIFS(Data!$W$4:$W$375,Data!$A$4:$A$375,"&gt;="&amp;$C9,Data!$A$4:$A$375,"&lt;="&amp;($C9+6)))</f>
        <v/>
      </c>
      <c r="W9" s="258">
        <f>IF($C9&gt;$AN$1,"",SUMIFS(Data!$Y$4:$Y$375,Data!$A$4:$A$375,"&gt;="&amp;$C9,Data!$A$4:$A$375,"&lt;="&amp;($C9+6)))</f>
        <v/>
      </c>
      <c r="X9" s="258">
        <f>IF($C9&gt;$AN$1,"",SUMIFS(Data!$AA$4:$AA$375,Data!$A$4:$A$375,"&gt;="&amp;$C9,Data!$A$4:$A$375,"&lt;="&amp;($C9+6)))</f>
        <v/>
      </c>
      <c r="Y9" s="258">
        <f>IF($C9&gt;$AN$1,"",SUMIFS(Data!$T$4:$T$375,Data!$A$4:$A$375,"&gt;="&amp;$C9,Data!$A$4:$A$375,"&lt;="&amp;($C9+6)))</f>
        <v/>
      </c>
      <c r="Z9" s="258">
        <f>IF($C9&gt;$AN$1,"",IF(NOT(ISNUMBER(D9)),"",ROUND(100*(0.3*IF(ISNUMBER(P9),MIN(1,P9/SleepTarget),0.7)+0.2*IF(ISNUMBER(Q9),Q9/10,0.7)+0.2*IF(ISNUMBER(R9),(10-R9)/9,0.7)+0.15*IF(I9&lt;7,1,0)+0.15*IF(ISNUMBER(J9),MIN(1,J9/0.5),0.5)),0)))</f>
        <v/>
      </c>
      <c r="AA9" s="91" t="n"/>
      <c r="AB9" s="91" t="n"/>
      <c r="AC9" s="267" t="n"/>
      <c r="AD9" s="267" t="n"/>
      <c r="AE9" s="267" t="n"/>
      <c r="AF9" s="267" t="n"/>
      <c r="AG9" s="267" t="n"/>
      <c r="AH9" s="267" t="n"/>
      <c r="AI9" s="91" t="n"/>
      <c r="AJ9" s="1" t="n"/>
      <c r="AK9" s="1" t="n"/>
    </row>
    <row r="10" ht="20" customHeight="1">
      <c r="A10" s="1" t="n"/>
      <c r="B10" s="247" t="n">
        <v>3</v>
      </c>
      <c r="C10" s="248">
        <f>DATE(2026,9,28)+14</f>
        <v/>
      </c>
      <c r="D10" s="249">
        <f>IF($C10&gt;$AN$1,"",IFERROR(AVERAGEIFS(Data!$BF$4:$BF$375,Data!$A$4:$A$375,"&gt;="&amp;$C10,Data!$A$4:$A$375,"&lt;="&amp;($C10+6)),""))</f>
        <v/>
      </c>
      <c r="E10" s="250">
        <f>IF($C10&gt;$AN$1,"",IF(NOT(ISNUMBER(D10)),"—",IF(D10&gt;=Band1,"GREEN",IF(D10&gt;=Band2,"GOOD",IF(D10&gt;=Band3,"NEEDS ATTENTION","RESET")))))</f>
        <v/>
      </c>
      <c r="F10" s="251">
        <f>IF($C10&gt;$AN$1,"",IFERROR(AVERAGEIFS(Data!$AF$4:$AF$375,Data!$A$4:$A$375,"&gt;="&amp;$C10,Data!$A$4:$A$375,"&lt;="&amp;($C10+6),Data!$AF$4:$AF$375,"&gt;0"),""))</f>
        <v/>
      </c>
      <c r="G10" s="252">
        <f>IF($C10&gt;$AN$1,"",IF(AND(ISNUMBER(F10),ISNUMBER(F9)),F10-F9,""))</f>
        <v/>
      </c>
      <c r="H10" s="253">
        <f>IF($C10&gt;$AN$1,"",IF(NOT(ISNUMBER(G10)),"",IF(-G10&gt;LossMaxPct*F10,"too fast",IF(-G10&gt;=LossMin,IF(-G10&lt;=LossMax,"on target","fast end"),IF(-G10&gt;0,"slow","flat / up")))))</f>
        <v/>
      </c>
      <c r="I10" s="247">
        <f>IF($C10&gt;$AN$1,"",SUMIFS(Data!$O$4:$O$375,Data!$A$4:$A$375,"&gt;="&amp;$C10,Data!$A$4:$A$375,"&lt;="&amp;($C10+6)))</f>
        <v/>
      </c>
      <c r="J10" s="254">
        <f>IF($C10&gt;$AN$1,"",IF(I10=0,"",MIN(1,SUMIFS(Data!$P$4:$P$375,Data!$A$4:$A$375,"&gt;="&amp;$C10,Data!$A$4:$A$375,"&lt;="&amp;($C10+6))/I10)))</f>
        <v/>
      </c>
      <c r="K10" s="247">
        <f>IF($C10&gt;$AN$1,"",SUMIFS(Data!$Q$4:$Q$375,Data!$A$4:$A$375,"&gt;="&amp;$C10,Data!$A$4:$A$375,"&lt;="&amp;($C10+6)))</f>
        <v/>
      </c>
      <c r="L10" s="247">
        <f>IF($C10&gt;$AN$1,"",SUMIFS(Data!$R$4:$R$375,Data!$A$4:$A$375,"&gt;="&amp;$C10,Data!$A$4:$A$375,"&lt;="&amp;($C10+6)))</f>
        <v/>
      </c>
      <c r="M10" s="247">
        <f>IF($C10&gt;$AN$1,"",SUMIFS(Data!$S$4:$S$375,Data!$A$4:$A$375,"&gt;="&amp;$C10,Data!$A$4:$A$375,"&lt;="&amp;($C10+6))+SUMIFS(Data!$AC$4:$AC$375,Data!$A$4:$A$375,"&gt;="&amp;$C10,Data!$A$4:$A$375,"&lt;="&amp;($C10+6)))</f>
        <v/>
      </c>
      <c r="N10" s="255">
        <f>IF($C10&gt;$AN$1,"",IFERROR(AVERAGEIFS(Data!$AG$4:$AG$375,Data!$A$4:$A$375,"&gt;="&amp;$C10,Data!$A$4:$A$375,"&lt;="&amp;($C10+6),Data!$AG$4:$AG$375,"&gt;0"),""))</f>
        <v/>
      </c>
      <c r="O10" s="247">
        <f>IF($C10&gt;$AN$1,"",IFERROR(AVERAGEIFS(Data!$AH$4:$AH$375,Data!$A$4:$A$375,"&gt;="&amp;$C10,Data!$A$4:$A$375,"&lt;="&amp;($C10+6),Data!$AH$4:$AH$375,"&gt;0"),""))</f>
        <v/>
      </c>
      <c r="P10" s="251">
        <f>IF($C10&gt;$AN$1,"",IFERROR(AVERAGEIFS(Data!$AK$4:$AK$375,Data!$A$4:$A$375,"&gt;="&amp;$C10,Data!$A$4:$A$375,"&lt;="&amp;($C10+6),Data!$AK$4:$AK$375,"&gt;0"),""))</f>
        <v/>
      </c>
      <c r="Q10" s="251">
        <f>IF($C10&gt;$AN$1,"",IFERROR(AVERAGEIFS(Data!$AL$4:$AL$375,Data!$A$4:$A$375,"&gt;="&amp;$C10,Data!$A$4:$A$375,"&lt;="&amp;($C10+6),Data!$AL$4:$AL$375,"&gt;0"),""))</f>
        <v/>
      </c>
      <c r="R10" s="251">
        <f>IF($C10&gt;$AN$1,"",IFERROR(AVERAGEIFS(Data!$AM$4:$AM$375,Data!$A$4:$A$375,"&gt;="&amp;$C10,Data!$A$4:$A$375,"&lt;="&amp;($C10+6),Data!$AM$4:$AM$375,"&gt;0"),""))</f>
        <v/>
      </c>
      <c r="S10" s="247">
        <f>IF($C10&gt;$AN$1,"",SUMIFS(Data!$G$4:$G$375,Data!$A$4:$A$375,"&gt;="&amp;$C10,Data!$A$4:$A$375,"&lt;="&amp;($C10+6)))</f>
        <v/>
      </c>
      <c r="T10" s="247">
        <f>IF($C10&gt;$AN$1,"",SUMIFS(Data!$Z$4:$Z$375,Data!$A$4:$A$375,"&gt;="&amp;$C10,Data!$A$4:$A$375,"&lt;="&amp;($C10+6)))</f>
        <v/>
      </c>
      <c r="U10" s="247">
        <f>IF($C10&gt;$AN$1,"",SUMIFS(Data!$X$4:$X$375,Data!$A$4:$A$375,"&gt;="&amp;$C10,Data!$A$4:$A$375,"&lt;="&amp;($C10+6)))</f>
        <v/>
      </c>
      <c r="V10" s="247">
        <f>IF($C10&gt;$AN$1,"",SUMIFS(Data!$W$4:$W$375,Data!$A$4:$A$375,"&gt;="&amp;$C10,Data!$A$4:$A$375,"&lt;="&amp;($C10+6)))</f>
        <v/>
      </c>
      <c r="W10" s="247">
        <f>IF($C10&gt;$AN$1,"",SUMIFS(Data!$Y$4:$Y$375,Data!$A$4:$A$375,"&gt;="&amp;$C10,Data!$A$4:$A$375,"&lt;="&amp;($C10+6)))</f>
        <v/>
      </c>
      <c r="X10" s="247">
        <f>IF($C10&gt;$AN$1,"",SUMIFS(Data!$AA$4:$AA$375,Data!$A$4:$A$375,"&gt;="&amp;$C10,Data!$A$4:$A$375,"&lt;="&amp;($C10+6)))</f>
        <v/>
      </c>
      <c r="Y10" s="247">
        <f>IF($C10&gt;$AN$1,"",SUMIFS(Data!$T$4:$T$375,Data!$A$4:$A$375,"&gt;="&amp;$C10,Data!$A$4:$A$375,"&lt;="&amp;($C10+6)))</f>
        <v/>
      </c>
      <c r="Z10" s="247">
        <f>IF($C10&gt;$AN$1,"",IF(NOT(ISNUMBER(D10)),"",ROUND(100*(0.3*IF(ISNUMBER(P10),MIN(1,P10/SleepTarget),0.7)+0.2*IF(ISNUMBER(Q10),Q10/10,0.7)+0.2*IF(ISNUMBER(R10),(10-R10)/9,0.7)+0.15*IF(I10&lt;7,1,0)+0.15*IF(ISNUMBER(J10),MIN(1,J10/0.5),0.5)),0)))</f>
        <v/>
      </c>
      <c r="AA10" s="256" t="n"/>
      <c r="AB10" s="256" t="n"/>
      <c r="AC10" s="257" t="n"/>
      <c r="AD10" s="257" t="n"/>
      <c r="AE10" s="257" t="n"/>
      <c r="AF10" s="257" t="n"/>
      <c r="AG10" s="257" t="n"/>
      <c r="AH10" s="257" t="n"/>
      <c r="AI10" s="256" t="n"/>
      <c r="AJ10" s="1" t="n"/>
      <c r="AK10" s="1" t="n"/>
    </row>
    <row r="11" ht="20" customHeight="1">
      <c r="A11" s="1" t="n"/>
      <c r="B11" s="258" t="n">
        <v>4</v>
      </c>
      <c r="C11" s="259">
        <f>DATE(2026,9,28)+21</f>
        <v/>
      </c>
      <c r="D11" s="260">
        <f>IF($C11&gt;$AN$1,"",IFERROR(AVERAGEIFS(Data!$BF$4:$BF$375,Data!$A$4:$A$375,"&gt;="&amp;$C11,Data!$A$4:$A$375,"&lt;="&amp;($C11+6)),""))</f>
        <v/>
      </c>
      <c r="E11" s="261">
        <f>IF($C11&gt;$AN$1,"",IF(NOT(ISNUMBER(D11)),"—",IF(D11&gt;=Band1,"GREEN",IF(D11&gt;=Band2,"GOOD",IF(D11&gt;=Band3,"NEEDS ATTENTION","RESET")))))</f>
        <v/>
      </c>
      <c r="F11" s="262">
        <f>IF($C11&gt;$AN$1,"",IFERROR(AVERAGEIFS(Data!$AF$4:$AF$375,Data!$A$4:$A$375,"&gt;="&amp;$C11,Data!$A$4:$A$375,"&lt;="&amp;($C11+6),Data!$AF$4:$AF$375,"&gt;0"),""))</f>
        <v/>
      </c>
      <c r="G11" s="263">
        <f>IF($C11&gt;$AN$1,"",IF(AND(ISNUMBER(F11),ISNUMBER(F10)),F11-F10,""))</f>
        <v/>
      </c>
      <c r="H11" s="264">
        <f>IF($C11&gt;$AN$1,"",IF(NOT(ISNUMBER(G11)),"",IF(-G11&gt;LossMaxPct*F11,"too fast",IF(-G11&gt;=LossMin,IF(-G11&lt;=LossMax,"on target","fast end"),IF(-G11&gt;0,"slow","flat / up")))))</f>
        <v/>
      </c>
      <c r="I11" s="258">
        <f>IF($C11&gt;$AN$1,"",SUMIFS(Data!$O$4:$O$375,Data!$A$4:$A$375,"&gt;="&amp;$C11,Data!$A$4:$A$375,"&lt;="&amp;($C11+6)))</f>
        <v/>
      </c>
      <c r="J11" s="265">
        <f>IF($C11&gt;$AN$1,"",IF(I11=0,"",MIN(1,SUMIFS(Data!$P$4:$P$375,Data!$A$4:$A$375,"&gt;="&amp;$C11,Data!$A$4:$A$375,"&lt;="&amp;($C11+6))/I11)))</f>
        <v/>
      </c>
      <c r="K11" s="258">
        <f>IF($C11&gt;$AN$1,"",SUMIFS(Data!$Q$4:$Q$375,Data!$A$4:$A$375,"&gt;="&amp;$C11,Data!$A$4:$A$375,"&lt;="&amp;($C11+6)))</f>
        <v/>
      </c>
      <c r="L11" s="258">
        <f>IF($C11&gt;$AN$1,"",SUMIFS(Data!$R$4:$R$375,Data!$A$4:$A$375,"&gt;="&amp;$C11,Data!$A$4:$A$375,"&lt;="&amp;($C11+6)))</f>
        <v/>
      </c>
      <c r="M11" s="258">
        <f>IF($C11&gt;$AN$1,"",SUMIFS(Data!$S$4:$S$375,Data!$A$4:$A$375,"&gt;="&amp;$C11,Data!$A$4:$A$375,"&lt;="&amp;($C11+6))+SUMIFS(Data!$AC$4:$AC$375,Data!$A$4:$A$375,"&gt;="&amp;$C11,Data!$A$4:$A$375,"&lt;="&amp;($C11+6)))</f>
        <v/>
      </c>
      <c r="N11" s="266">
        <f>IF($C11&gt;$AN$1,"",IFERROR(AVERAGEIFS(Data!$AG$4:$AG$375,Data!$A$4:$A$375,"&gt;="&amp;$C11,Data!$A$4:$A$375,"&lt;="&amp;($C11+6),Data!$AG$4:$AG$375,"&gt;0"),""))</f>
        <v/>
      </c>
      <c r="O11" s="258">
        <f>IF($C11&gt;$AN$1,"",IFERROR(AVERAGEIFS(Data!$AH$4:$AH$375,Data!$A$4:$A$375,"&gt;="&amp;$C11,Data!$A$4:$A$375,"&lt;="&amp;($C11+6),Data!$AH$4:$AH$375,"&gt;0"),""))</f>
        <v/>
      </c>
      <c r="P11" s="262">
        <f>IF($C11&gt;$AN$1,"",IFERROR(AVERAGEIFS(Data!$AK$4:$AK$375,Data!$A$4:$A$375,"&gt;="&amp;$C11,Data!$A$4:$A$375,"&lt;="&amp;($C11+6),Data!$AK$4:$AK$375,"&gt;0"),""))</f>
        <v/>
      </c>
      <c r="Q11" s="262">
        <f>IF($C11&gt;$AN$1,"",IFERROR(AVERAGEIFS(Data!$AL$4:$AL$375,Data!$A$4:$A$375,"&gt;="&amp;$C11,Data!$A$4:$A$375,"&lt;="&amp;($C11+6),Data!$AL$4:$AL$375,"&gt;0"),""))</f>
        <v/>
      </c>
      <c r="R11" s="262">
        <f>IF($C11&gt;$AN$1,"",IFERROR(AVERAGEIFS(Data!$AM$4:$AM$375,Data!$A$4:$A$375,"&gt;="&amp;$C11,Data!$A$4:$A$375,"&lt;="&amp;($C11+6),Data!$AM$4:$AM$375,"&gt;0"),""))</f>
        <v/>
      </c>
      <c r="S11" s="258">
        <f>IF($C11&gt;$AN$1,"",SUMIFS(Data!$G$4:$G$375,Data!$A$4:$A$375,"&gt;="&amp;$C11,Data!$A$4:$A$375,"&lt;="&amp;($C11+6)))</f>
        <v/>
      </c>
      <c r="T11" s="258">
        <f>IF($C11&gt;$AN$1,"",SUMIFS(Data!$Z$4:$Z$375,Data!$A$4:$A$375,"&gt;="&amp;$C11,Data!$A$4:$A$375,"&lt;="&amp;($C11+6)))</f>
        <v/>
      </c>
      <c r="U11" s="258">
        <f>IF($C11&gt;$AN$1,"",SUMIFS(Data!$X$4:$X$375,Data!$A$4:$A$375,"&gt;="&amp;$C11,Data!$A$4:$A$375,"&lt;="&amp;($C11+6)))</f>
        <v/>
      </c>
      <c r="V11" s="258">
        <f>IF($C11&gt;$AN$1,"",SUMIFS(Data!$W$4:$W$375,Data!$A$4:$A$375,"&gt;="&amp;$C11,Data!$A$4:$A$375,"&lt;="&amp;($C11+6)))</f>
        <v/>
      </c>
      <c r="W11" s="258">
        <f>IF($C11&gt;$AN$1,"",SUMIFS(Data!$Y$4:$Y$375,Data!$A$4:$A$375,"&gt;="&amp;$C11,Data!$A$4:$A$375,"&lt;="&amp;($C11+6)))</f>
        <v/>
      </c>
      <c r="X11" s="258">
        <f>IF($C11&gt;$AN$1,"",SUMIFS(Data!$AA$4:$AA$375,Data!$A$4:$A$375,"&gt;="&amp;$C11,Data!$A$4:$A$375,"&lt;="&amp;($C11+6)))</f>
        <v/>
      </c>
      <c r="Y11" s="258">
        <f>IF($C11&gt;$AN$1,"",SUMIFS(Data!$T$4:$T$375,Data!$A$4:$A$375,"&gt;="&amp;$C11,Data!$A$4:$A$375,"&lt;="&amp;($C11+6)))</f>
        <v/>
      </c>
      <c r="Z11" s="258">
        <f>IF($C11&gt;$AN$1,"",IF(NOT(ISNUMBER(D11)),"",ROUND(100*(0.3*IF(ISNUMBER(P11),MIN(1,P11/SleepTarget),0.7)+0.2*IF(ISNUMBER(Q11),Q11/10,0.7)+0.2*IF(ISNUMBER(R11),(10-R11)/9,0.7)+0.15*IF(I11&lt;7,1,0)+0.15*IF(ISNUMBER(J11),MIN(1,J11/0.5),0.5)),0)))</f>
        <v/>
      </c>
      <c r="AA11" s="91" t="n"/>
      <c r="AB11" s="91" t="n"/>
      <c r="AC11" s="267" t="n"/>
      <c r="AD11" s="267" t="n"/>
      <c r="AE11" s="267" t="n"/>
      <c r="AF11" s="267" t="n"/>
      <c r="AG11" s="267" t="n"/>
      <c r="AH11" s="267" t="n"/>
      <c r="AI11" s="91" t="n"/>
      <c r="AJ11" s="1" t="n"/>
      <c r="AK11" s="1" t="n"/>
    </row>
    <row r="12" ht="20" customHeight="1">
      <c r="A12" s="1" t="n"/>
      <c r="B12" s="247" t="n">
        <v>5</v>
      </c>
      <c r="C12" s="248">
        <f>DATE(2026,9,28)+28</f>
        <v/>
      </c>
      <c r="D12" s="249">
        <f>IF($C12&gt;$AN$1,"",IFERROR(AVERAGEIFS(Data!$BF$4:$BF$375,Data!$A$4:$A$375,"&gt;="&amp;$C12,Data!$A$4:$A$375,"&lt;="&amp;($C12+6)),""))</f>
        <v/>
      </c>
      <c r="E12" s="250">
        <f>IF($C12&gt;$AN$1,"",IF(NOT(ISNUMBER(D12)),"—",IF(D12&gt;=Band1,"GREEN",IF(D12&gt;=Band2,"GOOD",IF(D12&gt;=Band3,"NEEDS ATTENTION","RESET")))))</f>
        <v/>
      </c>
      <c r="F12" s="251">
        <f>IF($C12&gt;$AN$1,"",IFERROR(AVERAGEIFS(Data!$AF$4:$AF$375,Data!$A$4:$A$375,"&gt;="&amp;$C12,Data!$A$4:$A$375,"&lt;="&amp;($C12+6),Data!$AF$4:$AF$375,"&gt;0"),""))</f>
        <v/>
      </c>
      <c r="G12" s="252">
        <f>IF($C12&gt;$AN$1,"",IF(AND(ISNUMBER(F12),ISNUMBER(F11)),F12-F11,""))</f>
        <v/>
      </c>
      <c r="H12" s="253">
        <f>IF($C12&gt;$AN$1,"",IF(NOT(ISNUMBER(G12)),"",IF(-G12&gt;LossMaxPct*F12,"too fast",IF(-G12&gt;=LossMin,IF(-G12&lt;=LossMax,"on target","fast end"),IF(-G12&gt;0,"slow","flat / up")))))</f>
        <v/>
      </c>
      <c r="I12" s="247">
        <f>IF($C12&gt;$AN$1,"",SUMIFS(Data!$O$4:$O$375,Data!$A$4:$A$375,"&gt;="&amp;$C12,Data!$A$4:$A$375,"&lt;="&amp;($C12+6)))</f>
        <v/>
      </c>
      <c r="J12" s="254">
        <f>IF($C12&gt;$AN$1,"",IF(I12=0,"",MIN(1,SUMIFS(Data!$P$4:$P$375,Data!$A$4:$A$375,"&gt;="&amp;$C12,Data!$A$4:$A$375,"&lt;="&amp;($C12+6))/I12)))</f>
        <v/>
      </c>
      <c r="K12" s="247">
        <f>IF($C12&gt;$AN$1,"",SUMIFS(Data!$Q$4:$Q$375,Data!$A$4:$A$375,"&gt;="&amp;$C12,Data!$A$4:$A$375,"&lt;="&amp;($C12+6)))</f>
        <v/>
      </c>
      <c r="L12" s="247">
        <f>IF($C12&gt;$AN$1,"",SUMIFS(Data!$R$4:$R$375,Data!$A$4:$A$375,"&gt;="&amp;$C12,Data!$A$4:$A$375,"&lt;="&amp;($C12+6)))</f>
        <v/>
      </c>
      <c r="M12" s="247">
        <f>IF($C12&gt;$AN$1,"",SUMIFS(Data!$S$4:$S$375,Data!$A$4:$A$375,"&gt;="&amp;$C12,Data!$A$4:$A$375,"&lt;="&amp;($C12+6))+SUMIFS(Data!$AC$4:$AC$375,Data!$A$4:$A$375,"&gt;="&amp;$C12,Data!$A$4:$A$375,"&lt;="&amp;($C12+6)))</f>
        <v/>
      </c>
      <c r="N12" s="255">
        <f>IF($C12&gt;$AN$1,"",IFERROR(AVERAGEIFS(Data!$AG$4:$AG$375,Data!$A$4:$A$375,"&gt;="&amp;$C12,Data!$A$4:$A$375,"&lt;="&amp;($C12+6),Data!$AG$4:$AG$375,"&gt;0"),""))</f>
        <v/>
      </c>
      <c r="O12" s="247">
        <f>IF($C12&gt;$AN$1,"",IFERROR(AVERAGEIFS(Data!$AH$4:$AH$375,Data!$A$4:$A$375,"&gt;="&amp;$C12,Data!$A$4:$A$375,"&lt;="&amp;($C12+6),Data!$AH$4:$AH$375,"&gt;0"),""))</f>
        <v/>
      </c>
      <c r="P12" s="251">
        <f>IF($C12&gt;$AN$1,"",IFERROR(AVERAGEIFS(Data!$AK$4:$AK$375,Data!$A$4:$A$375,"&gt;="&amp;$C12,Data!$A$4:$A$375,"&lt;="&amp;($C12+6),Data!$AK$4:$AK$375,"&gt;0"),""))</f>
        <v/>
      </c>
      <c r="Q12" s="251">
        <f>IF($C12&gt;$AN$1,"",IFERROR(AVERAGEIFS(Data!$AL$4:$AL$375,Data!$A$4:$A$375,"&gt;="&amp;$C12,Data!$A$4:$A$375,"&lt;="&amp;($C12+6),Data!$AL$4:$AL$375,"&gt;0"),""))</f>
        <v/>
      </c>
      <c r="R12" s="251">
        <f>IF($C12&gt;$AN$1,"",IFERROR(AVERAGEIFS(Data!$AM$4:$AM$375,Data!$A$4:$A$375,"&gt;="&amp;$C12,Data!$A$4:$A$375,"&lt;="&amp;($C12+6),Data!$AM$4:$AM$375,"&gt;0"),""))</f>
        <v/>
      </c>
      <c r="S12" s="247">
        <f>IF($C12&gt;$AN$1,"",SUMIFS(Data!$G$4:$G$375,Data!$A$4:$A$375,"&gt;="&amp;$C12,Data!$A$4:$A$375,"&lt;="&amp;($C12+6)))</f>
        <v/>
      </c>
      <c r="T12" s="247">
        <f>IF($C12&gt;$AN$1,"",SUMIFS(Data!$Z$4:$Z$375,Data!$A$4:$A$375,"&gt;="&amp;$C12,Data!$A$4:$A$375,"&lt;="&amp;($C12+6)))</f>
        <v/>
      </c>
      <c r="U12" s="247">
        <f>IF($C12&gt;$AN$1,"",SUMIFS(Data!$X$4:$X$375,Data!$A$4:$A$375,"&gt;="&amp;$C12,Data!$A$4:$A$375,"&lt;="&amp;($C12+6)))</f>
        <v/>
      </c>
      <c r="V12" s="247">
        <f>IF($C12&gt;$AN$1,"",SUMIFS(Data!$W$4:$W$375,Data!$A$4:$A$375,"&gt;="&amp;$C12,Data!$A$4:$A$375,"&lt;="&amp;($C12+6)))</f>
        <v/>
      </c>
      <c r="W12" s="247">
        <f>IF($C12&gt;$AN$1,"",SUMIFS(Data!$Y$4:$Y$375,Data!$A$4:$A$375,"&gt;="&amp;$C12,Data!$A$4:$A$375,"&lt;="&amp;($C12+6)))</f>
        <v/>
      </c>
      <c r="X12" s="247">
        <f>IF($C12&gt;$AN$1,"",SUMIFS(Data!$AA$4:$AA$375,Data!$A$4:$A$375,"&gt;="&amp;$C12,Data!$A$4:$A$375,"&lt;="&amp;($C12+6)))</f>
        <v/>
      </c>
      <c r="Y12" s="247">
        <f>IF($C12&gt;$AN$1,"",SUMIFS(Data!$T$4:$T$375,Data!$A$4:$A$375,"&gt;="&amp;$C12,Data!$A$4:$A$375,"&lt;="&amp;($C12+6)))</f>
        <v/>
      </c>
      <c r="Z12" s="247">
        <f>IF($C12&gt;$AN$1,"",IF(NOT(ISNUMBER(D12)),"",ROUND(100*(0.3*IF(ISNUMBER(P12),MIN(1,P12/SleepTarget),0.7)+0.2*IF(ISNUMBER(Q12),Q12/10,0.7)+0.2*IF(ISNUMBER(R12),(10-R12)/9,0.7)+0.15*IF(I12&lt;7,1,0)+0.15*IF(ISNUMBER(J12),MIN(1,J12/0.5),0.5)),0)))</f>
        <v/>
      </c>
      <c r="AA12" s="256" t="n"/>
      <c r="AB12" s="256" t="n"/>
      <c r="AC12" s="257" t="n"/>
      <c r="AD12" s="257" t="n"/>
      <c r="AE12" s="257" t="n"/>
      <c r="AF12" s="257" t="n"/>
      <c r="AG12" s="257" t="n"/>
      <c r="AH12" s="257" t="n"/>
      <c r="AI12" s="256" t="n"/>
      <c r="AJ12" s="1" t="n"/>
      <c r="AK12" s="1" t="n"/>
    </row>
    <row r="13" ht="20" customHeight="1">
      <c r="A13" s="1" t="n"/>
      <c r="B13" s="258" t="n">
        <v>6</v>
      </c>
      <c r="C13" s="259">
        <f>DATE(2026,9,28)+35</f>
        <v/>
      </c>
      <c r="D13" s="260">
        <f>IF($C13&gt;$AN$1,"",IFERROR(AVERAGEIFS(Data!$BF$4:$BF$375,Data!$A$4:$A$375,"&gt;="&amp;$C13,Data!$A$4:$A$375,"&lt;="&amp;($C13+6)),""))</f>
        <v/>
      </c>
      <c r="E13" s="261">
        <f>IF($C13&gt;$AN$1,"",IF(NOT(ISNUMBER(D13)),"—",IF(D13&gt;=Band1,"GREEN",IF(D13&gt;=Band2,"GOOD",IF(D13&gt;=Band3,"NEEDS ATTENTION","RESET")))))</f>
        <v/>
      </c>
      <c r="F13" s="262">
        <f>IF($C13&gt;$AN$1,"",IFERROR(AVERAGEIFS(Data!$AF$4:$AF$375,Data!$A$4:$A$375,"&gt;="&amp;$C13,Data!$A$4:$A$375,"&lt;="&amp;($C13+6),Data!$AF$4:$AF$375,"&gt;0"),""))</f>
        <v/>
      </c>
      <c r="G13" s="263">
        <f>IF($C13&gt;$AN$1,"",IF(AND(ISNUMBER(F13),ISNUMBER(F12)),F13-F12,""))</f>
        <v/>
      </c>
      <c r="H13" s="264">
        <f>IF($C13&gt;$AN$1,"",IF(NOT(ISNUMBER(G13)),"",IF(-G13&gt;LossMaxPct*F13,"too fast",IF(-G13&gt;=LossMin,IF(-G13&lt;=LossMax,"on target","fast end"),IF(-G13&gt;0,"slow","flat / up")))))</f>
        <v/>
      </c>
      <c r="I13" s="258">
        <f>IF($C13&gt;$AN$1,"",SUMIFS(Data!$O$4:$O$375,Data!$A$4:$A$375,"&gt;="&amp;$C13,Data!$A$4:$A$375,"&lt;="&amp;($C13+6)))</f>
        <v/>
      </c>
      <c r="J13" s="265">
        <f>IF($C13&gt;$AN$1,"",IF(I13=0,"",MIN(1,SUMIFS(Data!$P$4:$P$375,Data!$A$4:$A$375,"&gt;="&amp;$C13,Data!$A$4:$A$375,"&lt;="&amp;($C13+6))/I13)))</f>
        <v/>
      </c>
      <c r="K13" s="258">
        <f>IF($C13&gt;$AN$1,"",SUMIFS(Data!$Q$4:$Q$375,Data!$A$4:$A$375,"&gt;="&amp;$C13,Data!$A$4:$A$375,"&lt;="&amp;($C13+6)))</f>
        <v/>
      </c>
      <c r="L13" s="258">
        <f>IF($C13&gt;$AN$1,"",SUMIFS(Data!$R$4:$R$375,Data!$A$4:$A$375,"&gt;="&amp;$C13,Data!$A$4:$A$375,"&lt;="&amp;($C13+6)))</f>
        <v/>
      </c>
      <c r="M13" s="258">
        <f>IF($C13&gt;$AN$1,"",SUMIFS(Data!$S$4:$S$375,Data!$A$4:$A$375,"&gt;="&amp;$C13,Data!$A$4:$A$375,"&lt;="&amp;($C13+6))+SUMIFS(Data!$AC$4:$AC$375,Data!$A$4:$A$375,"&gt;="&amp;$C13,Data!$A$4:$A$375,"&lt;="&amp;($C13+6)))</f>
        <v/>
      </c>
      <c r="N13" s="266">
        <f>IF($C13&gt;$AN$1,"",IFERROR(AVERAGEIFS(Data!$AG$4:$AG$375,Data!$A$4:$A$375,"&gt;="&amp;$C13,Data!$A$4:$A$375,"&lt;="&amp;($C13+6),Data!$AG$4:$AG$375,"&gt;0"),""))</f>
        <v/>
      </c>
      <c r="O13" s="258">
        <f>IF($C13&gt;$AN$1,"",IFERROR(AVERAGEIFS(Data!$AH$4:$AH$375,Data!$A$4:$A$375,"&gt;="&amp;$C13,Data!$A$4:$A$375,"&lt;="&amp;($C13+6),Data!$AH$4:$AH$375,"&gt;0"),""))</f>
        <v/>
      </c>
      <c r="P13" s="262">
        <f>IF($C13&gt;$AN$1,"",IFERROR(AVERAGEIFS(Data!$AK$4:$AK$375,Data!$A$4:$A$375,"&gt;="&amp;$C13,Data!$A$4:$A$375,"&lt;="&amp;($C13+6),Data!$AK$4:$AK$375,"&gt;0"),""))</f>
        <v/>
      </c>
      <c r="Q13" s="262">
        <f>IF($C13&gt;$AN$1,"",IFERROR(AVERAGEIFS(Data!$AL$4:$AL$375,Data!$A$4:$A$375,"&gt;="&amp;$C13,Data!$A$4:$A$375,"&lt;="&amp;($C13+6),Data!$AL$4:$AL$375,"&gt;0"),""))</f>
        <v/>
      </c>
      <c r="R13" s="262">
        <f>IF($C13&gt;$AN$1,"",IFERROR(AVERAGEIFS(Data!$AM$4:$AM$375,Data!$A$4:$A$375,"&gt;="&amp;$C13,Data!$A$4:$A$375,"&lt;="&amp;($C13+6),Data!$AM$4:$AM$375,"&gt;0"),""))</f>
        <v/>
      </c>
      <c r="S13" s="258">
        <f>IF($C13&gt;$AN$1,"",SUMIFS(Data!$G$4:$G$375,Data!$A$4:$A$375,"&gt;="&amp;$C13,Data!$A$4:$A$375,"&lt;="&amp;($C13+6)))</f>
        <v/>
      </c>
      <c r="T13" s="258">
        <f>IF($C13&gt;$AN$1,"",SUMIFS(Data!$Z$4:$Z$375,Data!$A$4:$A$375,"&gt;="&amp;$C13,Data!$A$4:$A$375,"&lt;="&amp;($C13+6)))</f>
        <v/>
      </c>
      <c r="U13" s="258">
        <f>IF($C13&gt;$AN$1,"",SUMIFS(Data!$X$4:$X$375,Data!$A$4:$A$375,"&gt;="&amp;$C13,Data!$A$4:$A$375,"&lt;="&amp;($C13+6)))</f>
        <v/>
      </c>
      <c r="V13" s="258">
        <f>IF($C13&gt;$AN$1,"",SUMIFS(Data!$W$4:$W$375,Data!$A$4:$A$375,"&gt;="&amp;$C13,Data!$A$4:$A$375,"&lt;="&amp;($C13+6)))</f>
        <v/>
      </c>
      <c r="W13" s="258">
        <f>IF($C13&gt;$AN$1,"",SUMIFS(Data!$Y$4:$Y$375,Data!$A$4:$A$375,"&gt;="&amp;$C13,Data!$A$4:$A$375,"&lt;="&amp;($C13+6)))</f>
        <v/>
      </c>
      <c r="X13" s="258">
        <f>IF($C13&gt;$AN$1,"",SUMIFS(Data!$AA$4:$AA$375,Data!$A$4:$A$375,"&gt;="&amp;$C13,Data!$A$4:$A$375,"&lt;="&amp;($C13+6)))</f>
        <v/>
      </c>
      <c r="Y13" s="258">
        <f>IF($C13&gt;$AN$1,"",SUMIFS(Data!$T$4:$T$375,Data!$A$4:$A$375,"&gt;="&amp;$C13,Data!$A$4:$A$375,"&lt;="&amp;($C13+6)))</f>
        <v/>
      </c>
      <c r="Z13" s="258">
        <f>IF($C13&gt;$AN$1,"",IF(NOT(ISNUMBER(D13)),"",ROUND(100*(0.3*IF(ISNUMBER(P13),MIN(1,P13/SleepTarget),0.7)+0.2*IF(ISNUMBER(Q13),Q13/10,0.7)+0.2*IF(ISNUMBER(R13),(10-R13)/9,0.7)+0.15*IF(I13&lt;7,1,0)+0.15*IF(ISNUMBER(J13),MIN(1,J13/0.5),0.5)),0)))</f>
        <v/>
      </c>
      <c r="AA13" s="91" t="n"/>
      <c r="AB13" s="91" t="n"/>
      <c r="AC13" s="267" t="n"/>
      <c r="AD13" s="267" t="n"/>
      <c r="AE13" s="267" t="n"/>
      <c r="AF13" s="267" t="n"/>
      <c r="AG13" s="267" t="n"/>
      <c r="AH13" s="267" t="n"/>
      <c r="AI13" s="91" t="n"/>
      <c r="AJ13" s="1" t="n"/>
      <c r="AK13" s="1" t="n"/>
    </row>
    <row r="14" ht="20" customHeight="1">
      <c r="A14" s="1" t="n"/>
      <c r="B14" s="247" t="n">
        <v>7</v>
      </c>
      <c r="C14" s="248">
        <f>DATE(2026,9,28)+42</f>
        <v/>
      </c>
      <c r="D14" s="249">
        <f>IF($C14&gt;$AN$1,"",IFERROR(AVERAGEIFS(Data!$BF$4:$BF$375,Data!$A$4:$A$375,"&gt;="&amp;$C14,Data!$A$4:$A$375,"&lt;="&amp;($C14+6)),""))</f>
        <v/>
      </c>
      <c r="E14" s="250">
        <f>IF($C14&gt;$AN$1,"",IF(NOT(ISNUMBER(D14)),"—",IF(D14&gt;=Band1,"GREEN",IF(D14&gt;=Band2,"GOOD",IF(D14&gt;=Band3,"NEEDS ATTENTION","RESET")))))</f>
        <v/>
      </c>
      <c r="F14" s="251">
        <f>IF($C14&gt;$AN$1,"",IFERROR(AVERAGEIFS(Data!$AF$4:$AF$375,Data!$A$4:$A$375,"&gt;="&amp;$C14,Data!$A$4:$A$375,"&lt;="&amp;($C14+6),Data!$AF$4:$AF$375,"&gt;0"),""))</f>
        <v/>
      </c>
      <c r="G14" s="252">
        <f>IF($C14&gt;$AN$1,"",IF(AND(ISNUMBER(F14),ISNUMBER(F13)),F14-F13,""))</f>
        <v/>
      </c>
      <c r="H14" s="253">
        <f>IF($C14&gt;$AN$1,"",IF(NOT(ISNUMBER(G14)),"",IF(-G14&gt;LossMaxPct*F14,"too fast",IF(-G14&gt;=LossMin,IF(-G14&lt;=LossMax,"on target","fast end"),IF(-G14&gt;0,"slow","flat / up")))))</f>
        <v/>
      </c>
      <c r="I14" s="247">
        <f>IF($C14&gt;$AN$1,"",SUMIFS(Data!$O$4:$O$375,Data!$A$4:$A$375,"&gt;="&amp;$C14,Data!$A$4:$A$375,"&lt;="&amp;($C14+6)))</f>
        <v/>
      </c>
      <c r="J14" s="254">
        <f>IF($C14&gt;$AN$1,"",IF(I14=0,"",MIN(1,SUMIFS(Data!$P$4:$P$375,Data!$A$4:$A$375,"&gt;="&amp;$C14,Data!$A$4:$A$375,"&lt;="&amp;($C14+6))/I14)))</f>
        <v/>
      </c>
      <c r="K14" s="247">
        <f>IF($C14&gt;$AN$1,"",SUMIFS(Data!$Q$4:$Q$375,Data!$A$4:$A$375,"&gt;="&amp;$C14,Data!$A$4:$A$375,"&lt;="&amp;($C14+6)))</f>
        <v/>
      </c>
      <c r="L14" s="247">
        <f>IF($C14&gt;$AN$1,"",SUMIFS(Data!$R$4:$R$375,Data!$A$4:$A$375,"&gt;="&amp;$C14,Data!$A$4:$A$375,"&lt;="&amp;($C14+6)))</f>
        <v/>
      </c>
      <c r="M14" s="247">
        <f>IF($C14&gt;$AN$1,"",SUMIFS(Data!$S$4:$S$375,Data!$A$4:$A$375,"&gt;="&amp;$C14,Data!$A$4:$A$375,"&lt;="&amp;($C14+6))+SUMIFS(Data!$AC$4:$AC$375,Data!$A$4:$A$375,"&gt;="&amp;$C14,Data!$A$4:$A$375,"&lt;="&amp;($C14+6)))</f>
        <v/>
      </c>
      <c r="N14" s="255">
        <f>IF($C14&gt;$AN$1,"",IFERROR(AVERAGEIFS(Data!$AG$4:$AG$375,Data!$A$4:$A$375,"&gt;="&amp;$C14,Data!$A$4:$A$375,"&lt;="&amp;($C14+6),Data!$AG$4:$AG$375,"&gt;0"),""))</f>
        <v/>
      </c>
      <c r="O14" s="247">
        <f>IF($C14&gt;$AN$1,"",IFERROR(AVERAGEIFS(Data!$AH$4:$AH$375,Data!$A$4:$A$375,"&gt;="&amp;$C14,Data!$A$4:$A$375,"&lt;="&amp;($C14+6),Data!$AH$4:$AH$375,"&gt;0"),""))</f>
        <v/>
      </c>
      <c r="P14" s="251">
        <f>IF($C14&gt;$AN$1,"",IFERROR(AVERAGEIFS(Data!$AK$4:$AK$375,Data!$A$4:$A$375,"&gt;="&amp;$C14,Data!$A$4:$A$375,"&lt;="&amp;($C14+6),Data!$AK$4:$AK$375,"&gt;0"),""))</f>
        <v/>
      </c>
      <c r="Q14" s="251">
        <f>IF($C14&gt;$AN$1,"",IFERROR(AVERAGEIFS(Data!$AL$4:$AL$375,Data!$A$4:$A$375,"&gt;="&amp;$C14,Data!$A$4:$A$375,"&lt;="&amp;($C14+6),Data!$AL$4:$AL$375,"&gt;0"),""))</f>
        <v/>
      </c>
      <c r="R14" s="251">
        <f>IF($C14&gt;$AN$1,"",IFERROR(AVERAGEIFS(Data!$AM$4:$AM$375,Data!$A$4:$A$375,"&gt;="&amp;$C14,Data!$A$4:$A$375,"&lt;="&amp;($C14+6),Data!$AM$4:$AM$375,"&gt;0"),""))</f>
        <v/>
      </c>
      <c r="S14" s="247">
        <f>IF($C14&gt;$AN$1,"",SUMIFS(Data!$G$4:$G$375,Data!$A$4:$A$375,"&gt;="&amp;$C14,Data!$A$4:$A$375,"&lt;="&amp;($C14+6)))</f>
        <v/>
      </c>
      <c r="T14" s="247">
        <f>IF($C14&gt;$AN$1,"",SUMIFS(Data!$Z$4:$Z$375,Data!$A$4:$A$375,"&gt;="&amp;$C14,Data!$A$4:$A$375,"&lt;="&amp;($C14+6)))</f>
        <v/>
      </c>
      <c r="U14" s="247">
        <f>IF($C14&gt;$AN$1,"",SUMIFS(Data!$X$4:$X$375,Data!$A$4:$A$375,"&gt;="&amp;$C14,Data!$A$4:$A$375,"&lt;="&amp;($C14+6)))</f>
        <v/>
      </c>
      <c r="V14" s="247">
        <f>IF($C14&gt;$AN$1,"",SUMIFS(Data!$W$4:$W$375,Data!$A$4:$A$375,"&gt;="&amp;$C14,Data!$A$4:$A$375,"&lt;="&amp;($C14+6)))</f>
        <v/>
      </c>
      <c r="W14" s="247">
        <f>IF($C14&gt;$AN$1,"",SUMIFS(Data!$Y$4:$Y$375,Data!$A$4:$A$375,"&gt;="&amp;$C14,Data!$A$4:$A$375,"&lt;="&amp;($C14+6)))</f>
        <v/>
      </c>
      <c r="X14" s="247">
        <f>IF($C14&gt;$AN$1,"",SUMIFS(Data!$AA$4:$AA$375,Data!$A$4:$A$375,"&gt;="&amp;$C14,Data!$A$4:$A$375,"&lt;="&amp;($C14+6)))</f>
        <v/>
      </c>
      <c r="Y14" s="247">
        <f>IF($C14&gt;$AN$1,"",SUMIFS(Data!$T$4:$T$375,Data!$A$4:$A$375,"&gt;="&amp;$C14,Data!$A$4:$A$375,"&lt;="&amp;($C14+6)))</f>
        <v/>
      </c>
      <c r="Z14" s="247">
        <f>IF($C14&gt;$AN$1,"",IF(NOT(ISNUMBER(D14)),"",ROUND(100*(0.3*IF(ISNUMBER(P14),MIN(1,P14/SleepTarget),0.7)+0.2*IF(ISNUMBER(Q14),Q14/10,0.7)+0.2*IF(ISNUMBER(R14),(10-R14)/9,0.7)+0.15*IF(I14&lt;7,1,0)+0.15*IF(ISNUMBER(J14),MIN(1,J14/0.5),0.5)),0)))</f>
        <v/>
      </c>
      <c r="AA14" s="256" t="n"/>
      <c r="AB14" s="256" t="n"/>
      <c r="AC14" s="257" t="n"/>
      <c r="AD14" s="257" t="n"/>
      <c r="AE14" s="257" t="n"/>
      <c r="AF14" s="257" t="n"/>
      <c r="AG14" s="257" t="n"/>
      <c r="AH14" s="257" t="n"/>
      <c r="AI14" s="256" t="n"/>
      <c r="AJ14" s="1" t="n"/>
      <c r="AK14" s="1" t="n"/>
    </row>
    <row r="15" ht="20" customHeight="1">
      <c r="A15" s="1" t="n"/>
      <c r="B15" s="258" t="n">
        <v>8</v>
      </c>
      <c r="C15" s="259">
        <f>DATE(2026,9,28)+49</f>
        <v/>
      </c>
      <c r="D15" s="260">
        <f>IF($C15&gt;$AN$1,"",IFERROR(AVERAGEIFS(Data!$BF$4:$BF$375,Data!$A$4:$A$375,"&gt;="&amp;$C15,Data!$A$4:$A$375,"&lt;="&amp;($C15+6)),""))</f>
        <v/>
      </c>
      <c r="E15" s="261">
        <f>IF($C15&gt;$AN$1,"",IF(NOT(ISNUMBER(D15)),"—",IF(D15&gt;=Band1,"GREEN",IF(D15&gt;=Band2,"GOOD",IF(D15&gt;=Band3,"NEEDS ATTENTION","RESET")))))</f>
        <v/>
      </c>
      <c r="F15" s="262">
        <f>IF($C15&gt;$AN$1,"",IFERROR(AVERAGEIFS(Data!$AF$4:$AF$375,Data!$A$4:$A$375,"&gt;="&amp;$C15,Data!$A$4:$A$375,"&lt;="&amp;($C15+6),Data!$AF$4:$AF$375,"&gt;0"),""))</f>
        <v/>
      </c>
      <c r="G15" s="263">
        <f>IF($C15&gt;$AN$1,"",IF(AND(ISNUMBER(F15),ISNUMBER(F14)),F15-F14,""))</f>
        <v/>
      </c>
      <c r="H15" s="264">
        <f>IF($C15&gt;$AN$1,"",IF(NOT(ISNUMBER(G15)),"",IF(-G15&gt;LossMaxPct*F15,"too fast",IF(-G15&gt;=LossMin,IF(-G15&lt;=LossMax,"on target","fast end"),IF(-G15&gt;0,"slow","flat / up")))))</f>
        <v/>
      </c>
      <c r="I15" s="258">
        <f>IF($C15&gt;$AN$1,"",SUMIFS(Data!$O$4:$O$375,Data!$A$4:$A$375,"&gt;="&amp;$C15,Data!$A$4:$A$375,"&lt;="&amp;($C15+6)))</f>
        <v/>
      </c>
      <c r="J15" s="265">
        <f>IF($C15&gt;$AN$1,"",IF(I15=0,"",MIN(1,SUMIFS(Data!$P$4:$P$375,Data!$A$4:$A$375,"&gt;="&amp;$C15,Data!$A$4:$A$375,"&lt;="&amp;($C15+6))/I15)))</f>
        <v/>
      </c>
      <c r="K15" s="258">
        <f>IF($C15&gt;$AN$1,"",SUMIFS(Data!$Q$4:$Q$375,Data!$A$4:$A$375,"&gt;="&amp;$C15,Data!$A$4:$A$375,"&lt;="&amp;($C15+6)))</f>
        <v/>
      </c>
      <c r="L15" s="258">
        <f>IF($C15&gt;$AN$1,"",SUMIFS(Data!$R$4:$R$375,Data!$A$4:$A$375,"&gt;="&amp;$C15,Data!$A$4:$A$375,"&lt;="&amp;($C15+6)))</f>
        <v/>
      </c>
      <c r="M15" s="258">
        <f>IF($C15&gt;$AN$1,"",SUMIFS(Data!$S$4:$S$375,Data!$A$4:$A$375,"&gt;="&amp;$C15,Data!$A$4:$A$375,"&lt;="&amp;($C15+6))+SUMIFS(Data!$AC$4:$AC$375,Data!$A$4:$A$375,"&gt;="&amp;$C15,Data!$A$4:$A$375,"&lt;="&amp;($C15+6)))</f>
        <v/>
      </c>
      <c r="N15" s="266">
        <f>IF($C15&gt;$AN$1,"",IFERROR(AVERAGEIFS(Data!$AG$4:$AG$375,Data!$A$4:$A$375,"&gt;="&amp;$C15,Data!$A$4:$A$375,"&lt;="&amp;($C15+6),Data!$AG$4:$AG$375,"&gt;0"),""))</f>
        <v/>
      </c>
      <c r="O15" s="258">
        <f>IF($C15&gt;$AN$1,"",IFERROR(AVERAGEIFS(Data!$AH$4:$AH$375,Data!$A$4:$A$375,"&gt;="&amp;$C15,Data!$A$4:$A$375,"&lt;="&amp;($C15+6),Data!$AH$4:$AH$375,"&gt;0"),""))</f>
        <v/>
      </c>
      <c r="P15" s="262">
        <f>IF($C15&gt;$AN$1,"",IFERROR(AVERAGEIFS(Data!$AK$4:$AK$375,Data!$A$4:$A$375,"&gt;="&amp;$C15,Data!$A$4:$A$375,"&lt;="&amp;($C15+6),Data!$AK$4:$AK$375,"&gt;0"),""))</f>
        <v/>
      </c>
      <c r="Q15" s="262">
        <f>IF($C15&gt;$AN$1,"",IFERROR(AVERAGEIFS(Data!$AL$4:$AL$375,Data!$A$4:$A$375,"&gt;="&amp;$C15,Data!$A$4:$A$375,"&lt;="&amp;($C15+6),Data!$AL$4:$AL$375,"&gt;0"),""))</f>
        <v/>
      </c>
      <c r="R15" s="262">
        <f>IF($C15&gt;$AN$1,"",IFERROR(AVERAGEIFS(Data!$AM$4:$AM$375,Data!$A$4:$A$375,"&gt;="&amp;$C15,Data!$A$4:$A$375,"&lt;="&amp;($C15+6),Data!$AM$4:$AM$375,"&gt;0"),""))</f>
        <v/>
      </c>
      <c r="S15" s="258">
        <f>IF($C15&gt;$AN$1,"",SUMIFS(Data!$G$4:$G$375,Data!$A$4:$A$375,"&gt;="&amp;$C15,Data!$A$4:$A$375,"&lt;="&amp;($C15+6)))</f>
        <v/>
      </c>
      <c r="T15" s="258">
        <f>IF($C15&gt;$AN$1,"",SUMIFS(Data!$Z$4:$Z$375,Data!$A$4:$A$375,"&gt;="&amp;$C15,Data!$A$4:$A$375,"&lt;="&amp;($C15+6)))</f>
        <v/>
      </c>
      <c r="U15" s="258">
        <f>IF($C15&gt;$AN$1,"",SUMIFS(Data!$X$4:$X$375,Data!$A$4:$A$375,"&gt;="&amp;$C15,Data!$A$4:$A$375,"&lt;="&amp;($C15+6)))</f>
        <v/>
      </c>
      <c r="V15" s="258">
        <f>IF($C15&gt;$AN$1,"",SUMIFS(Data!$W$4:$W$375,Data!$A$4:$A$375,"&gt;="&amp;$C15,Data!$A$4:$A$375,"&lt;="&amp;($C15+6)))</f>
        <v/>
      </c>
      <c r="W15" s="258">
        <f>IF($C15&gt;$AN$1,"",SUMIFS(Data!$Y$4:$Y$375,Data!$A$4:$A$375,"&gt;="&amp;$C15,Data!$A$4:$A$375,"&lt;="&amp;($C15+6)))</f>
        <v/>
      </c>
      <c r="X15" s="258">
        <f>IF($C15&gt;$AN$1,"",SUMIFS(Data!$AA$4:$AA$375,Data!$A$4:$A$375,"&gt;="&amp;$C15,Data!$A$4:$A$375,"&lt;="&amp;($C15+6)))</f>
        <v/>
      </c>
      <c r="Y15" s="258">
        <f>IF($C15&gt;$AN$1,"",SUMIFS(Data!$T$4:$T$375,Data!$A$4:$A$375,"&gt;="&amp;$C15,Data!$A$4:$A$375,"&lt;="&amp;($C15+6)))</f>
        <v/>
      </c>
      <c r="Z15" s="258">
        <f>IF($C15&gt;$AN$1,"",IF(NOT(ISNUMBER(D15)),"",ROUND(100*(0.3*IF(ISNUMBER(P15),MIN(1,P15/SleepTarget),0.7)+0.2*IF(ISNUMBER(Q15),Q15/10,0.7)+0.2*IF(ISNUMBER(R15),(10-R15)/9,0.7)+0.15*IF(I15&lt;7,1,0)+0.15*IF(ISNUMBER(J15),MIN(1,J15/0.5),0.5)),0)))</f>
        <v/>
      </c>
      <c r="AA15" s="91" t="n"/>
      <c r="AB15" s="91" t="n"/>
      <c r="AC15" s="267" t="n"/>
      <c r="AD15" s="267" t="n"/>
      <c r="AE15" s="267" t="n"/>
      <c r="AF15" s="267" t="n"/>
      <c r="AG15" s="267" t="n"/>
      <c r="AH15" s="267" t="n"/>
      <c r="AI15" s="91" t="n"/>
      <c r="AJ15" s="1" t="n"/>
      <c r="AK15" s="1" t="n"/>
    </row>
    <row r="16" ht="20" customHeight="1">
      <c r="A16" s="1" t="n"/>
      <c r="B16" s="247" t="n">
        <v>9</v>
      </c>
      <c r="C16" s="248">
        <f>DATE(2026,9,28)+56</f>
        <v/>
      </c>
      <c r="D16" s="249">
        <f>IF($C16&gt;$AN$1,"",IFERROR(AVERAGEIFS(Data!$BF$4:$BF$375,Data!$A$4:$A$375,"&gt;="&amp;$C16,Data!$A$4:$A$375,"&lt;="&amp;($C16+6)),""))</f>
        <v/>
      </c>
      <c r="E16" s="250">
        <f>IF($C16&gt;$AN$1,"",IF(NOT(ISNUMBER(D16)),"—",IF(D16&gt;=Band1,"GREEN",IF(D16&gt;=Band2,"GOOD",IF(D16&gt;=Band3,"NEEDS ATTENTION","RESET")))))</f>
        <v/>
      </c>
      <c r="F16" s="251">
        <f>IF($C16&gt;$AN$1,"",IFERROR(AVERAGEIFS(Data!$AF$4:$AF$375,Data!$A$4:$A$375,"&gt;="&amp;$C16,Data!$A$4:$A$375,"&lt;="&amp;($C16+6),Data!$AF$4:$AF$375,"&gt;0"),""))</f>
        <v/>
      </c>
      <c r="G16" s="252">
        <f>IF($C16&gt;$AN$1,"",IF(AND(ISNUMBER(F16),ISNUMBER(F15)),F16-F15,""))</f>
        <v/>
      </c>
      <c r="H16" s="253">
        <f>IF($C16&gt;$AN$1,"",IF(NOT(ISNUMBER(G16)),"",IF(-G16&gt;LossMaxPct*F16,"too fast",IF(-G16&gt;=LossMin,IF(-G16&lt;=LossMax,"on target","fast end"),IF(-G16&gt;0,"slow","flat / up")))))</f>
        <v/>
      </c>
      <c r="I16" s="247">
        <f>IF($C16&gt;$AN$1,"",SUMIFS(Data!$O$4:$O$375,Data!$A$4:$A$375,"&gt;="&amp;$C16,Data!$A$4:$A$375,"&lt;="&amp;($C16+6)))</f>
        <v/>
      </c>
      <c r="J16" s="254">
        <f>IF($C16&gt;$AN$1,"",IF(I16=0,"",MIN(1,SUMIFS(Data!$P$4:$P$375,Data!$A$4:$A$375,"&gt;="&amp;$C16,Data!$A$4:$A$375,"&lt;="&amp;($C16+6))/I16)))</f>
        <v/>
      </c>
      <c r="K16" s="247">
        <f>IF($C16&gt;$AN$1,"",SUMIFS(Data!$Q$4:$Q$375,Data!$A$4:$A$375,"&gt;="&amp;$C16,Data!$A$4:$A$375,"&lt;="&amp;($C16+6)))</f>
        <v/>
      </c>
      <c r="L16" s="247">
        <f>IF($C16&gt;$AN$1,"",SUMIFS(Data!$R$4:$R$375,Data!$A$4:$A$375,"&gt;="&amp;$C16,Data!$A$4:$A$375,"&lt;="&amp;($C16+6)))</f>
        <v/>
      </c>
      <c r="M16" s="247">
        <f>IF($C16&gt;$AN$1,"",SUMIFS(Data!$S$4:$S$375,Data!$A$4:$A$375,"&gt;="&amp;$C16,Data!$A$4:$A$375,"&lt;="&amp;($C16+6))+SUMIFS(Data!$AC$4:$AC$375,Data!$A$4:$A$375,"&gt;="&amp;$C16,Data!$A$4:$A$375,"&lt;="&amp;($C16+6)))</f>
        <v/>
      </c>
      <c r="N16" s="255">
        <f>IF($C16&gt;$AN$1,"",IFERROR(AVERAGEIFS(Data!$AG$4:$AG$375,Data!$A$4:$A$375,"&gt;="&amp;$C16,Data!$A$4:$A$375,"&lt;="&amp;($C16+6),Data!$AG$4:$AG$375,"&gt;0"),""))</f>
        <v/>
      </c>
      <c r="O16" s="247">
        <f>IF($C16&gt;$AN$1,"",IFERROR(AVERAGEIFS(Data!$AH$4:$AH$375,Data!$A$4:$A$375,"&gt;="&amp;$C16,Data!$A$4:$A$375,"&lt;="&amp;($C16+6),Data!$AH$4:$AH$375,"&gt;0"),""))</f>
        <v/>
      </c>
      <c r="P16" s="251">
        <f>IF($C16&gt;$AN$1,"",IFERROR(AVERAGEIFS(Data!$AK$4:$AK$375,Data!$A$4:$A$375,"&gt;="&amp;$C16,Data!$A$4:$A$375,"&lt;="&amp;($C16+6),Data!$AK$4:$AK$375,"&gt;0"),""))</f>
        <v/>
      </c>
      <c r="Q16" s="251">
        <f>IF($C16&gt;$AN$1,"",IFERROR(AVERAGEIFS(Data!$AL$4:$AL$375,Data!$A$4:$A$375,"&gt;="&amp;$C16,Data!$A$4:$A$375,"&lt;="&amp;($C16+6),Data!$AL$4:$AL$375,"&gt;0"),""))</f>
        <v/>
      </c>
      <c r="R16" s="251">
        <f>IF($C16&gt;$AN$1,"",IFERROR(AVERAGEIFS(Data!$AM$4:$AM$375,Data!$A$4:$A$375,"&gt;="&amp;$C16,Data!$A$4:$A$375,"&lt;="&amp;($C16+6),Data!$AM$4:$AM$375,"&gt;0"),""))</f>
        <v/>
      </c>
      <c r="S16" s="247">
        <f>IF($C16&gt;$AN$1,"",SUMIFS(Data!$G$4:$G$375,Data!$A$4:$A$375,"&gt;="&amp;$C16,Data!$A$4:$A$375,"&lt;="&amp;($C16+6)))</f>
        <v/>
      </c>
      <c r="T16" s="247">
        <f>IF($C16&gt;$AN$1,"",SUMIFS(Data!$Z$4:$Z$375,Data!$A$4:$A$375,"&gt;="&amp;$C16,Data!$A$4:$A$375,"&lt;="&amp;($C16+6)))</f>
        <v/>
      </c>
      <c r="U16" s="247">
        <f>IF($C16&gt;$AN$1,"",SUMIFS(Data!$X$4:$X$375,Data!$A$4:$A$375,"&gt;="&amp;$C16,Data!$A$4:$A$375,"&lt;="&amp;($C16+6)))</f>
        <v/>
      </c>
      <c r="V16" s="247">
        <f>IF($C16&gt;$AN$1,"",SUMIFS(Data!$W$4:$W$375,Data!$A$4:$A$375,"&gt;="&amp;$C16,Data!$A$4:$A$375,"&lt;="&amp;($C16+6)))</f>
        <v/>
      </c>
      <c r="W16" s="247">
        <f>IF($C16&gt;$AN$1,"",SUMIFS(Data!$Y$4:$Y$375,Data!$A$4:$A$375,"&gt;="&amp;$C16,Data!$A$4:$A$375,"&lt;="&amp;($C16+6)))</f>
        <v/>
      </c>
      <c r="X16" s="247">
        <f>IF($C16&gt;$AN$1,"",SUMIFS(Data!$AA$4:$AA$375,Data!$A$4:$A$375,"&gt;="&amp;$C16,Data!$A$4:$A$375,"&lt;="&amp;($C16+6)))</f>
        <v/>
      </c>
      <c r="Y16" s="247">
        <f>IF($C16&gt;$AN$1,"",SUMIFS(Data!$T$4:$T$375,Data!$A$4:$A$375,"&gt;="&amp;$C16,Data!$A$4:$A$375,"&lt;="&amp;($C16+6)))</f>
        <v/>
      </c>
      <c r="Z16" s="247">
        <f>IF($C16&gt;$AN$1,"",IF(NOT(ISNUMBER(D16)),"",ROUND(100*(0.3*IF(ISNUMBER(P16),MIN(1,P16/SleepTarget),0.7)+0.2*IF(ISNUMBER(Q16),Q16/10,0.7)+0.2*IF(ISNUMBER(R16),(10-R16)/9,0.7)+0.15*IF(I16&lt;7,1,0)+0.15*IF(ISNUMBER(J16),MIN(1,J16/0.5),0.5)),0)))</f>
        <v/>
      </c>
      <c r="AA16" s="256" t="n"/>
      <c r="AB16" s="256" t="n"/>
      <c r="AC16" s="257" t="n"/>
      <c r="AD16" s="257" t="n"/>
      <c r="AE16" s="257" t="n"/>
      <c r="AF16" s="257" t="n"/>
      <c r="AG16" s="257" t="n"/>
      <c r="AH16" s="257" t="n"/>
      <c r="AI16" s="256" t="n"/>
      <c r="AJ16" s="1" t="n"/>
      <c r="AK16" s="1" t="n"/>
    </row>
    <row r="17" ht="20" customHeight="1">
      <c r="A17" s="1" t="n"/>
      <c r="B17" s="258" t="n">
        <v>10</v>
      </c>
      <c r="C17" s="259">
        <f>DATE(2026,9,28)+63</f>
        <v/>
      </c>
      <c r="D17" s="260">
        <f>IF($C17&gt;$AN$1,"",IFERROR(AVERAGEIFS(Data!$BF$4:$BF$375,Data!$A$4:$A$375,"&gt;="&amp;$C17,Data!$A$4:$A$375,"&lt;="&amp;($C17+6)),""))</f>
        <v/>
      </c>
      <c r="E17" s="261">
        <f>IF($C17&gt;$AN$1,"",IF(NOT(ISNUMBER(D17)),"—",IF(D17&gt;=Band1,"GREEN",IF(D17&gt;=Band2,"GOOD",IF(D17&gt;=Band3,"NEEDS ATTENTION","RESET")))))</f>
        <v/>
      </c>
      <c r="F17" s="262">
        <f>IF($C17&gt;$AN$1,"",IFERROR(AVERAGEIFS(Data!$AF$4:$AF$375,Data!$A$4:$A$375,"&gt;="&amp;$C17,Data!$A$4:$A$375,"&lt;="&amp;($C17+6),Data!$AF$4:$AF$375,"&gt;0"),""))</f>
        <v/>
      </c>
      <c r="G17" s="263">
        <f>IF($C17&gt;$AN$1,"",IF(AND(ISNUMBER(F17),ISNUMBER(F16)),F17-F16,""))</f>
        <v/>
      </c>
      <c r="H17" s="264">
        <f>IF($C17&gt;$AN$1,"",IF(NOT(ISNUMBER(G17)),"",IF(-G17&gt;LossMaxPct*F17,"too fast",IF(-G17&gt;=LossMin,IF(-G17&lt;=LossMax,"on target","fast end"),IF(-G17&gt;0,"slow","flat / up")))))</f>
        <v/>
      </c>
      <c r="I17" s="258">
        <f>IF($C17&gt;$AN$1,"",SUMIFS(Data!$O$4:$O$375,Data!$A$4:$A$375,"&gt;="&amp;$C17,Data!$A$4:$A$375,"&lt;="&amp;($C17+6)))</f>
        <v/>
      </c>
      <c r="J17" s="265">
        <f>IF($C17&gt;$AN$1,"",IF(I17=0,"",MIN(1,SUMIFS(Data!$P$4:$P$375,Data!$A$4:$A$375,"&gt;="&amp;$C17,Data!$A$4:$A$375,"&lt;="&amp;($C17+6))/I17)))</f>
        <v/>
      </c>
      <c r="K17" s="258">
        <f>IF($C17&gt;$AN$1,"",SUMIFS(Data!$Q$4:$Q$375,Data!$A$4:$A$375,"&gt;="&amp;$C17,Data!$A$4:$A$375,"&lt;="&amp;($C17+6)))</f>
        <v/>
      </c>
      <c r="L17" s="258">
        <f>IF($C17&gt;$AN$1,"",SUMIFS(Data!$R$4:$R$375,Data!$A$4:$A$375,"&gt;="&amp;$C17,Data!$A$4:$A$375,"&lt;="&amp;($C17+6)))</f>
        <v/>
      </c>
      <c r="M17" s="258">
        <f>IF($C17&gt;$AN$1,"",SUMIFS(Data!$S$4:$S$375,Data!$A$4:$A$375,"&gt;="&amp;$C17,Data!$A$4:$A$375,"&lt;="&amp;($C17+6))+SUMIFS(Data!$AC$4:$AC$375,Data!$A$4:$A$375,"&gt;="&amp;$C17,Data!$A$4:$A$375,"&lt;="&amp;($C17+6)))</f>
        <v/>
      </c>
      <c r="N17" s="266">
        <f>IF($C17&gt;$AN$1,"",IFERROR(AVERAGEIFS(Data!$AG$4:$AG$375,Data!$A$4:$A$375,"&gt;="&amp;$C17,Data!$A$4:$A$375,"&lt;="&amp;($C17+6),Data!$AG$4:$AG$375,"&gt;0"),""))</f>
        <v/>
      </c>
      <c r="O17" s="258">
        <f>IF($C17&gt;$AN$1,"",IFERROR(AVERAGEIFS(Data!$AH$4:$AH$375,Data!$A$4:$A$375,"&gt;="&amp;$C17,Data!$A$4:$A$375,"&lt;="&amp;($C17+6),Data!$AH$4:$AH$375,"&gt;0"),""))</f>
        <v/>
      </c>
      <c r="P17" s="262">
        <f>IF($C17&gt;$AN$1,"",IFERROR(AVERAGEIFS(Data!$AK$4:$AK$375,Data!$A$4:$A$375,"&gt;="&amp;$C17,Data!$A$4:$A$375,"&lt;="&amp;($C17+6),Data!$AK$4:$AK$375,"&gt;0"),""))</f>
        <v/>
      </c>
      <c r="Q17" s="262">
        <f>IF($C17&gt;$AN$1,"",IFERROR(AVERAGEIFS(Data!$AL$4:$AL$375,Data!$A$4:$A$375,"&gt;="&amp;$C17,Data!$A$4:$A$375,"&lt;="&amp;($C17+6),Data!$AL$4:$AL$375,"&gt;0"),""))</f>
        <v/>
      </c>
      <c r="R17" s="262">
        <f>IF($C17&gt;$AN$1,"",IFERROR(AVERAGEIFS(Data!$AM$4:$AM$375,Data!$A$4:$A$375,"&gt;="&amp;$C17,Data!$A$4:$A$375,"&lt;="&amp;($C17+6),Data!$AM$4:$AM$375,"&gt;0"),""))</f>
        <v/>
      </c>
      <c r="S17" s="258">
        <f>IF($C17&gt;$AN$1,"",SUMIFS(Data!$G$4:$G$375,Data!$A$4:$A$375,"&gt;="&amp;$C17,Data!$A$4:$A$375,"&lt;="&amp;($C17+6)))</f>
        <v/>
      </c>
      <c r="T17" s="258">
        <f>IF($C17&gt;$AN$1,"",SUMIFS(Data!$Z$4:$Z$375,Data!$A$4:$A$375,"&gt;="&amp;$C17,Data!$A$4:$A$375,"&lt;="&amp;($C17+6)))</f>
        <v/>
      </c>
      <c r="U17" s="258">
        <f>IF($C17&gt;$AN$1,"",SUMIFS(Data!$X$4:$X$375,Data!$A$4:$A$375,"&gt;="&amp;$C17,Data!$A$4:$A$375,"&lt;="&amp;($C17+6)))</f>
        <v/>
      </c>
      <c r="V17" s="258">
        <f>IF($C17&gt;$AN$1,"",SUMIFS(Data!$W$4:$W$375,Data!$A$4:$A$375,"&gt;="&amp;$C17,Data!$A$4:$A$375,"&lt;="&amp;($C17+6)))</f>
        <v/>
      </c>
      <c r="W17" s="258">
        <f>IF($C17&gt;$AN$1,"",SUMIFS(Data!$Y$4:$Y$375,Data!$A$4:$A$375,"&gt;="&amp;$C17,Data!$A$4:$A$375,"&lt;="&amp;($C17+6)))</f>
        <v/>
      </c>
      <c r="X17" s="258">
        <f>IF($C17&gt;$AN$1,"",SUMIFS(Data!$AA$4:$AA$375,Data!$A$4:$A$375,"&gt;="&amp;$C17,Data!$A$4:$A$375,"&lt;="&amp;($C17+6)))</f>
        <v/>
      </c>
      <c r="Y17" s="258">
        <f>IF($C17&gt;$AN$1,"",SUMIFS(Data!$T$4:$T$375,Data!$A$4:$A$375,"&gt;="&amp;$C17,Data!$A$4:$A$375,"&lt;="&amp;($C17+6)))</f>
        <v/>
      </c>
      <c r="Z17" s="258">
        <f>IF($C17&gt;$AN$1,"",IF(NOT(ISNUMBER(D17)),"",ROUND(100*(0.3*IF(ISNUMBER(P17),MIN(1,P17/SleepTarget),0.7)+0.2*IF(ISNUMBER(Q17),Q17/10,0.7)+0.2*IF(ISNUMBER(R17),(10-R17)/9,0.7)+0.15*IF(I17&lt;7,1,0)+0.15*IF(ISNUMBER(J17),MIN(1,J17/0.5),0.5)),0)))</f>
        <v/>
      </c>
      <c r="AA17" s="91" t="n"/>
      <c r="AB17" s="91" t="n"/>
      <c r="AC17" s="267" t="n"/>
      <c r="AD17" s="267" t="n"/>
      <c r="AE17" s="267" t="n"/>
      <c r="AF17" s="267" t="n"/>
      <c r="AG17" s="267" t="n"/>
      <c r="AH17" s="267" t="n"/>
      <c r="AI17" s="91" t="n"/>
      <c r="AJ17" s="1" t="n"/>
      <c r="AK17" s="1" t="n"/>
    </row>
    <row r="18" ht="20" customHeight="1">
      <c r="A18" s="1" t="n"/>
      <c r="B18" s="247" t="n">
        <v>11</v>
      </c>
      <c r="C18" s="248">
        <f>DATE(2026,9,28)+70</f>
        <v/>
      </c>
      <c r="D18" s="249">
        <f>IF($C18&gt;$AN$1,"",IFERROR(AVERAGEIFS(Data!$BF$4:$BF$375,Data!$A$4:$A$375,"&gt;="&amp;$C18,Data!$A$4:$A$375,"&lt;="&amp;($C18+6)),""))</f>
        <v/>
      </c>
      <c r="E18" s="250">
        <f>IF($C18&gt;$AN$1,"",IF(NOT(ISNUMBER(D18)),"—",IF(D18&gt;=Band1,"GREEN",IF(D18&gt;=Band2,"GOOD",IF(D18&gt;=Band3,"NEEDS ATTENTION","RESET")))))</f>
        <v/>
      </c>
      <c r="F18" s="251">
        <f>IF($C18&gt;$AN$1,"",IFERROR(AVERAGEIFS(Data!$AF$4:$AF$375,Data!$A$4:$A$375,"&gt;="&amp;$C18,Data!$A$4:$A$375,"&lt;="&amp;($C18+6),Data!$AF$4:$AF$375,"&gt;0"),""))</f>
        <v/>
      </c>
      <c r="G18" s="252">
        <f>IF($C18&gt;$AN$1,"",IF(AND(ISNUMBER(F18),ISNUMBER(F17)),F18-F17,""))</f>
        <v/>
      </c>
      <c r="H18" s="253">
        <f>IF($C18&gt;$AN$1,"",IF(NOT(ISNUMBER(G18)),"",IF(-G18&gt;LossMaxPct*F18,"too fast",IF(-G18&gt;=LossMin,IF(-G18&lt;=LossMax,"on target","fast end"),IF(-G18&gt;0,"slow","flat / up")))))</f>
        <v/>
      </c>
      <c r="I18" s="247">
        <f>IF($C18&gt;$AN$1,"",SUMIFS(Data!$O$4:$O$375,Data!$A$4:$A$375,"&gt;="&amp;$C18,Data!$A$4:$A$375,"&lt;="&amp;($C18+6)))</f>
        <v/>
      </c>
      <c r="J18" s="254">
        <f>IF($C18&gt;$AN$1,"",IF(I18=0,"",MIN(1,SUMIFS(Data!$P$4:$P$375,Data!$A$4:$A$375,"&gt;="&amp;$C18,Data!$A$4:$A$375,"&lt;="&amp;($C18+6))/I18)))</f>
        <v/>
      </c>
      <c r="K18" s="247">
        <f>IF($C18&gt;$AN$1,"",SUMIFS(Data!$Q$4:$Q$375,Data!$A$4:$A$375,"&gt;="&amp;$C18,Data!$A$4:$A$375,"&lt;="&amp;($C18+6)))</f>
        <v/>
      </c>
      <c r="L18" s="247">
        <f>IF($C18&gt;$AN$1,"",SUMIFS(Data!$R$4:$R$375,Data!$A$4:$A$375,"&gt;="&amp;$C18,Data!$A$4:$A$375,"&lt;="&amp;($C18+6)))</f>
        <v/>
      </c>
      <c r="M18" s="247">
        <f>IF($C18&gt;$AN$1,"",SUMIFS(Data!$S$4:$S$375,Data!$A$4:$A$375,"&gt;="&amp;$C18,Data!$A$4:$A$375,"&lt;="&amp;($C18+6))+SUMIFS(Data!$AC$4:$AC$375,Data!$A$4:$A$375,"&gt;="&amp;$C18,Data!$A$4:$A$375,"&lt;="&amp;($C18+6)))</f>
        <v/>
      </c>
      <c r="N18" s="255">
        <f>IF($C18&gt;$AN$1,"",IFERROR(AVERAGEIFS(Data!$AG$4:$AG$375,Data!$A$4:$A$375,"&gt;="&amp;$C18,Data!$A$4:$A$375,"&lt;="&amp;($C18+6),Data!$AG$4:$AG$375,"&gt;0"),""))</f>
        <v/>
      </c>
      <c r="O18" s="247">
        <f>IF($C18&gt;$AN$1,"",IFERROR(AVERAGEIFS(Data!$AH$4:$AH$375,Data!$A$4:$A$375,"&gt;="&amp;$C18,Data!$A$4:$A$375,"&lt;="&amp;($C18+6),Data!$AH$4:$AH$375,"&gt;0"),""))</f>
        <v/>
      </c>
      <c r="P18" s="251">
        <f>IF($C18&gt;$AN$1,"",IFERROR(AVERAGEIFS(Data!$AK$4:$AK$375,Data!$A$4:$A$375,"&gt;="&amp;$C18,Data!$A$4:$A$375,"&lt;="&amp;($C18+6),Data!$AK$4:$AK$375,"&gt;0"),""))</f>
        <v/>
      </c>
      <c r="Q18" s="251">
        <f>IF($C18&gt;$AN$1,"",IFERROR(AVERAGEIFS(Data!$AL$4:$AL$375,Data!$A$4:$A$375,"&gt;="&amp;$C18,Data!$A$4:$A$375,"&lt;="&amp;($C18+6),Data!$AL$4:$AL$375,"&gt;0"),""))</f>
        <v/>
      </c>
      <c r="R18" s="251">
        <f>IF($C18&gt;$AN$1,"",IFERROR(AVERAGEIFS(Data!$AM$4:$AM$375,Data!$A$4:$A$375,"&gt;="&amp;$C18,Data!$A$4:$A$375,"&lt;="&amp;($C18+6),Data!$AM$4:$AM$375,"&gt;0"),""))</f>
        <v/>
      </c>
      <c r="S18" s="247">
        <f>IF($C18&gt;$AN$1,"",SUMIFS(Data!$G$4:$G$375,Data!$A$4:$A$375,"&gt;="&amp;$C18,Data!$A$4:$A$375,"&lt;="&amp;($C18+6)))</f>
        <v/>
      </c>
      <c r="T18" s="247">
        <f>IF($C18&gt;$AN$1,"",SUMIFS(Data!$Z$4:$Z$375,Data!$A$4:$A$375,"&gt;="&amp;$C18,Data!$A$4:$A$375,"&lt;="&amp;($C18+6)))</f>
        <v/>
      </c>
      <c r="U18" s="247">
        <f>IF($C18&gt;$AN$1,"",SUMIFS(Data!$X$4:$X$375,Data!$A$4:$A$375,"&gt;="&amp;$C18,Data!$A$4:$A$375,"&lt;="&amp;($C18+6)))</f>
        <v/>
      </c>
      <c r="V18" s="247">
        <f>IF($C18&gt;$AN$1,"",SUMIFS(Data!$W$4:$W$375,Data!$A$4:$A$375,"&gt;="&amp;$C18,Data!$A$4:$A$375,"&lt;="&amp;($C18+6)))</f>
        <v/>
      </c>
      <c r="W18" s="247">
        <f>IF($C18&gt;$AN$1,"",SUMIFS(Data!$Y$4:$Y$375,Data!$A$4:$A$375,"&gt;="&amp;$C18,Data!$A$4:$A$375,"&lt;="&amp;($C18+6)))</f>
        <v/>
      </c>
      <c r="X18" s="247">
        <f>IF($C18&gt;$AN$1,"",SUMIFS(Data!$AA$4:$AA$375,Data!$A$4:$A$375,"&gt;="&amp;$C18,Data!$A$4:$A$375,"&lt;="&amp;($C18+6)))</f>
        <v/>
      </c>
      <c r="Y18" s="247">
        <f>IF($C18&gt;$AN$1,"",SUMIFS(Data!$T$4:$T$375,Data!$A$4:$A$375,"&gt;="&amp;$C18,Data!$A$4:$A$375,"&lt;="&amp;($C18+6)))</f>
        <v/>
      </c>
      <c r="Z18" s="247">
        <f>IF($C18&gt;$AN$1,"",IF(NOT(ISNUMBER(D18)),"",ROUND(100*(0.3*IF(ISNUMBER(P18),MIN(1,P18/SleepTarget),0.7)+0.2*IF(ISNUMBER(Q18),Q18/10,0.7)+0.2*IF(ISNUMBER(R18),(10-R18)/9,0.7)+0.15*IF(I18&lt;7,1,0)+0.15*IF(ISNUMBER(J18),MIN(1,J18/0.5),0.5)),0)))</f>
        <v/>
      </c>
      <c r="AA18" s="256" t="n"/>
      <c r="AB18" s="256" t="n"/>
      <c r="AC18" s="257" t="n"/>
      <c r="AD18" s="257" t="n"/>
      <c r="AE18" s="257" t="n"/>
      <c r="AF18" s="257" t="n"/>
      <c r="AG18" s="257" t="n"/>
      <c r="AH18" s="257" t="n"/>
      <c r="AI18" s="256" t="n"/>
      <c r="AJ18" s="1" t="n"/>
      <c r="AK18" s="1" t="n"/>
    </row>
    <row r="19" ht="20" customHeight="1">
      <c r="A19" s="1" t="n"/>
      <c r="B19" s="258" t="n">
        <v>12</v>
      </c>
      <c r="C19" s="259">
        <f>DATE(2026,9,28)+77</f>
        <v/>
      </c>
      <c r="D19" s="260">
        <f>IF($C19&gt;$AN$1,"",IFERROR(AVERAGEIFS(Data!$BF$4:$BF$375,Data!$A$4:$A$375,"&gt;="&amp;$C19,Data!$A$4:$A$375,"&lt;="&amp;($C19+6)),""))</f>
        <v/>
      </c>
      <c r="E19" s="261">
        <f>IF($C19&gt;$AN$1,"",IF(NOT(ISNUMBER(D19)),"—",IF(D19&gt;=Band1,"GREEN",IF(D19&gt;=Band2,"GOOD",IF(D19&gt;=Band3,"NEEDS ATTENTION","RESET")))))</f>
        <v/>
      </c>
      <c r="F19" s="262">
        <f>IF($C19&gt;$AN$1,"",IFERROR(AVERAGEIFS(Data!$AF$4:$AF$375,Data!$A$4:$A$375,"&gt;="&amp;$C19,Data!$A$4:$A$375,"&lt;="&amp;($C19+6),Data!$AF$4:$AF$375,"&gt;0"),""))</f>
        <v/>
      </c>
      <c r="G19" s="263">
        <f>IF($C19&gt;$AN$1,"",IF(AND(ISNUMBER(F19),ISNUMBER(F18)),F19-F18,""))</f>
        <v/>
      </c>
      <c r="H19" s="264">
        <f>IF($C19&gt;$AN$1,"",IF(NOT(ISNUMBER(G19)),"",IF(-G19&gt;LossMaxPct*F19,"too fast",IF(-G19&gt;=LossMin,IF(-G19&lt;=LossMax,"on target","fast end"),IF(-G19&gt;0,"slow","flat / up")))))</f>
        <v/>
      </c>
      <c r="I19" s="258">
        <f>IF($C19&gt;$AN$1,"",SUMIFS(Data!$O$4:$O$375,Data!$A$4:$A$375,"&gt;="&amp;$C19,Data!$A$4:$A$375,"&lt;="&amp;($C19+6)))</f>
        <v/>
      </c>
      <c r="J19" s="265">
        <f>IF($C19&gt;$AN$1,"",IF(I19=0,"",MIN(1,SUMIFS(Data!$P$4:$P$375,Data!$A$4:$A$375,"&gt;="&amp;$C19,Data!$A$4:$A$375,"&lt;="&amp;($C19+6))/I19)))</f>
        <v/>
      </c>
      <c r="K19" s="258">
        <f>IF($C19&gt;$AN$1,"",SUMIFS(Data!$Q$4:$Q$375,Data!$A$4:$A$375,"&gt;="&amp;$C19,Data!$A$4:$A$375,"&lt;="&amp;($C19+6)))</f>
        <v/>
      </c>
      <c r="L19" s="258">
        <f>IF($C19&gt;$AN$1,"",SUMIFS(Data!$R$4:$R$375,Data!$A$4:$A$375,"&gt;="&amp;$C19,Data!$A$4:$A$375,"&lt;="&amp;($C19+6)))</f>
        <v/>
      </c>
      <c r="M19" s="258">
        <f>IF($C19&gt;$AN$1,"",SUMIFS(Data!$S$4:$S$375,Data!$A$4:$A$375,"&gt;="&amp;$C19,Data!$A$4:$A$375,"&lt;="&amp;($C19+6))+SUMIFS(Data!$AC$4:$AC$375,Data!$A$4:$A$375,"&gt;="&amp;$C19,Data!$A$4:$A$375,"&lt;="&amp;($C19+6)))</f>
        <v/>
      </c>
      <c r="N19" s="266">
        <f>IF($C19&gt;$AN$1,"",IFERROR(AVERAGEIFS(Data!$AG$4:$AG$375,Data!$A$4:$A$375,"&gt;="&amp;$C19,Data!$A$4:$A$375,"&lt;="&amp;($C19+6),Data!$AG$4:$AG$375,"&gt;0"),""))</f>
        <v/>
      </c>
      <c r="O19" s="258">
        <f>IF($C19&gt;$AN$1,"",IFERROR(AVERAGEIFS(Data!$AH$4:$AH$375,Data!$A$4:$A$375,"&gt;="&amp;$C19,Data!$A$4:$A$375,"&lt;="&amp;($C19+6),Data!$AH$4:$AH$375,"&gt;0"),""))</f>
        <v/>
      </c>
      <c r="P19" s="262">
        <f>IF($C19&gt;$AN$1,"",IFERROR(AVERAGEIFS(Data!$AK$4:$AK$375,Data!$A$4:$A$375,"&gt;="&amp;$C19,Data!$A$4:$A$375,"&lt;="&amp;($C19+6),Data!$AK$4:$AK$375,"&gt;0"),""))</f>
        <v/>
      </c>
      <c r="Q19" s="262">
        <f>IF($C19&gt;$AN$1,"",IFERROR(AVERAGEIFS(Data!$AL$4:$AL$375,Data!$A$4:$A$375,"&gt;="&amp;$C19,Data!$A$4:$A$375,"&lt;="&amp;($C19+6),Data!$AL$4:$AL$375,"&gt;0"),""))</f>
        <v/>
      </c>
      <c r="R19" s="262">
        <f>IF($C19&gt;$AN$1,"",IFERROR(AVERAGEIFS(Data!$AM$4:$AM$375,Data!$A$4:$A$375,"&gt;="&amp;$C19,Data!$A$4:$A$375,"&lt;="&amp;($C19+6),Data!$AM$4:$AM$375,"&gt;0"),""))</f>
        <v/>
      </c>
      <c r="S19" s="258">
        <f>IF($C19&gt;$AN$1,"",SUMIFS(Data!$G$4:$G$375,Data!$A$4:$A$375,"&gt;="&amp;$C19,Data!$A$4:$A$375,"&lt;="&amp;($C19+6)))</f>
        <v/>
      </c>
      <c r="T19" s="258">
        <f>IF($C19&gt;$AN$1,"",SUMIFS(Data!$Z$4:$Z$375,Data!$A$4:$A$375,"&gt;="&amp;$C19,Data!$A$4:$A$375,"&lt;="&amp;($C19+6)))</f>
        <v/>
      </c>
      <c r="U19" s="258">
        <f>IF($C19&gt;$AN$1,"",SUMIFS(Data!$X$4:$X$375,Data!$A$4:$A$375,"&gt;="&amp;$C19,Data!$A$4:$A$375,"&lt;="&amp;($C19+6)))</f>
        <v/>
      </c>
      <c r="V19" s="258">
        <f>IF($C19&gt;$AN$1,"",SUMIFS(Data!$W$4:$W$375,Data!$A$4:$A$375,"&gt;="&amp;$C19,Data!$A$4:$A$375,"&lt;="&amp;($C19+6)))</f>
        <v/>
      </c>
      <c r="W19" s="258">
        <f>IF($C19&gt;$AN$1,"",SUMIFS(Data!$Y$4:$Y$375,Data!$A$4:$A$375,"&gt;="&amp;$C19,Data!$A$4:$A$375,"&lt;="&amp;($C19+6)))</f>
        <v/>
      </c>
      <c r="X19" s="258">
        <f>IF($C19&gt;$AN$1,"",SUMIFS(Data!$AA$4:$AA$375,Data!$A$4:$A$375,"&gt;="&amp;$C19,Data!$A$4:$A$375,"&lt;="&amp;($C19+6)))</f>
        <v/>
      </c>
      <c r="Y19" s="258">
        <f>IF($C19&gt;$AN$1,"",SUMIFS(Data!$T$4:$T$375,Data!$A$4:$A$375,"&gt;="&amp;$C19,Data!$A$4:$A$375,"&lt;="&amp;($C19+6)))</f>
        <v/>
      </c>
      <c r="Z19" s="258">
        <f>IF($C19&gt;$AN$1,"",IF(NOT(ISNUMBER(D19)),"",ROUND(100*(0.3*IF(ISNUMBER(P19),MIN(1,P19/SleepTarget),0.7)+0.2*IF(ISNUMBER(Q19),Q19/10,0.7)+0.2*IF(ISNUMBER(R19),(10-R19)/9,0.7)+0.15*IF(I19&lt;7,1,0)+0.15*IF(ISNUMBER(J19),MIN(1,J19/0.5),0.5)),0)))</f>
        <v/>
      </c>
      <c r="AA19" s="91" t="n"/>
      <c r="AB19" s="91" t="n"/>
      <c r="AC19" s="267" t="n"/>
      <c r="AD19" s="267" t="n"/>
      <c r="AE19" s="267" t="n"/>
      <c r="AF19" s="267" t="n"/>
      <c r="AG19" s="267" t="n"/>
      <c r="AH19" s="267" t="n"/>
      <c r="AI19" s="91" t="n"/>
      <c r="AJ19" s="1" t="n"/>
      <c r="AK19" s="1" t="n"/>
    </row>
    <row r="20" ht="20" customHeight="1">
      <c r="A20" s="1" t="n"/>
      <c r="B20" s="247" t="n">
        <v>13</v>
      </c>
      <c r="C20" s="248">
        <f>DATE(2026,9,28)+84</f>
        <v/>
      </c>
      <c r="D20" s="249">
        <f>IF($C20&gt;$AN$1,"",IFERROR(AVERAGEIFS(Data!$BF$4:$BF$375,Data!$A$4:$A$375,"&gt;="&amp;$C20,Data!$A$4:$A$375,"&lt;="&amp;($C20+6)),""))</f>
        <v/>
      </c>
      <c r="E20" s="250">
        <f>IF($C20&gt;$AN$1,"",IF(NOT(ISNUMBER(D20)),"—",IF(D20&gt;=Band1,"GREEN",IF(D20&gt;=Band2,"GOOD",IF(D20&gt;=Band3,"NEEDS ATTENTION","RESET")))))</f>
        <v/>
      </c>
      <c r="F20" s="251">
        <f>IF($C20&gt;$AN$1,"",IFERROR(AVERAGEIFS(Data!$AF$4:$AF$375,Data!$A$4:$A$375,"&gt;="&amp;$C20,Data!$A$4:$A$375,"&lt;="&amp;($C20+6),Data!$AF$4:$AF$375,"&gt;0"),""))</f>
        <v/>
      </c>
      <c r="G20" s="252">
        <f>IF($C20&gt;$AN$1,"",IF(AND(ISNUMBER(F20),ISNUMBER(F19)),F20-F19,""))</f>
        <v/>
      </c>
      <c r="H20" s="253">
        <f>IF($C20&gt;$AN$1,"",IF(NOT(ISNUMBER(G20)),"",IF(-G20&gt;LossMaxPct*F20,"too fast",IF(-G20&gt;=LossMin,IF(-G20&lt;=LossMax,"on target","fast end"),IF(-G20&gt;0,"slow","flat / up")))))</f>
        <v/>
      </c>
      <c r="I20" s="247">
        <f>IF($C20&gt;$AN$1,"",SUMIFS(Data!$O$4:$O$375,Data!$A$4:$A$375,"&gt;="&amp;$C20,Data!$A$4:$A$375,"&lt;="&amp;($C20+6)))</f>
        <v/>
      </c>
      <c r="J20" s="254">
        <f>IF($C20&gt;$AN$1,"",IF(I20=0,"",MIN(1,SUMIFS(Data!$P$4:$P$375,Data!$A$4:$A$375,"&gt;="&amp;$C20,Data!$A$4:$A$375,"&lt;="&amp;($C20+6))/I20)))</f>
        <v/>
      </c>
      <c r="K20" s="247">
        <f>IF($C20&gt;$AN$1,"",SUMIFS(Data!$Q$4:$Q$375,Data!$A$4:$A$375,"&gt;="&amp;$C20,Data!$A$4:$A$375,"&lt;="&amp;($C20+6)))</f>
        <v/>
      </c>
      <c r="L20" s="247">
        <f>IF($C20&gt;$AN$1,"",SUMIFS(Data!$R$4:$R$375,Data!$A$4:$A$375,"&gt;="&amp;$C20,Data!$A$4:$A$375,"&lt;="&amp;($C20+6)))</f>
        <v/>
      </c>
      <c r="M20" s="247">
        <f>IF($C20&gt;$AN$1,"",SUMIFS(Data!$S$4:$S$375,Data!$A$4:$A$375,"&gt;="&amp;$C20,Data!$A$4:$A$375,"&lt;="&amp;($C20+6))+SUMIFS(Data!$AC$4:$AC$375,Data!$A$4:$A$375,"&gt;="&amp;$C20,Data!$A$4:$A$375,"&lt;="&amp;($C20+6)))</f>
        <v/>
      </c>
      <c r="N20" s="255">
        <f>IF($C20&gt;$AN$1,"",IFERROR(AVERAGEIFS(Data!$AG$4:$AG$375,Data!$A$4:$A$375,"&gt;="&amp;$C20,Data!$A$4:$A$375,"&lt;="&amp;($C20+6),Data!$AG$4:$AG$375,"&gt;0"),""))</f>
        <v/>
      </c>
      <c r="O20" s="247">
        <f>IF($C20&gt;$AN$1,"",IFERROR(AVERAGEIFS(Data!$AH$4:$AH$375,Data!$A$4:$A$375,"&gt;="&amp;$C20,Data!$A$4:$A$375,"&lt;="&amp;($C20+6),Data!$AH$4:$AH$375,"&gt;0"),""))</f>
        <v/>
      </c>
      <c r="P20" s="251">
        <f>IF($C20&gt;$AN$1,"",IFERROR(AVERAGEIFS(Data!$AK$4:$AK$375,Data!$A$4:$A$375,"&gt;="&amp;$C20,Data!$A$4:$A$375,"&lt;="&amp;($C20+6),Data!$AK$4:$AK$375,"&gt;0"),""))</f>
        <v/>
      </c>
      <c r="Q20" s="251">
        <f>IF($C20&gt;$AN$1,"",IFERROR(AVERAGEIFS(Data!$AL$4:$AL$375,Data!$A$4:$A$375,"&gt;="&amp;$C20,Data!$A$4:$A$375,"&lt;="&amp;($C20+6),Data!$AL$4:$AL$375,"&gt;0"),""))</f>
        <v/>
      </c>
      <c r="R20" s="251">
        <f>IF($C20&gt;$AN$1,"",IFERROR(AVERAGEIFS(Data!$AM$4:$AM$375,Data!$A$4:$A$375,"&gt;="&amp;$C20,Data!$A$4:$A$375,"&lt;="&amp;($C20+6),Data!$AM$4:$AM$375,"&gt;0"),""))</f>
        <v/>
      </c>
      <c r="S20" s="247">
        <f>IF($C20&gt;$AN$1,"",SUMIFS(Data!$G$4:$G$375,Data!$A$4:$A$375,"&gt;="&amp;$C20,Data!$A$4:$A$375,"&lt;="&amp;($C20+6)))</f>
        <v/>
      </c>
      <c r="T20" s="247">
        <f>IF($C20&gt;$AN$1,"",SUMIFS(Data!$Z$4:$Z$375,Data!$A$4:$A$375,"&gt;="&amp;$C20,Data!$A$4:$A$375,"&lt;="&amp;($C20+6)))</f>
        <v/>
      </c>
      <c r="U20" s="247">
        <f>IF($C20&gt;$AN$1,"",SUMIFS(Data!$X$4:$X$375,Data!$A$4:$A$375,"&gt;="&amp;$C20,Data!$A$4:$A$375,"&lt;="&amp;($C20+6)))</f>
        <v/>
      </c>
      <c r="V20" s="247">
        <f>IF($C20&gt;$AN$1,"",SUMIFS(Data!$W$4:$W$375,Data!$A$4:$A$375,"&gt;="&amp;$C20,Data!$A$4:$A$375,"&lt;="&amp;($C20+6)))</f>
        <v/>
      </c>
      <c r="W20" s="247">
        <f>IF($C20&gt;$AN$1,"",SUMIFS(Data!$Y$4:$Y$375,Data!$A$4:$A$375,"&gt;="&amp;$C20,Data!$A$4:$A$375,"&lt;="&amp;($C20+6)))</f>
        <v/>
      </c>
      <c r="X20" s="247">
        <f>IF($C20&gt;$AN$1,"",SUMIFS(Data!$AA$4:$AA$375,Data!$A$4:$A$375,"&gt;="&amp;$C20,Data!$A$4:$A$375,"&lt;="&amp;($C20+6)))</f>
        <v/>
      </c>
      <c r="Y20" s="247">
        <f>IF($C20&gt;$AN$1,"",SUMIFS(Data!$T$4:$T$375,Data!$A$4:$A$375,"&gt;="&amp;$C20,Data!$A$4:$A$375,"&lt;="&amp;($C20+6)))</f>
        <v/>
      </c>
      <c r="Z20" s="247">
        <f>IF($C20&gt;$AN$1,"",IF(NOT(ISNUMBER(D20)),"",ROUND(100*(0.3*IF(ISNUMBER(P20),MIN(1,P20/SleepTarget),0.7)+0.2*IF(ISNUMBER(Q20),Q20/10,0.7)+0.2*IF(ISNUMBER(R20),(10-R20)/9,0.7)+0.15*IF(I20&lt;7,1,0)+0.15*IF(ISNUMBER(J20),MIN(1,J20/0.5),0.5)),0)))</f>
        <v/>
      </c>
      <c r="AA20" s="256" t="n"/>
      <c r="AB20" s="256" t="n"/>
      <c r="AC20" s="257" t="n"/>
      <c r="AD20" s="257" t="n"/>
      <c r="AE20" s="257" t="n"/>
      <c r="AF20" s="257" t="n"/>
      <c r="AG20" s="257" t="n"/>
      <c r="AH20" s="257" t="n"/>
      <c r="AI20" s="256" t="n"/>
      <c r="AJ20" s="1" t="n"/>
      <c r="AK20" s="1" t="n"/>
    </row>
    <row r="21" ht="20" customHeight="1">
      <c r="A21" s="1" t="n"/>
      <c r="B21" s="258" t="n">
        <v>14</v>
      </c>
      <c r="C21" s="259">
        <f>DATE(2026,9,28)+91</f>
        <v/>
      </c>
      <c r="D21" s="260">
        <f>IF($C21&gt;$AN$1,"",IFERROR(AVERAGEIFS(Data!$BF$4:$BF$375,Data!$A$4:$A$375,"&gt;="&amp;$C21,Data!$A$4:$A$375,"&lt;="&amp;($C21+6)),""))</f>
        <v/>
      </c>
      <c r="E21" s="261">
        <f>IF($C21&gt;$AN$1,"",IF(NOT(ISNUMBER(D21)),"—",IF(D21&gt;=Band1,"GREEN",IF(D21&gt;=Band2,"GOOD",IF(D21&gt;=Band3,"NEEDS ATTENTION","RESET")))))</f>
        <v/>
      </c>
      <c r="F21" s="262">
        <f>IF($C21&gt;$AN$1,"",IFERROR(AVERAGEIFS(Data!$AF$4:$AF$375,Data!$A$4:$A$375,"&gt;="&amp;$C21,Data!$A$4:$A$375,"&lt;="&amp;($C21+6),Data!$AF$4:$AF$375,"&gt;0"),""))</f>
        <v/>
      </c>
      <c r="G21" s="263">
        <f>IF($C21&gt;$AN$1,"",IF(AND(ISNUMBER(F21),ISNUMBER(F20)),F21-F20,""))</f>
        <v/>
      </c>
      <c r="H21" s="264">
        <f>IF($C21&gt;$AN$1,"",IF(NOT(ISNUMBER(G21)),"",IF(-G21&gt;LossMaxPct*F21,"too fast",IF(-G21&gt;=LossMin,IF(-G21&lt;=LossMax,"on target","fast end"),IF(-G21&gt;0,"slow","flat / up")))))</f>
        <v/>
      </c>
      <c r="I21" s="258">
        <f>IF($C21&gt;$AN$1,"",SUMIFS(Data!$O$4:$O$375,Data!$A$4:$A$375,"&gt;="&amp;$C21,Data!$A$4:$A$375,"&lt;="&amp;($C21+6)))</f>
        <v/>
      </c>
      <c r="J21" s="265">
        <f>IF($C21&gt;$AN$1,"",IF(I21=0,"",MIN(1,SUMIFS(Data!$P$4:$P$375,Data!$A$4:$A$375,"&gt;="&amp;$C21,Data!$A$4:$A$375,"&lt;="&amp;($C21+6))/I21)))</f>
        <v/>
      </c>
      <c r="K21" s="258">
        <f>IF($C21&gt;$AN$1,"",SUMIFS(Data!$Q$4:$Q$375,Data!$A$4:$A$375,"&gt;="&amp;$C21,Data!$A$4:$A$375,"&lt;="&amp;($C21+6)))</f>
        <v/>
      </c>
      <c r="L21" s="258">
        <f>IF($C21&gt;$AN$1,"",SUMIFS(Data!$R$4:$R$375,Data!$A$4:$A$375,"&gt;="&amp;$C21,Data!$A$4:$A$375,"&lt;="&amp;($C21+6)))</f>
        <v/>
      </c>
      <c r="M21" s="258">
        <f>IF($C21&gt;$AN$1,"",SUMIFS(Data!$S$4:$S$375,Data!$A$4:$A$375,"&gt;="&amp;$C21,Data!$A$4:$A$375,"&lt;="&amp;($C21+6))+SUMIFS(Data!$AC$4:$AC$375,Data!$A$4:$A$375,"&gt;="&amp;$C21,Data!$A$4:$A$375,"&lt;="&amp;($C21+6)))</f>
        <v/>
      </c>
      <c r="N21" s="266">
        <f>IF($C21&gt;$AN$1,"",IFERROR(AVERAGEIFS(Data!$AG$4:$AG$375,Data!$A$4:$A$375,"&gt;="&amp;$C21,Data!$A$4:$A$375,"&lt;="&amp;($C21+6),Data!$AG$4:$AG$375,"&gt;0"),""))</f>
        <v/>
      </c>
      <c r="O21" s="258">
        <f>IF($C21&gt;$AN$1,"",IFERROR(AVERAGEIFS(Data!$AH$4:$AH$375,Data!$A$4:$A$375,"&gt;="&amp;$C21,Data!$A$4:$A$375,"&lt;="&amp;($C21+6),Data!$AH$4:$AH$375,"&gt;0"),""))</f>
        <v/>
      </c>
      <c r="P21" s="262">
        <f>IF($C21&gt;$AN$1,"",IFERROR(AVERAGEIFS(Data!$AK$4:$AK$375,Data!$A$4:$A$375,"&gt;="&amp;$C21,Data!$A$4:$A$375,"&lt;="&amp;($C21+6),Data!$AK$4:$AK$375,"&gt;0"),""))</f>
        <v/>
      </c>
      <c r="Q21" s="262">
        <f>IF($C21&gt;$AN$1,"",IFERROR(AVERAGEIFS(Data!$AL$4:$AL$375,Data!$A$4:$A$375,"&gt;="&amp;$C21,Data!$A$4:$A$375,"&lt;="&amp;($C21+6),Data!$AL$4:$AL$375,"&gt;0"),""))</f>
        <v/>
      </c>
      <c r="R21" s="262">
        <f>IF($C21&gt;$AN$1,"",IFERROR(AVERAGEIFS(Data!$AM$4:$AM$375,Data!$A$4:$A$375,"&gt;="&amp;$C21,Data!$A$4:$A$375,"&lt;="&amp;($C21+6),Data!$AM$4:$AM$375,"&gt;0"),""))</f>
        <v/>
      </c>
      <c r="S21" s="258">
        <f>IF($C21&gt;$AN$1,"",SUMIFS(Data!$G$4:$G$375,Data!$A$4:$A$375,"&gt;="&amp;$C21,Data!$A$4:$A$375,"&lt;="&amp;($C21+6)))</f>
        <v/>
      </c>
      <c r="T21" s="258">
        <f>IF($C21&gt;$AN$1,"",SUMIFS(Data!$Z$4:$Z$375,Data!$A$4:$A$375,"&gt;="&amp;$C21,Data!$A$4:$A$375,"&lt;="&amp;($C21+6)))</f>
        <v/>
      </c>
      <c r="U21" s="258">
        <f>IF($C21&gt;$AN$1,"",SUMIFS(Data!$X$4:$X$375,Data!$A$4:$A$375,"&gt;="&amp;$C21,Data!$A$4:$A$375,"&lt;="&amp;($C21+6)))</f>
        <v/>
      </c>
      <c r="V21" s="258">
        <f>IF($C21&gt;$AN$1,"",SUMIFS(Data!$W$4:$W$375,Data!$A$4:$A$375,"&gt;="&amp;$C21,Data!$A$4:$A$375,"&lt;="&amp;($C21+6)))</f>
        <v/>
      </c>
      <c r="W21" s="258">
        <f>IF($C21&gt;$AN$1,"",SUMIFS(Data!$Y$4:$Y$375,Data!$A$4:$A$375,"&gt;="&amp;$C21,Data!$A$4:$A$375,"&lt;="&amp;($C21+6)))</f>
        <v/>
      </c>
      <c r="X21" s="258">
        <f>IF($C21&gt;$AN$1,"",SUMIFS(Data!$AA$4:$AA$375,Data!$A$4:$A$375,"&gt;="&amp;$C21,Data!$A$4:$A$375,"&lt;="&amp;($C21+6)))</f>
        <v/>
      </c>
      <c r="Y21" s="258">
        <f>IF($C21&gt;$AN$1,"",SUMIFS(Data!$T$4:$T$375,Data!$A$4:$A$375,"&gt;="&amp;$C21,Data!$A$4:$A$375,"&lt;="&amp;($C21+6)))</f>
        <v/>
      </c>
      <c r="Z21" s="258">
        <f>IF($C21&gt;$AN$1,"",IF(NOT(ISNUMBER(D21)),"",ROUND(100*(0.3*IF(ISNUMBER(P21),MIN(1,P21/SleepTarget),0.7)+0.2*IF(ISNUMBER(Q21),Q21/10,0.7)+0.2*IF(ISNUMBER(R21),(10-R21)/9,0.7)+0.15*IF(I21&lt;7,1,0)+0.15*IF(ISNUMBER(J21),MIN(1,J21/0.5),0.5)),0)))</f>
        <v/>
      </c>
      <c r="AA21" s="91" t="n"/>
      <c r="AB21" s="91" t="n"/>
      <c r="AC21" s="267" t="n"/>
      <c r="AD21" s="267" t="n"/>
      <c r="AE21" s="267" t="n"/>
      <c r="AF21" s="267" t="n"/>
      <c r="AG21" s="267" t="n"/>
      <c r="AH21" s="267" t="n"/>
      <c r="AI21" s="91" t="n"/>
      <c r="AJ21" s="1" t="n"/>
      <c r="AK21" s="1" t="n"/>
    </row>
    <row r="22" ht="20" customHeight="1">
      <c r="A22" s="1" t="n"/>
      <c r="B22" s="247" t="n">
        <v>15</v>
      </c>
      <c r="C22" s="248">
        <f>DATE(2026,9,28)+98</f>
        <v/>
      </c>
      <c r="D22" s="249">
        <f>IF($C22&gt;$AN$1,"",IFERROR(AVERAGEIFS(Data!$BF$4:$BF$375,Data!$A$4:$A$375,"&gt;="&amp;$C22,Data!$A$4:$A$375,"&lt;="&amp;($C22+6)),""))</f>
        <v/>
      </c>
      <c r="E22" s="250">
        <f>IF($C22&gt;$AN$1,"",IF(NOT(ISNUMBER(D22)),"—",IF(D22&gt;=Band1,"GREEN",IF(D22&gt;=Band2,"GOOD",IF(D22&gt;=Band3,"NEEDS ATTENTION","RESET")))))</f>
        <v/>
      </c>
      <c r="F22" s="251">
        <f>IF($C22&gt;$AN$1,"",IFERROR(AVERAGEIFS(Data!$AF$4:$AF$375,Data!$A$4:$A$375,"&gt;="&amp;$C22,Data!$A$4:$A$375,"&lt;="&amp;($C22+6),Data!$AF$4:$AF$375,"&gt;0"),""))</f>
        <v/>
      </c>
      <c r="G22" s="252">
        <f>IF($C22&gt;$AN$1,"",IF(AND(ISNUMBER(F22),ISNUMBER(F21)),F22-F21,""))</f>
        <v/>
      </c>
      <c r="H22" s="253">
        <f>IF($C22&gt;$AN$1,"",IF(NOT(ISNUMBER(G22)),"",IF(-G22&gt;LossMaxPct*F22,"too fast",IF(-G22&gt;=LossMin,IF(-G22&lt;=LossMax,"on target","fast end"),IF(-G22&gt;0,"slow","flat / up")))))</f>
        <v/>
      </c>
      <c r="I22" s="247">
        <f>IF($C22&gt;$AN$1,"",SUMIFS(Data!$O$4:$O$375,Data!$A$4:$A$375,"&gt;="&amp;$C22,Data!$A$4:$A$375,"&lt;="&amp;($C22+6)))</f>
        <v/>
      </c>
      <c r="J22" s="254">
        <f>IF($C22&gt;$AN$1,"",IF(I22=0,"",MIN(1,SUMIFS(Data!$P$4:$P$375,Data!$A$4:$A$375,"&gt;="&amp;$C22,Data!$A$4:$A$375,"&lt;="&amp;($C22+6))/I22)))</f>
        <v/>
      </c>
      <c r="K22" s="247">
        <f>IF($C22&gt;$AN$1,"",SUMIFS(Data!$Q$4:$Q$375,Data!$A$4:$A$375,"&gt;="&amp;$C22,Data!$A$4:$A$375,"&lt;="&amp;($C22+6)))</f>
        <v/>
      </c>
      <c r="L22" s="247">
        <f>IF($C22&gt;$AN$1,"",SUMIFS(Data!$R$4:$R$375,Data!$A$4:$A$375,"&gt;="&amp;$C22,Data!$A$4:$A$375,"&lt;="&amp;($C22+6)))</f>
        <v/>
      </c>
      <c r="M22" s="247">
        <f>IF($C22&gt;$AN$1,"",SUMIFS(Data!$S$4:$S$375,Data!$A$4:$A$375,"&gt;="&amp;$C22,Data!$A$4:$A$375,"&lt;="&amp;($C22+6))+SUMIFS(Data!$AC$4:$AC$375,Data!$A$4:$A$375,"&gt;="&amp;$C22,Data!$A$4:$A$375,"&lt;="&amp;($C22+6)))</f>
        <v/>
      </c>
      <c r="N22" s="255">
        <f>IF($C22&gt;$AN$1,"",IFERROR(AVERAGEIFS(Data!$AG$4:$AG$375,Data!$A$4:$A$375,"&gt;="&amp;$C22,Data!$A$4:$A$375,"&lt;="&amp;($C22+6),Data!$AG$4:$AG$375,"&gt;0"),""))</f>
        <v/>
      </c>
      <c r="O22" s="247">
        <f>IF($C22&gt;$AN$1,"",IFERROR(AVERAGEIFS(Data!$AH$4:$AH$375,Data!$A$4:$A$375,"&gt;="&amp;$C22,Data!$A$4:$A$375,"&lt;="&amp;($C22+6),Data!$AH$4:$AH$375,"&gt;0"),""))</f>
        <v/>
      </c>
      <c r="P22" s="251">
        <f>IF($C22&gt;$AN$1,"",IFERROR(AVERAGEIFS(Data!$AK$4:$AK$375,Data!$A$4:$A$375,"&gt;="&amp;$C22,Data!$A$4:$A$375,"&lt;="&amp;($C22+6),Data!$AK$4:$AK$375,"&gt;0"),""))</f>
        <v/>
      </c>
      <c r="Q22" s="251">
        <f>IF($C22&gt;$AN$1,"",IFERROR(AVERAGEIFS(Data!$AL$4:$AL$375,Data!$A$4:$A$375,"&gt;="&amp;$C22,Data!$A$4:$A$375,"&lt;="&amp;($C22+6),Data!$AL$4:$AL$375,"&gt;0"),""))</f>
        <v/>
      </c>
      <c r="R22" s="251">
        <f>IF($C22&gt;$AN$1,"",IFERROR(AVERAGEIFS(Data!$AM$4:$AM$375,Data!$A$4:$A$375,"&gt;="&amp;$C22,Data!$A$4:$A$375,"&lt;="&amp;($C22+6),Data!$AM$4:$AM$375,"&gt;0"),""))</f>
        <v/>
      </c>
      <c r="S22" s="247">
        <f>IF($C22&gt;$AN$1,"",SUMIFS(Data!$G$4:$G$375,Data!$A$4:$A$375,"&gt;="&amp;$C22,Data!$A$4:$A$375,"&lt;="&amp;($C22+6)))</f>
        <v/>
      </c>
      <c r="T22" s="247">
        <f>IF($C22&gt;$AN$1,"",SUMIFS(Data!$Z$4:$Z$375,Data!$A$4:$A$375,"&gt;="&amp;$C22,Data!$A$4:$A$375,"&lt;="&amp;($C22+6)))</f>
        <v/>
      </c>
      <c r="U22" s="247">
        <f>IF($C22&gt;$AN$1,"",SUMIFS(Data!$X$4:$X$375,Data!$A$4:$A$375,"&gt;="&amp;$C22,Data!$A$4:$A$375,"&lt;="&amp;($C22+6)))</f>
        <v/>
      </c>
      <c r="V22" s="247">
        <f>IF($C22&gt;$AN$1,"",SUMIFS(Data!$W$4:$W$375,Data!$A$4:$A$375,"&gt;="&amp;$C22,Data!$A$4:$A$375,"&lt;="&amp;($C22+6)))</f>
        <v/>
      </c>
      <c r="W22" s="247">
        <f>IF($C22&gt;$AN$1,"",SUMIFS(Data!$Y$4:$Y$375,Data!$A$4:$A$375,"&gt;="&amp;$C22,Data!$A$4:$A$375,"&lt;="&amp;($C22+6)))</f>
        <v/>
      </c>
      <c r="X22" s="247">
        <f>IF($C22&gt;$AN$1,"",SUMIFS(Data!$AA$4:$AA$375,Data!$A$4:$A$375,"&gt;="&amp;$C22,Data!$A$4:$A$375,"&lt;="&amp;($C22+6)))</f>
        <v/>
      </c>
      <c r="Y22" s="247">
        <f>IF($C22&gt;$AN$1,"",SUMIFS(Data!$T$4:$T$375,Data!$A$4:$A$375,"&gt;="&amp;$C22,Data!$A$4:$A$375,"&lt;="&amp;($C22+6)))</f>
        <v/>
      </c>
      <c r="Z22" s="247">
        <f>IF($C22&gt;$AN$1,"",IF(NOT(ISNUMBER(D22)),"",ROUND(100*(0.3*IF(ISNUMBER(P22),MIN(1,P22/SleepTarget),0.7)+0.2*IF(ISNUMBER(Q22),Q22/10,0.7)+0.2*IF(ISNUMBER(R22),(10-R22)/9,0.7)+0.15*IF(I22&lt;7,1,0)+0.15*IF(ISNUMBER(J22),MIN(1,J22/0.5),0.5)),0)))</f>
        <v/>
      </c>
      <c r="AA22" s="256" t="n"/>
      <c r="AB22" s="256" t="n"/>
      <c r="AC22" s="257" t="n"/>
      <c r="AD22" s="257" t="n"/>
      <c r="AE22" s="257" t="n"/>
      <c r="AF22" s="257" t="n"/>
      <c r="AG22" s="257" t="n"/>
      <c r="AH22" s="257" t="n"/>
      <c r="AI22" s="256" t="n"/>
      <c r="AJ22" s="1" t="n"/>
      <c r="AK22" s="1" t="n"/>
    </row>
    <row r="23" ht="20" customHeight="1">
      <c r="A23" s="1" t="n"/>
      <c r="B23" s="258" t="n">
        <v>16</v>
      </c>
      <c r="C23" s="259">
        <f>DATE(2026,9,28)+105</f>
        <v/>
      </c>
      <c r="D23" s="260">
        <f>IF($C23&gt;$AN$1,"",IFERROR(AVERAGEIFS(Data!$BF$4:$BF$375,Data!$A$4:$A$375,"&gt;="&amp;$C23,Data!$A$4:$A$375,"&lt;="&amp;($C23+6)),""))</f>
        <v/>
      </c>
      <c r="E23" s="261">
        <f>IF($C23&gt;$AN$1,"",IF(NOT(ISNUMBER(D23)),"—",IF(D23&gt;=Band1,"GREEN",IF(D23&gt;=Band2,"GOOD",IF(D23&gt;=Band3,"NEEDS ATTENTION","RESET")))))</f>
        <v/>
      </c>
      <c r="F23" s="262">
        <f>IF($C23&gt;$AN$1,"",IFERROR(AVERAGEIFS(Data!$AF$4:$AF$375,Data!$A$4:$A$375,"&gt;="&amp;$C23,Data!$A$4:$A$375,"&lt;="&amp;($C23+6),Data!$AF$4:$AF$375,"&gt;0"),""))</f>
        <v/>
      </c>
      <c r="G23" s="263">
        <f>IF($C23&gt;$AN$1,"",IF(AND(ISNUMBER(F23),ISNUMBER(F22)),F23-F22,""))</f>
        <v/>
      </c>
      <c r="H23" s="264">
        <f>IF($C23&gt;$AN$1,"",IF(NOT(ISNUMBER(G23)),"",IF(-G23&gt;LossMaxPct*F23,"too fast",IF(-G23&gt;=LossMin,IF(-G23&lt;=LossMax,"on target","fast end"),IF(-G23&gt;0,"slow","flat / up")))))</f>
        <v/>
      </c>
      <c r="I23" s="258">
        <f>IF($C23&gt;$AN$1,"",SUMIFS(Data!$O$4:$O$375,Data!$A$4:$A$375,"&gt;="&amp;$C23,Data!$A$4:$A$375,"&lt;="&amp;($C23+6)))</f>
        <v/>
      </c>
      <c r="J23" s="265">
        <f>IF($C23&gt;$AN$1,"",IF(I23=0,"",MIN(1,SUMIFS(Data!$P$4:$P$375,Data!$A$4:$A$375,"&gt;="&amp;$C23,Data!$A$4:$A$375,"&lt;="&amp;($C23+6))/I23)))</f>
        <v/>
      </c>
      <c r="K23" s="258">
        <f>IF($C23&gt;$AN$1,"",SUMIFS(Data!$Q$4:$Q$375,Data!$A$4:$A$375,"&gt;="&amp;$C23,Data!$A$4:$A$375,"&lt;="&amp;($C23+6)))</f>
        <v/>
      </c>
      <c r="L23" s="258">
        <f>IF($C23&gt;$AN$1,"",SUMIFS(Data!$R$4:$R$375,Data!$A$4:$A$375,"&gt;="&amp;$C23,Data!$A$4:$A$375,"&lt;="&amp;($C23+6)))</f>
        <v/>
      </c>
      <c r="M23" s="258">
        <f>IF($C23&gt;$AN$1,"",SUMIFS(Data!$S$4:$S$375,Data!$A$4:$A$375,"&gt;="&amp;$C23,Data!$A$4:$A$375,"&lt;="&amp;($C23+6))+SUMIFS(Data!$AC$4:$AC$375,Data!$A$4:$A$375,"&gt;="&amp;$C23,Data!$A$4:$A$375,"&lt;="&amp;($C23+6)))</f>
        <v/>
      </c>
      <c r="N23" s="266">
        <f>IF($C23&gt;$AN$1,"",IFERROR(AVERAGEIFS(Data!$AG$4:$AG$375,Data!$A$4:$A$375,"&gt;="&amp;$C23,Data!$A$4:$A$375,"&lt;="&amp;($C23+6),Data!$AG$4:$AG$375,"&gt;0"),""))</f>
        <v/>
      </c>
      <c r="O23" s="258">
        <f>IF($C23&gt;$AN$1,"",IFERROR(AVERAGEIFS(Data!$AH$4:$AH$375,Data!$A$4:$A$375,"&gt;="&amp;$C23,Data!$A$4:$A$375,"&lt;="&amp;($C23+6),Data!$AH$4:$AH$375,"&gt;0"),""))</f>
        <v/>
      </c>
      <c r="P23" s="262">
        <f>IF($C23&gt;$AN$1,"",IFERROR(AVERAGEIFS(Data!$AK$4:$AK$375,Data!$A$4:$A$375,"&gt;="&amp;$C23,Data!$A$4:$A$375,"&lt;="&amp;($C23+6),Data!$AK$4:$AK$375,"&gt;0"),""))</f>
        <v/>
      </c>
      <c r="Q23" s="262">
        <f>IF($C23&gt;$AN$1,"",IFERROR(AVERAGEIFS(Data!$AL$4:$AL$375,Data!$A$4:$A$375,"&gt;="&amp;$C23,Data!$A$4:$A$375,"&lt;="&amp;($C23+6),Data!$AL$4:$AL$375,"&gt;0"),""))</f>
        <v/>
      </c>
      <c r="R23" s="262">
        <f>IF($C23&gt;$AN$1,"",IFERROR(AVERAGEIFS(Data!$AM$4:$AM$375,Data!$A$4:$A$375,"&gt;="&amp;$C23,Data!$A$4:$A$375,"&lt;="&amp;($C23+6),Data!$AM$4:$AM$375,"&gt;0"),""))</f>
        <v/>
      </c>
      <c r="S23" s="258">
        <f>IF($C23&gt;$AN$1,"",SUMIFS(Data!$G$4:$G$375,Data!$A$4:$A$375,"&gt;="&amp;$C23,Data!$A$4:$A$375,"&lt;="&amp;($C23+6)))</f>
        <v/>
      </c>
      <c r="T23" s="258">
        <f>IF($C23&gt;$AN$1,"",SUMIFS(Data!$Z$4:$Z$375,Data!$A$4:$A$375,"&gt;="&amp;$C23,Data!$A$4:$A$375,"&lt;="&amp;($C23+6)))</f>
        <v/>
      </c>
      <c r="U23" s="258">
        <f>IF($C23&gt;$AN$1,"",SUMIFS(Data!$X$4:$X$375,Data!$A$4:$A$375,"&gt;="&amp;$C23,Data!$A$4:$A$375,"&lt;="&amp;($C23+6)))</f>
        <v/>
      </c>
      <c r="V23" s="258">
        <f>IF($C23&gt;$AN$1,"",SUMIFS(Data!$W$4:$W$375,Data!$A$4:$A$375,"&gt;="&amp;$C23,Data!$A$4:$A$375,"&lt;="&amp;($C23+6)))</f>
        <v/>
      </c>
      <c r="W23" s="258">
        <f>IF($C23&gt;$AN$1,"",SUMIFS(Data!$Y$4:$Y$375,Data!$A$4:$A$375,"&gt;="&amp;$C23,Data!$A$4:$A$375,"&lt;="&amp;($C23+6)))</f>
        <v/>
      </c>
      <c r="X23" s="258">
        <f>IF($C23&gt;$AN$1,"",SUMIFS(Data!$AA$4:$AA$375,Data!$A$4:$A$375,"&gt;="&amp;$C23,Data!$A$4:$A$375,"&lt;="&amp;($C23+6)))</f>
        <v/>
      </c>
      <c r="Y23" s="258">
        <f>IF($C23&gt;$AN$1,"",SUMIFS(Data!$T$4:$T$375,Data!$A$4:$A$375,"&gt;="&amp;$C23,Data!$A$4:$A$375,"&lt;="&amp;($C23+6)))</f>
        <v/>
      </c>
      <c r="Z23" s="258">
        <f>IF($C23&gt;$AN$1,"",IF(NOT(ISNUMBER(D23)),"",ROUND(100*(0.3*IF(ISNUMBER(P23),MIN(1,P23/SleepTarget),0.7)+0.2*IF(ISNUMBER(Q23),Q23/10,0.7)+0.2*IF(ISNUMBER(R23),(10-R23)/9,0.7)+0.15*IF(I23&lt;7,1,0)+0.15*IF(ISNUMBER(J23),MIN(1,J23/0.5),0.5)),0)))</f>
        <v/>
      </c>
      <c r="AA23" s="91" t="n"/>
      <c r="AB23" s="91" t="n"/>
      <c r="AC23" s="267" t="n"/>
      <c r="AD23" s="267" t="n"/>
      <c r="AE23" s="267" t="n"/>
      <c r="AF23" s="267" t="n"/>
      <c r="AG23" s="267" t="n"/>
      <c r="AH23" s="267" t="n"/>
      <c r="AI23" s="91" t="n"/>
      <c r="AJ23" s="1" t="n"/>
      <c r="AK23" s="1" t="n"/>
    </row>
    <row r="24" ht="20" customHeight="1">
      <c r="A24" s="1" t="n"/>
      <c r="B24" s="247" t="n">
        <v>17</v>
      </c>
      <c r="C24" s="248">
        <f>DATE(2026,9,28)+112</f>
        <v/>
      </c>
      <c r="D24" s="249">
        <f>IF($C24&gt;$AN$1,"",IFERROR(AVERAGEIFS(Data!$BF$4:$BF$375,Data!$A$4:$A$375,"&gt;="&amp;$C24,Data!$A$4:$A$375,"&lt;="&amp;($C24+6)),""))</f>
        <v/>
      </c>
      <c r="E24" s="250">
        <f>IF($C24&gt;$AN$1,"",IF(NOT(ISNUMBER(D24)),"—",IF(D24&gt;=Band1,"GREEN",IF(D24&gt;=Band2,"GOOD",IF(D24&gt;=Band3,"NEEDS ATTENTION","RESET")))))</f>
        <v/>
      </c>
      <c r="F24" s="251">
        <f>IF($C24&gt;$AN$1,"",IFERROR(AVERAGEIFS(Data!$AF$4:$AF$375,Data!$A$4:$A$375,"&gt;="&amp;$C24,Data!$A$4:$A$375,"&lt;="&amp;($C24+6),Data!$AF$4:$AF$375,"&gt;0"),""))</f>
        <v/>
      </c>
      <c r="G24" s="252">
        <f>IF($C24&gt;$AN$1,"",IF(AND(ISNUMBER(F24),ISNUMBER(F23)),F24-F23,""))</f>
        <v/>
      </c>
      <c r="H24" s="253">
        <f>IF($C24&gt;$AN$1,"",IF(NOT(ISNUMBER(G24)),"",IF(-G24&gt;LossMaxPct*F24,"too fast",IF(-G24&gt;=LossMin,IF(-G24&lt;=LossMax,"on target","fast end"),IF(-G24&gt;0,"slow","flat / up")))))</f>
        <v/>
      </c>
      <c r="I24" s="247">
        <f>IF($C24&gt;$AN$1,"",SUMIFS(Data!$O$4:$O$375,Data!$A$4:$A$375,"&gt;="&amp;$C24,Data!$A$4:$A$375,"&lt;="&amp;($C24+6)))</f>
        <v/>
      </c>
      <c r="J24" s="254">
        <f>IF($C24&gt;$AN$1,"",IF(I24=0,"",MIN(1,SUMIFS(Data!$P$4:$P$375,Data!$A$4:$A$375,"&gt;="&amp;$C24,Data!$A$4:$A$375,"&lt;="&amp;($C24+6))/I24)))</f>
        <v/>
      </c>
      <c r="K24" s="247">
        <f>IF($C24&gt;$AN$1,"",SUMIFS(Data!$Q$4:$Q$375,Data!$A$4:$A$375,"&gt;="&amp;$C24,Data!$A$4:$A$375,"&lt;="&amp;($C24+6)))</f>
        <v/>
      </c>
      <c r="L24" s="247">
        <f>IF($C24&gt;$AN$1,"",SUMIFS(Data!$R$4:$R$375,Data!$A$4:$A$375,"&gt;="&amp;$C24,Data!$A$4:$A$375,"&lt;="&amp;($C24+6)))</f>
        <v/>
      </c>
      <c r="M24" s="247">
        <f>IF($C24&gt;$AN$1,"",SUMIFS(Data!$S$4:$S$375,Data!$A$4:$A$375,"&gt;="&amp;$C24,Data!$A$4:$A$375,"&lt;="&amp;($C24+6))+SUMIFS(Data!$AC$4:$AC$375,Data!$A$4:$A$375,"&gt;="&amp;$C24,Data!$A$4:$A$375,"&lt;="&amp;($C24+6)))</f>
        <v/>
      </c>
      <c r="N24" s="255">
        <f>IF($C24&gt;$AN$1,"",IFERROR(AVERAGEIFS(Data!$AG$4:$AG$375,Data!$A$4:$A$375,"&gt;="&amp;$C24,Data!$A$4:$A$375,"&lt;="&amp;($C24+6),Data!$AG$4:$AG$375,"&gt;0"),""))</f>
        <v/>
      </c>
      <c r="O24" s="247">
        <f>IF($C24&gt;$AN$1,"",IFERROR(AVERAGEIFS(Data!$AH$4:$AH$375,Data!$A$4:$A$375,"&gt;="&amp;$C24,Data!$A$4:$A$375,"&lt;="&amp;($C24+6),Data!$AH$4:$AH$375,"&gt;0"),""))</f>
        <v/>
      </c>
      <c r="P24" s="251">
        <f>IF($C24&gt;$AN$1,"",IFERROR(AVERAGEIFS(Data!$AK$4:$AK$375,Data!$A$4:$A$375,"&gt;="&amp;$C24,Data!$A$4:$A$375,"&lt;="&amp;($C24+6),Data!$AK$4:$AK$375,"&gt;0"),""))</f>
        <v/>
      </c>
      <c r="Q24" s="251">
        <f>IF($C24&gt;$AN$1,"",IFERROR(AVERAGEIFS(Data!$AL$4:$AL$375,Data!$A$4:$A$375,"&gt;="&amp;$C24,Data!$A$4:$A$375,"&lt;="&amp;($C24+6),Data!$AL$4:$AL$375,"&gt;0"),""))</f>
        <v/>
      </c>
      <c r="R24" s="251">
        <f>IF($C24&gt;$AN$1,"",IFERROR(AVERAGEIFS(Data!$AM$4:$AM$375,Data!$A$4:$A$375,"&gt;="&amp;$C24,Data!$A$4:$A$375,"&lt;="&amp;($C24+6),Data!$AM$4:$AM$375,"&gt;0"),""))</f>
        <v/>
      </c>
      <c r="S24" s="247">
        <f>IF($C24&gt;$AN$1,"",SUMIFS(Data!$G$4:$G$375,Data!$A$4:$A$375,"&gt;="&amp;$C24,Data!$A$4:$A$375,"&lt;="&amp;($C24+6)))</f>
        <v/>
      </c>
      <c r="T24" s="247">
        <f>IF($C24&gt;$AN$1,"",SUMIFS(Data!$Z$4:$Z$375,Data!$A$4:$A$375,"&gt;="&amp;$C24,Data!$A$4:$A$375,"&lt;="&amp;($C24+6)))</f>
        <v/>
      </c>
      <c r="U24" s="247">
        <f>IF($C24&gt;$AN$1,"",SUMIFS(Data!$X$4:$X$375,Data!$A$4:$A$375,"&gt;="&amp;$C24,Data!$A$4:$A$375,"&lt;="&amp;($C24+6)))</f>
        <v/>
      </c>
      <c r="V24" s="247">
        <f>IF($C24&gt;$AN$1,"",SUMIFS(Data!$W$4:$W$375,Data!$A$4:$A$375,"&gt;="&amp;$C24,Data!$A$4:$A$375,"&lt;="&amp;($C24+6)))</f>
        <v/>
      </c>
      <c r="W24" s="247">
        <f>IF($C24&gt;$AN$1,"",SUMIFS(Data!$Y$4:$Y$375,Data!$A$4:$A$375,"&gt;="&amp;$C24,Data!$A$4:$A$375,"&lt;="&amp;($C24+6)))</f>
        <v/>
      </c>
      <c r="X24" s="247">
        <f>IF($C24&gt;$AN$1,"",SUMIFS(Data!$AA$4:$AA$375,Data!$A$4:$A$375,"&gt;="&amp;$C24,Data!$A$4:$A$375,"&lt;="&amp;($C24+6)))</f>
        <v/>
      </c>
      <c r="Y24" s="247">
        <f>IF($C24&gt;$AN$1,"",SUMIFS(Data!$T$4:$T$375,Data!$A$4:$A$375,"&gt;="&amp;$C24,Data!$A$4:$A$375,"&lt;="&amp;($C24+6)))</f>
        <v/>
      </c>
      <c r="Z24" s="247">
        <f>IF($C24&gt;$AN$1,"",IF(NOT(ISNUMBER(D24)),"",ROUND(100*(0.3*IF(ISNUMBER(P24),MIN(1,P24/SleepTarget),0.7)+0.2*IF(ISNUMBER(Q24),Q24/10,0.7)+0.2*IF(ISNUMBER(R24),(10-R24)/9,0.7)+0.15*IF(I24&lt;7,1,0)+0.15*IF(ISNUMBER(J24),MIN(1,J24/0.5),0.5)),0)))</f>
        <v/>
      </c>
      <c r="AA24" s="256" t="n"/>
      <c r="AB24" s="256" t="n"/>
      <c r="AC24" s="257" t="n"/>
      <c r="AD24" s="257" t="n"/>
      <c r="AE24" s="257" t="n"/>
      <c r="AF24" s="257" t="n"/>
      <c r="AG24" s="257" t="n"/>
      <c r="AH24" s="257" t="n"/>
      <c r="AI24" s="256" t="n"/>
      <c r="AJ24" s="1" t="n"/>
      <c r="AK24" s="1" t="n"/>
    </row>
    <row r="25" ht="20" customHeight="1">
      <c r="A25" s="1" t="n"/>
      <c r="B25" s="258" t="n">
        <v>18</v>
      </c>
      <c r="C25" s="259">
        <f>DATE(2026,9,28)+119</f>
        <v/>
      </c>
      <c r="D25" s="260">
        <f>IF($C25&gt;$AN$1,"",IFERROR(AVERAGEIFS(Data!$BF$4:$BF$375,Data!$A$4:$A$375,"&gt;="&amp;$C25,Data!$A$4:$A$375,"&lt;="&amp;($C25+6)),""))</f>
        <v/>
      </c>
      <c r="E25" s="261">
        <f>IF($C25&gt;$AN$1,"",IF(NOT(ISNUMBER(D25)),"—",IF(D25&gt;=Band1,"GREEN",IF(D25&gt;=Band2,"GOOD",IF(D25&gt;=Band3,"NEEDS ATTENTION","RESET")))))</f>
        <v/>
      </c>
      <c r="F25" s="262">
        <f>IF($C25&gt;$AN$1,"",IFERROR(AVERAGEIFS(Data!$AF$4:$AF$375,Data!$A$4:$A$375,"&gt;="&amp;$C25,Data!$A$4:$A$375,"&lt;="&amp;($C25+6),Data!$AF$4:$AF$375,"&gt;0"),""))</f>
        <v/>
      </c>
      <c r="G25" s="263">
        <f>IF($C25&gt;$AN$1,"",IF(AND(ISNUMBER(F25),ISNUMBER(F24)),F25-F24,""))</f>
        <v/>
      </c>
      <c r="H25" s="264">
        <f>IF($C25&gt;$AN$1,"",IF(NOT(ISNUMBER(G25)),"",IF(-G25&gt;LossMaxPct*F25,"too fast",IF(-G25&gt;=LossMin,IF(-G25&lt;=LossMax,"on target","fast end"),IF(-G25&gt;0,"slow","flat / up")))))</f>
        <v/>
      </c>
      <c r="I25" s="258">
        <f>IF($C25&gt;$AN$1,"",SUMIFS(Data!$O$4:$O$375,Data!$A$4:$A$375,"&gt;="&amp;$C25,Data!$A$4:$A$375,"&lt;="&amp;($C25+6)))</f>
        <v/>
      </c>
      <c r="J25" s="265">
        <f>IF($C25&gt;$AN$1,"",IF(I25=0,"",MIN(1,SUMIFS(Data!$P$4:$P$375,Data!$A$4:$A$375,"&gt;="&amp;$C25,Data!$A$4:$A$375,"&lt;="&amp;($C25+6))/I25)))</f>
        <v/>
      </c>
      <c r="K25" s="258">
        <f>IF($C25&gt;$AN$1,"",SUMIFS(Data!$Q$4:$Q$375,Data!$A$4:$A$375,"&gt;="&amp;$C25,Data!$A$4:$A$375,"&lt;="&amp;($C25+6)))</f>
        <v/>
      </c>
      <c r="L25" s="258">
        <f>IF($C25&gt;$AN$1,"",SUMIFS(Data!$R$4:$R$375,Data!$A$4:$A$375,"&gt;="&amp;$C25,Data!$A$4:$A$375,"&lt;="&amp;($C25+6)))</f>
        <v/>
      </c>
      <c r="M25" s="258">
        <f>IF($C25&gt;$AN$1,"",SUMIFS(Data!$S$4:$S$375,Data!$A$4:$A$375,"&gt;="&amp;$C25,Data!$A$4:$A$375,"&lt;="&amp;($C25+6))+SUMIFS(Data!$AC$4:$AC$375,Data!$A$4:$A$375,"&gt;="&amp;$C25,Data!$A$4:$A$375,"&lt;="&amp;($C25+6)))</f>
        <v/>
      </c>
      <c r="N25" s="266">
        <f>IF($C25&gt;$AN$1,"",IFERROR(AVERAGEIFS(Data!$AG$4:$AG$375,Data!$A$4:$A$375,"&gt;="&amp;$C25,Data!$A$4:$A$375,"&lt;="&amp;($C25+6),Data!$AG$4:$AG$375,"&gt;0"),""))</f>
        <v/>
      </c>
      <c r="O25" s="258">
        <f>IF($C25&gt;$AN$1,"",IFERROR(AVERAGEIFS(Data!$AH$4:$AH$375,Data!$A$4:$A$375,"&gt;="&amp;$C25,Data!$A$4:$A$375,"&lt;="&amp;($C25+6),Data!$AH$4:$AH$375,"&gt;0"),""))</f>
        <v/>
      </c>
      <c r="P25" s="262">
        <f>IF($C25&gt;$AN$1,"",IFERROR(AVERAGEIFS(Data!$AK$4:$AK$375,Data!$A$4:$A$375,"&gt;="&amp;$C25,Data!$A$4:$A$375,"&lt;="&amp;($C25+6),Data!$AK$4:$AK$375,"&gt;0"),""))</f>
        <v/>
      </c>
      <c r="Q25" s="262">
        <f>IF($C25&gt;$AN$1,"",IFERROR(AVERAGEIFS(Data!$AL$4:$AL$375,Data!$A$4:$A$375,"&gt;="&amp;$C25,Data!$A$4:$A$375,"&lt;="&amp;($C25+6),Data!$AL$4:$AL$375,"&gt;0"),""))</f>
        <v/>
      </c>
      <c r="R25" s="262">
        <f>IF($C25&gt;$AN$1,"",IFERROR(AVERAGEIFS(Data!$AM$4:$AM$375,Data!$A$4:$A$375,"&gt;="&amp;$C25,Data!$A$4:$A$375,"&lt;="&amp;($C25+6),Data!$AM$4:$AM$375,"&gt;0"),""))</f>
        <v/>
      </c>
      <c r="S25" s="258">
        <f>IF($C25&gt;$AN$1,"",SUMIFS(Data!$G$4:$G$375,Data!$A$4:$A$375,"&gt;="&amp;$C25,Data!$A$4:$A$375,"&lt;="&amp;($C25+6)))</f>
        <v/>
      </c>
      <c r="T25" s="258">
        <f>IF($C25&gt;$AN$1,"",SUMIFS(Data!$Z$4:$Z$375,Data!$A$4:$A$375,"&gt;="&amp;$C25,Data!$A$4:$A$375,"&lt;="&amp;($C25+6)))</f>
        <v/>
      </c>
      <c r="U25" s="258">
        <f>IF($C25&gt;$AN$1,"",SUMIFS(Data!$X$4:$X$375,Data!$A$4:$A$375,"&gt;="&amp;$C25,Data!$A$4:$A$375,"&lt;="&amp;($C25+6)))</f>
        <v/>
      </c>
      <c r="V25" s="258">
        <f>IF($C25&gt;$AN$1,"",SUMIFS(Data!$W$4:$W$375,Data!$A$4:$A$375,"&gt;="&amp;$C25,Data!$A$4:$A$375,"&lt;="&amp;($C25+6)))</f>
        <v/>
      </c>
      <c r="W25" s="258">
        <f>IF($C25&gt;$AN$1,"",SUMIFS(Data!$Y$4:$Y$375,Data!$A$4:$A$375,"&gt;="&amp;$C25,Data!$A$4:$A$375,"&lt;="&amp;($C25+6)))</f>
        <v/>
      </c>
      <c r="X25" s="258">
        <f>IF($C25&gt;$AN$1,"",SUMIFS(Data!$AA$4:$AA$375,Data!$A$4:$A$375,"&gt;="&amp;$C25,Data!$A$4:$A$375,"&lt;="&amp;($C25+6)))</f>
        <v/>
      </c>
      <c r="Y25" s="258">
        <f>IF($C25&gt;$AN$1,"",SUMIFS(Data!$T$4:$T$375,Data!$A$4:$A$375,"&gt;="&amp;$C25,Data!$A$4:$A$375,"&lt;="&amp;($C25+6)))</f>
        <v/>
      </c>
      <c r="Z25" s="258">
        <f>IF($C25&gt;$AN$1,"",IF(NOT(ISNUMBER(D25)),"",ROUND(100*(0.3*IF(ISNUMBER(P25),MIN(1,P25/SleepTarget),0.7)+0.2*IF(ISNUMBER(Q25),Q25/10,0.7)+0.2*IF(ISNUMBER(R25),(10-R25)/9,0.7)+0.15*IF(I25&lt;7,1,0)+0.15*IF(ISNUMBER(J25),MIN(1,J25/0.5),0.5)),0)))</f>
        <v/>
      </c>
      <c r="AA25" s="91" t="n"/>
      <c r="AB25" s="91" t="n"/>
      <c r="AC25" s="267" t="n"/>
      <c r="AD25" s="267" t="n"/>
      <c r="AE25" s="267" t="n"/>
      <c r="AF25" s="267" t="n"/>
      <c r="AG25" s="267" t="n"/>
      <c r="AH25" s="267" t="n"/>
      <c r="AI25" s="91" t="n"/>
      <c r="AJ25" s="1" t="n"/>
      <c r="AK25" s="1" t="n"/>
    </row>
    <row r="26" ht="20" customHeight="1">
      <c r="A26" s="1" t="n"/>
      <c r="B26" s="247" t="n">
        <v>19</v>
      </c>
      <c r="C26" s="248">
        <f>DATE(2026,9,28)+126</f>
        <v/>
      </c>
      <c r="D26" s="249">
        <f>IF($C26&gt;$AN$1,"",IFERROR(AVERAGEIFS(Data!$BF$4:$BF$375,Data!$A$4:$A$375,"&gt;="&amp;$C26,Data!$A$4:$A$375,"&lt;="&amp;($C26+6)),""))</f>
        <v/>
      </c>
      <c r="E26" s="250">
        <f>IF($C26&gt;$AN$1,"",IF(NOT(ISNUMBER(D26)),"—",IF(D26&gt;=Band1,"GREEN",IF(D26&gt;=Band2,"GOOD",IF(D26&gt;=Band3,"NEEDS ATTENTION","RESET")))))</f>
        <v/>
      </c>
      <c r="F26" s="251">
        <f>IF($C26&gt;$AN$1,"",IFERROR(AVERAGEIFS(Data!$AF$4:$AF$375,Data!$A$4:$A$375,"&gt;="&amp;$C26,Data!$A$4:$A$375,"&lt;="&amp;($C26+6),Data!$AF$4:$AF$375,"&gt;0"),""))</f>
        <v/>
      </c>
      <c r="G26" s="252">
        <f>IF($C26&gt;$AN$1,"",IF(AND(ISNUMBER(F26),ISNUMBER(F25)),F26-F25,""))</f>
        <v/>
      </c>
      <c r="H26" s="253">
        <f>IF($C26&gt;$AN$1,"",IF(NOT(ISNUMBER(G26)),"",IF(-G26&gt;LossMaxPct*F26,"too fast",IF(-G26&gt;=LossMin,IF(-G26&lt;=LossMax,"on target","fast end"),IF(-G26&gt;0,"slow","flat / up")))))</f>
        <v/>
      </c>
      <c r="I26" s="247">
        <f>IF($C26&gt;$AN$1,"",SUMIFS(Data!$O$4:$O$375,Data!$A$4:$A$375,"&gt;="&amp;$C26,Data!$A$4:$A$375,"&lt;="&amp;($C26+6)))</f>
        <v/>
      </c>
      <c r="J26" s="254">
        <f>IF($C26&gt;$AN$1,"",IF(I26=0,"",MIN(1,SUMIFS(Data!$P$4:$P$375,Data!$A$4:$A$375,"&gt;="&amp;$C26,Data!$A$4:$A$375,"&lt;="&amp;($C26+6))/I26)))</f>
        <v/>
      </c>
      <c r="K26" s="247">
        <f>IF($C26&gt;$AN$1,"",SUMIFS(Data!$Q$4:$Q$375,Data!$A$4:$A$375,"&gt;="&amp;$C26,Data!$A$4:$A$375,"&lt;="&amp;($C26+6)))</f>
        <v/>
      </c>
      <c r="L26" s="247">
        <f>IF($C26&gt;$AN$1,"",SUMIFS(Data!$R$4:$R$375,Data!$A$4:$A$375,"&gt;="&amp;$C26,Data!$A$4:$A$375,"&lt;="&amp;($C26+6)))</f>
        <v/>
      </c>
      <c r="M26" s="247">
        <f>IF($C26&gt;$AN$1,"",SUMIFS(Data!$S$4:$S$375,Data!$A$4:$A$375,"&gt;="&amp;$C26,Data!$A$4:$A$375,"&lt;="&amp;($C26+6))+SUMIFS(Data!$AC$4:$AC$375,Data!$A$4:$A$375,"&gt;="&amp;$C26,Data!$A$4:$A$375,"&lt;="&amp;($C26+6)))</f>
        <v/>
      </c>
      <c r="N26" s="255">
        <f>IF($C26&gt;$AN$1,"",IFERROR(AVERAGEIFS(Data!$AG$4:$AG$375,Data!$A$4:$A$375,"&gt;="&amp;$C26,Data!$A$4:$A$375,"&lt;="&amp;($C26+6),Data!$AG$4:$AG$375,"&gt;0"),""))</f>
        <v/>
      </c>
      <c r="O26" s="247">
        <f>IF($C26&gt;$AN$1,"",IFERROR(AVERAGEIFS(Data!$AH$4:$AH$375,Data!$A$4:$A$375,"&gt;="&amp;$C26,Data!$A$4:$A$375,"&lt;="&amp;($C26+6),Data!$AH$4:$AH$375,"&gt;0"),""))</f>
        <v/>
      </c>
      <c r="P26" s="251">
        <f>IF($C26&gt;$AN$1,"",IFERROR(AVERAGEIFS(Data!$AK$4:$AK$375,Data!$A$4:$A$375,"&gt;="&amp;$C26,Data!$A$4:$A$375,"&lt;="&amp;($C26+6),Data!$AK$4:$AK$375,"&gt;0"),""))</f>
        <v/>
      </c>
      <c r="Q26" s="251">
        <f>IF($C26&gt;$AN$1,"",IFERROR(AVERAGEIFS(Data!$AL$4:$AL$375,Data!$A$4:$A$375,"&gt;="&amp;$C26,Data!$A$4:$A$375,"&lt;="&amp;($C26+6),Data!$AL$4:$AL$375,"&gt;0"),""))</f>
        <v/>
      </c>
      <c r="R26" s="251">
        <f>IF($C26&gt;$AN$1,"",IFERROR(AVERAGEIFS(Data!$AM$4:$AM$375,Data!$A$4:$A$375,"&gt;="&amp;$C26,Data!$A$4:$A$375,"&lt;="&amp;($C26+6),Data!$AM$4:$AM$375,"&gt;0"),""))</f>
        <v/>
      </c>
      <c r="S26" s="247">
        <f>IF($C26&gt;$AN$1,"",SUMIFS(Data!$G$4:$G$375,Data!$A$4:$A$375,"&gt;="&amp;$C26,Data!$A$4:$A$375,"&lt;="&amp;($C26+6)))</f>
        <v/>
      </c>
      <c r="T26" s="247">
        <f>IF($C26&gt;$AN$1,"",SUMIFS(Data!$Z$4:$Z$375,Data!$A$4:$A$375,"&gt;="&amp;$C26,Data!$A$4:$A$375,"&lt;="&amp;($C26+6)))</f>
        <v/>
      </c>
      <c r="U26" s="247">
        <f>IF($C26&gt;$AN$1,"",SUMIFS(Data!$X$4:$X$375,Data!$A$4:$A$375,"&gt;="&amp;$C26,Data!$A$4:$A$375,"&lt;="&amp;($C26+6)))</f>
        <v/>
      </c>
      <c r="V26" s="247">
        <f>IF($C26&gt;$AN$1,"",SUMIFS(Data!$W$4:$W$375,Data!$A$4:$A$375,"&gt;="&amp;$C26,Data!$A$4:$A$375,"&lt;="&amp;($C26+6)))</f>
        <v/>
      </c>
      <c r="W26" s="247">
        <f>IF($C26&gt;$AN$1,"",SUMIFS(Data!$Y$4:$Y$375,Data!$A$4:$A$375,"&gt;="&amp;$C26,Data!$A$4:$A$375,"&lt;="&amp;($C26+6)))</f>
        <v/>
      </c>
      <c r="X26" s="247">
        <f>IF($C26&gt;$AN$1,"",SUMIFS(Data!$AA$4:$AA$375,Data!$A$4:$A$375,"&gt;="&amp;$C26,Data!$A$4:$A$375,"&lt;="&amp;($C26+6)))</f>
        <v/>
      </c>
      <c r="Y26" s="247">
        <f>IF($C26&gt;$AN$1,"",SUMIFS(Data!$T$4:$T$375,Data!$A$4:$A$375,"&gt;="&amp;$C26,Data!$A$4:$A$375,"&lt;="&amp;($C26+6)))</f>
        <v/>
      </c>
      <c r="Z26" s="247">
        <f>IF($C26&gt;$AN$1,"",IF(NOT(ISNUMBER(D26)),"",ROUND(100*(0.3*IF(ISNUMBER(P26),MIN(1,P26/SleepTarget),0.7)+0.2*IF(ISNUMBER(Q26),Q26/10,0.7)+0.2*IF(ISNUMBER(R26),(10-R26)/9,0.7)+0.15*IF(I26&lt;7,1,0)+0.15*IF(ISNUMBER(J26),MIN(1,J26/0.5),0.5)),0)))</f>
        <v/>
      </c>
      <c r="AA26" s="256" t="n"/>
      <c r="AB26" s="256" t="n"/>
      <c r="AC26" s="257" t="n"/>
      <c r="AD26" s="257" t="n"/>
      <c r="AE26" s="257" t="n"/>
      <c r="AF26" s="257" t="n"/>
      <c r="AG26" s="257" t="n"/>
      <c r="AH26" s="257" t="n"/>
      <c r="AI26" s="256" t="n"/>
      <c r="AJ26" s="1" t="n"/>
      <c r="AK26" s="1" t="n"/>
    </row>
    <row r="27" ht="20" customHeight="1">
      <c r="A27" s="1" t="n"/>
      <c r="B27" s="258" t="n">
        <v>20</v>
      </c>
      <c r="C27" s="259">
        <f>DATE(2026,9,28)+133</f>
        <v/>
      </c>
      <c r="D27" s="260">
        <f>IF($C27&gt;$AN$1,"",IFERROR(AVERAGEIFS(Data!$BF$4:$BF$375,Data!$A$4:$A$375,"&gt;="&amp;$C27,Data!$A$4:$A$375,"&lt;="&amp;($C27+6)),""))</f>
        <v/>
      </c>
      <c r="E27" s="261">
        <f>IF($C27&gt;$AN$1,"",IF(NOT(ISNUMBER(D27)),"—",IF(D27&gt;=Band1,"GREEN",IF(D27&gt;=Band2,"GOOD",IF(D27&gt;=Band3,"NEEDS ATTENTION","RESET")))))</f>
        <v/>
      </c>
      <c r="F27" s="262">
        <f>IF($C27&gt;$AN$1,"",IFERROR(AVERAGEIFS(Data!$AF$4:$AF$375,Data!$A$4:$A$375,"&gt;="&amp;$C27,Data!$A$4:$A$375,"&lt;="&amp;($C27+6),Data!$AF$4:$AF$375,"&gt;0"),""))</f>
        <v/>
      </c>
      <c r="G27" s="263">
        <f>IF($C27&gt;$AN$1,"",IF(AND(ISNUMBER(F27),ISNUMBER(F26)),F27-F26,""))</f>
        <v/>
      </c>
      <c r="H27" s="264">
        <f>IF($C27&gt;$AN$1,"",IF(NOT(ISNUMBER(G27)),"",IF(-G27&gt;LossMaxPct*F27,"too fast",IF(-G27&gt;=LossMin,IF(-G27&lt;=LossMax,"on target","fast end"),IF(-G27&gt;0,"slow","flat / up")))))</f>
        <v/>
      </c>
      <c r="I27" s="258">
        <f>IF($C27&gt;$AN$1,"",SUMIFS(Data!$O$4:$O$375,Data!$A$4:$A$375,"&gt;="&amp;$C27,Data!$A$4:$A$375,"&lt;="&amp;($C27+6)))</f>
        <v/>
      </c>
      <c r="J27" s="265">
        <f>IF($C27&gt;$AN$1,"",IF(I27=0,"",MIN(1,SUMIFS(Data!$P$4:$P$375,Data!$A$4:$A$375,"&gt;="&amp;$C27,Data!$A$4:$A$375,"&lt;="&amp;($C27+6))/I27)))</f>
        <v/>
      </c>
      <c r="K27" s="258">
        <f>IF($C27&gt;$AN$1,"",SUMIFS(Data!$Q$4:$Q$375,Data!$A$4:$A$375,"&gt;="&amp;$C27,Data!$A$4:$A$375,"&lt;="&amp;($C27+6)))</f>
        <v/>
      </c>
      <c r="L27" s="258">
        <f>IF($C27&gt;$AN$1,"",SUMIFS(Data!$R$4:$R$375,Data!$A$4:$A$375,"&gt;="&amp;$C27,Data!$A$4:$A$375,"&lt;="&amp;($C27+6)))</f>
        <v/>
      </c>
      <c r="M27" s="258">
        <f>IF($C27&gt;$AN$1,"",SUMIFS(Data!$S$4:$S$375,Data!$A$4:$A$375,"&gt;="&amp;$C27,Data!$A$4:$A$375,"&lt;="&amp;($C27+6))+SUMIFS(Data!$AC$4:$AC$375,Data!$A$4:$A$375,"&gt;="&amp;$C27,Data!$A$4:$A$375,"&lt;="&amp;($C27+6)))</f>
        <v/>
      </c>
      <c r="N27" s="266">
        <f>IF($C27&gt;$AN$1,"",IFERROR(AVERAGEIFS(Data!$AG$4:$AG$375,Data!$A$4:$A$375,"&gt;="&amp;$C27,Data!$A$4:$A$375,"&lt;="&amp;($C27+6),Data!$AG$4:$AG$375,"&gt;0"),""))</f>
        <v/>
      </c>
      <c r="O27" s="258">
        <f>IF($C27&gt;$AN$1,"",IFERROR(AVERAGEIFS(Data!$AH$4:$AH$375,Data!$A$4:$A$375,"&gt;="&amp;$C27,Data!$A$4:$A$375,"&lt;="&amp;($C27+6),Data!$AH$4:$AH$375,"&gt;0"),""))</f>
        <v/>
      </c>
      <c r="P27" s="262">
        <f>IF($C27&gt;$AN$1,"",IFERROR(AVERAGEIFS(Data!$AK$4:$AK$375,Data!$A$4:$A$375,"&gt;="&amp;$C27,Data!$A$4:$A$375,"&lt;="&amp;($C27+6),Data!$AK$4:$AK$375,"&gt;0"),""))</f>
        <v/>
      </c>
      <c r="Q27" s="262">
        <f>IF($C27&gt;$AN$1,"",IFERROR(AVERAGEIFS(Data!$AL$4:$AL$375,Data!$A$4:$A$375,"&gt;="&amp;$C27,Data!$A$4:$A$375,"&lt;="&amp;($C27+6),Data!$AL$4:$AL$375,"&gt;0"),""))</f>
        <v/>
      </c>
      <c r="R27" s="262">
        <f>IF($C27&gt;$AN$1,"",IFERROR(AVERAGEIFS(Data!$AM$4:$AM$375,Data!$A$4:$A$375,"&gt;="&amp;$C27,Data!$A$4:$A$375,"&lt;="&amp;($C27+6),Data!$AM$4:$AM$375,"&gt;0"),""))</f>
        <v/>
      </c>
      <c r="S27" s="258">
        <f>IF($C27&gt;$AN$1,"",SUMIFS(Data!$G$4:$G$375,Data!$A$4:$A$375,"&gt;="&amp;$C27,Data!$A$4:$A$375,"&lt;="&amp;($C27+6)))</f>
        <v/>
      </c>
      <c r="T27" s="258">
        <f>IF($C27&gt;$AN$1,"",SUMIFS(Data!$Z$4:$Z$375,Data!$A$4:$A$375,"&gt;="&amp;$C27,Data!$A$4:$A$375,"&lt;="&amp;($C27+6)))</f>
        <v/>
      </c>
      <c r="U27" s="258">
        <f>IF($C27&gt;$AN$1,"",SUMIFS(Data!$X$4:$X$375,Data!$A$4:$A$375,"&gt;="&amp;$C27,Data!$A$4:$A$375,"&lt;="&amp;($C27+6)))</f>
        <v/>
      </c>
      <c r="V27" s="258">
        <f>IF($C27&gt;$AN$1,"",SUMIFS(Data!$W$4:$W$375,Data!$A$4:$A$375,"&gt;="&amp;$C27,Data!$A$4:$A$375,"&lt;="&amp;($C27+6)))</f>
        <v/>
      </c>
      <c r="W27" s="258">
        <f>IF($C27&gt;$AN$1,"",SUMIFS(Data!$Y$4:$Y$375,Data!$A$4:$A$375,"&gt;="&amp;$C27,Data!$A$4:$A$375,"&lt;="&amp;($C27+6)))</f>
        <v/>
      </c>
      <c r="X27" s="258">
        <f>IF($C27&gt;$AN$1,"",SUMIFS(Data!$AA$4:$AA$375,Data!$A$4:$A$375,"&gt;="&amp;$C27,Data!$A$4:$A$375,"&lt;="&amp;($C27+6)))</f>
        <v/>
      </c>
      <c r="Y27" s="258">
        <f>IF($C27&gt;$AN$1,"",SUMIFS(Data!$T$4:$T$375,Data!$A$4:$A$375,"&gt;="&amp;$C27,Data!$A$4:$A$375,"&lt;="&amp;($C27+6)))</f>
        <v/>
      </c>
      <c r="Z27" s="258">
        <f>IF($C27&gt;$AN$1,"",IF(NOT(ISNUMBER(D27)),"",ROUND(100*(0.3*IF(ISNUMBER(P27),MIN(1,P27/SleepTarget),0.7)+0.2*IF(ISNUMBER(Q27),Q27/10,0.7)+0.2*IF(ISNUMBER(R27),(10-R27)/9,0.7)+0.15*IF(I27&lt;7,1,0)+0.15*IF(ISNUMBER(J27),MIN(1,J27/0.5),0.5)),0)))</f>
        <v/>
      </c>
      <c r="AA27" s="91" t="n"/>
      <c r="AB27" s="91" t="n"/>
      <c r="AC27" s="267" t="n"/>
      <c r="AD27" s="267" t="n"/>
      <c r="AE27" s="267" t="n"/>
      <c r="AF27" s="267" t="n"/>
      <c r="AG27" s="267" t="n"/>
      <c r="AH27" s="267" t="n"/>
      <c r="AI27" s="91" t="n"/>
      <c r="AJ27" s="1" t="n"/>
      <c r="AK27" s="1" t="n"/>
    </row>
    <row r="28" ht="20" customHeight="1">
      <c r="A28" s="1" t="n"/>
      <c r="B28" s="247" t="n">
        <v>21</v>
      </c>
      <c r="C28" s="248">
        <f>DATE(2026,9,28)+140</f>
        <v/>
      </c>
      <c r="D28" s="249">
        <f>IF($C28&gt;$AN$1,"",IFERROR(AVERAGEIFS(Data!$BF$4:$BF$375,Data!$A$4:$A$375,"&gt;="&amp;$C28,Data!$A$4:$A$375,"&lt;="&amp;($C28+6)),""))</f>
        <v/>
      </c>
      <c r="E28" s="250">
        <f>IF($C28&gt;$AN$1,"",IF(NOT(ISNUMBER(D28)),"—",IF(D28&gt;=Band1,"GREEN",IF(D28&gt;=Band2,"GOOD",IF(D28&gt;=Band3,"NEEDS ATTENTION","RESET")))))</f>
        <v/>
      </c>
      <c r="F28" s="251">
        <f>IF($C28&gt;$AN$1,"",IFERROR(AVERAGEIFS(Data!$AF$4:$AF$375,Data!$A$4:$A$375,"&gt;="&amp;$C28,Data!$A$4:$A$375,"&lt;="&amp;($C28+6),Data!$AF$4:$AF$375,"&gt;0"),""))</f>
        <v/>
      </c>
      <c r="G28" s="252">
        <f>IF($C28&gt;$AN$1,"",IF(AND(ISNUMBER(F28),ISNUMBER(F27)),F28-F27,""))</f>
        <v/>
      </c>
      <c r="H28" s="253">
        <f>IF($C28&gt;$AN$1,"",IF(NOT(ISNUMBER(G28)),"",IF(-G28&gt;LossMaxPct*F28,"too fast",IF(-G28&gt;=LossMin,IF(-G28&lt;=LossMax,"on target","fast end"),IF(-G28&gt;0,"slow","flat / up")))))</f>
        <v/>
      </c>
      <c r="I28" s="247">
        <f>IF($C28&gt;$AN$1,"",SUMIFS(Data!$O$4:$O$375,Data!$A$4:$A$375,"&gt;="&amp;$C28,Data!$A$4:$A$375,"&lt;="&amp;($C28+6)))</f>
        <v/>
      </c>
      <c r="J28" s="254">
        <f>IF($C28&gt;$AN$1,"",IF(I28=0,"",MIN(1,SUMIFS(Data!$P$4:$P$375,Data!$A$4:$A$375,"&gt;="&amp;$C28,Data!$A$4:$A$375,"&lt;="&amp;($C28+6))/I28)))</f>
        <v/>
      </c>
      <c r="K28" s="247">
        <f>IF($C28&gt;$AN$1,"",SUMIFS(Data!$Q$4:$Q$375,Data!$A$4:$A$375,"&gt;="&amp;$C28,Data!$A$4:$A$375,"&lt;="&amp;($C28+6)))</f>
        <v/>
      </c>
      <c r="L28" s="247">
        <f>IF($C28&gt;$AN$1,"",SUMIFS(Data!$R$4:$R$375,Data!$A$4:$A$375,"&gt;="&amp;$C28,Data!$A$4:$A$375,"&lt;="&amp;($C28+6)))</f>
        <v/>
      </c>
      <c r="M28" s="247">
        <f>IF($C28&gt;$AN$1,"",SUMIFS(Data!$S$4:$S$375,Data!$A$4:$A$375,"&gt;="&amp;$C28,Data!$A$4:$A$375,"&lt;="&amp;($C28+6))+SUMIFS(Data!$AC$4:$AC$375,Data!$A$4:$A$375,"&gt;="&amp;$C28,Data!$A$4:$A$375,"&lt;="&amp;($C28+6)))</f>
        <v/>
      </c>
      <c r="N28" s="255">
        <f>IF($C28&gt;$AN$1,"",IFERROR(AVERAGEIFS(Data!$AG$4:$AG$375,Data!$A$4:$A$375,"&gt;="&amp;$C28,Data!$A$4:$A$375,"&lt;="&amp;($C28+6),Data!$AG$4:$AG$375,"&gt;0"),""))</f>
        <v/>
      </c>
      <c r="O28" s="247">
        <f>IF($C28&gt;$AN$1,"",IFERROR(AVERAGEIFS(Data!$AH$4:$AH$375,Data!$A$4:$A$375,"&gt;="&amp;$C28,Data!$A$4:$A$375,"&lt;="&amp;($C28+6),Data!$AH$4:$AH$375,"&gt;0"),""))</f>
        <v/>
      </c>
      <c r="P28" s="251">
        <f>IF($C28&gt;$AN$1,"",IFERROR(AVERAGEIFS(Data!$AK$4:$AK$375,Data!$A$4:$A$375,"&gt;="&amp;$C28,Data!$A$4:$A$375,"&lt;="&amp;($C28+6),Data!$AK$4:$AK$375,"&gt;0"),""))</f>
        <v/>
      </c>
      <c r="Q28" s="251">
        <f>IF($C28&gt;$AN$1,"",IFERROR(AVERAGEIFS(Data!$AL$4:$AL$375,Data!$A$4:$A$375,"&gt;="&amp;$C28,Data!$A$4:$A$375,"&lt;="&amp;($C28+6),Data!$AL$4:$AL$375,"&gt;0"),""))</f>
        <v/>
      </c>
      <c r="R28" s="251">
        <f>IF($C28&gt;$AN$1,"",IFERROR(AVERAGEIFS(Data!$AM$4:$AM$375,Data!$A$4:$A$375,"&gt;="&amp;$C28,Data!$A$4:$A$375,"&lt;="&amp;($C28+6),Data!$AM$4:$AM$375,"&gt;0"),""))</f>
        <v/>
      </c>
      <c r="S28" s="247">
        <f>IF($C28&gt;$AN$1,"",SUMIFS(Data!$G$4:$G$375,Data!$A$4:$A$375,"&gt;="&amp;$C28,Data!$A$4:$A$375,"&lt;="&amp;($C28+6)))</f>
        <v/>
      </c>
      <c r="T28" s="247">
        <f>IF($C28&gt;$AN$1,"",SUMIFS(Data!$Z$4:$Z$375,Data!$A$4:$A$375,"&gt;="&amp;$C28,Data!$A$4:$A$375,"&lt;="&amp;($C28+6)))</f>
        <v/>
      </c>
      <c r="U28" s="247">
        <f>IF($C28&gt;$AN$1,"",SUMIFS(Data!$X$4:$X$375,Data!$A$4:$A$375,"&gt;="&amp;$C28,Data!$A$4:$A$375,"&lt;="&amp;($C28+6)))</f>
        <v/>
      </c>
      <c r="V28" s="247">
        <f>IF($C28&gt;$AN$1,"",SUMIFS(Data!$W$4:$W$375,Data!$A$4:$A$375,"&gt;="&amp;$C28,Data!$A$4:$A$375,"&lt;="&amp;($C28+6)))</f>
        <v/>
      </c>
      <c r="W28" s="247">
        <f>IF($C28&gt;$AN$1,"",SUMIFS(Data!$Y$4:$Y$375,Data!$A$4:$A$375,"&gt;="&amp;$C28,Data!$A$4:$A$375,"&lt;="&amp;($C28+6)))</f>
        <v/>
      </c>
      <c r="X28" s="247">
        <f>IF($C28&gt;$AN$1,"",SUMIFS(Data!$AA$4:$AA$375,Data!$A$4:$A$375,"&gt;="&amp;$C28,Data!$A$4:$A$375,"&lt;="&amp;($C28+6)))</f>
        <v/>
      </c>
      <c r="Y28" s="247">
        <f>IF($C28&gt;$AN$1,"",SUMIFS(Data!$T$4:$T$375,Data!$A$4:$A$375,"&gt;="&amp;$C28,Data!$A$4:$A$375,"&lt;="&amp;($C28+6)))</f>
        <v/>
      </c>
      <c r="Z28" s="247">
        <f>IF($C28&gt;$AN$1,"",IF(NOT(ISNUMBER(D28)),"",ROUND(100*(0.3*IF(ISNUMBER(P28),MIN(1,P28/SleepTarget),0.7)+0.2*IF(ISNUMBER(Q28),Q28/10,0.7)+0.2*IF(ISNUMBER(R28),(10-R28)/9,0.7)+0.15*IF(I28&lt;7,1,0)+0.15*IF(ISNUMBER(J28),MIN(1,J28/0.5),0.5)),0)))</f>
        <v/>
      </c>
      <c r="AA28" s="256" t="n"/>
      <c r="AB28" s="256" t="n"/>
      <c r="AC28" s="257" t="n"/>
      <c r="AD28" s="257" t="n"/>
      <c r="AE28" s="257" t="n"/>
      <c r="AF28" s="257" t="n"/>
      <c r="AG28" s="257" t="n"/>
      <c r="AH28" s="257" t="n"/>
      <c r="AI28" s="256" t="n"/>
      <c r="AJ28" s="1" t="n"/>
      <c r="AK28" s="1" t="n"/>
    </row>
    <row r="29" ht="20" customHeight="1">
      <c r="A29" s="1" t="n"/>
      <c r="B29" s="258" t="n">
        <v>22</v>
      </c>
      <c r="C29" s="259">
        <f>DATE(2026,9,28)+147</f>
        <v/>
      </c>
      <c r="D29" s="260">
        <f>IF($C29&gt;$AN$1,"",IFERROR(AVERAGEIFS(Data!$BF$4:$BF$375,Data!$A$4:$A$375,"&gt;="&amp;$C29,Data!$A$4:$A$375,"&lt;="&amp;($C29+6)),""))</f>
        <v/>
      </c>
      <c r="E29" s="261">
        <f>IF($C29&gt;$AN$1,"",IF(NOT(ISNUMBER(D29)),"—",IF(D29&gt;=Band1,"GREEN",IF(D29&gt;=Band2,"GOOD",IF(D29&gt;=Band3,"NEEDS ATTENTION","RESET")))))</f>
        <v/>
      </c>
      <c r="F29" s="262">
        <f>IF($C29&gt;$AN$1,"",IFERROR(AVERAGEIFS(Data!$AF$4:$AF$375,Data!$A$4:$A$375,"&gt;="&amp;$C29,Data!$A$4:$A$375,"&lt;="&amp;($C29+6),Data!$AF$4:$AF$375,"&gt;0"),""))</f>
        <v/>
      </c>
      <c r="G29" s="263">
        <f>IF($C29&gt;$AN$1,"",IF(AND(ISNUMBER(F29),ISNUMBER(F28)),F29-F28,""))</f>
        <v/>
      </c>
      <c r="H29" s="264">
        <f>IF($C29&gt;$AN$1,"",IF(NOT(ISNUMBER(G29)),"",IF(-G29&gt;LossMaxPct*F29,"too fast",IF(-G29&gt;=LossMin,IF(-G29&lt;=LossMax,"on target","fast end"),IF(-G29&gt;0,"slow","flat / up")))))</f>
        <v/>
      </c>
      <c r="I29" s="258">
        <f>IF($C29&gt;$AN$1,"",SUMIFS(Data!$O$4:$O$375,Data!$A$4:$A$375,"&gt;="&amp;$C29,Data!$A$4:$A$375,"&lt;="&amp;($C29+6)))</f>
        <v/>
      </c>
      <c r="J29" s="265">
        <f>IF($C29&gt;$AN$1,"",IF(I29=0,"",MIN(1,SUMIFS(Data!$P$4:$P$375,Data!$A$4:$A$375,"&gt;="&amp;$C29,Data!$A$4:$A$375,"&lt;="&amp;($C29+6))/I29)))</f>
        <v/>
      </c>
      <c r="K29" s="258">
        <f>IF($C29&gt;$AN$1,"",SUMIFS(Data!$Q$4:$Q$375,Data!$A$4:$A$375,"&gt;="&amp;$C29,Data!$A$4:$A$375,"&lt;="&amp;($C29+6)))</f>
        <v/>
      </c>
      <c r="L29" s="258">
        <f>IF($C29&gt;$AN$1,"",SUMIFS(Data!$R$4:$R$375,Data!$A$4:$A$375,"&gt;="&amp;$C29,Data!$A$4:$A$375,"&lt;="&amp;($C29+6)))</f>
        <v/>
      </c>
      <c r="M29" s="258">
        <f>IF($C29&gt;$AN$1,"",SUMIFS(Data!$S$4:$S$375,Data!$A$4:$A$375,"&gt;="&amp;$C29,Data!$A$4:$A$375,"&lt;="&amp;($C29+6))+SUMIFS(Data!$AC$4:$AC$375,Data!$A$4:$A$375,"&gt;="&amp;$C29,Data!$A$4:$A$375,"&lt;="&amp;($C29+6)))</f>
        <v/>
      </c>
      <c r="N29" s="266">
        <f>IF($C29&gt;$AN$1,"",IFERROR(AVERAGEIFS(Data!$AG$4:$AG$375,Data!$A$4:$A$375,"&gt;="&amp;$C29,Data!$A$4:$A$375,"&lt;="&amp;($C29+6),Data!$AG$4:$AG$375,"&gt;0"),""))</f>
        <v/>
      </c>
      <c r="O29" s="258">
        <f>IF($C29&gt;$AN$1,"",IFERROR(AVERAGEIFS(Data!$AH$4:$AH$375,Data!$A$4:$A$375,"&gt;="&amp;$C29,Data!$A$4:$A$375,"&lt;="&amp;($C29+6),Data!$AH$4:$AH$375,"&gt;0"),""))</f>
        <v/>
      </c>
      <c r="P29" s="262">
        <f>IF($C29&gt;$AN$1,"",IFERROR(AVERAGEIFS(Data!$AK$4:$AK$375,Data!$A$4:$A$375,"&gt;="&amp;$C29,Data!$A$4:$A$375,"&lt;="&amp;($C29+6),Data!$AK$4:$AK$375,"&gt;0"),""))</f>
        <v/>
      </c>
      <c r="Q29" s="262">
        <f>IF($C29&gt;$AN$1,"",IFERROR(AVERAGEIFS(Data!$AL$4:$AL$375,Data!$A$4:$A$375,"&gt;="&amp;$C29,Data!$A$4:$A$375,"&lt;="&amp;($C29+6),Data!$AL$4:$AL$375,"&gt;0"),""))</f>
        <v/>
      </c>
      <c r="R29" s="262">
        <f>IF($C29&gt;$AN$1,"",IFERROR(AVERAGEIFS(Data!$AM$4:$AM$375,Data!$A$4:$A$375,"&gt;="&amp;$C29,Data!$A$4:$A$375,"&lt;="&amp;($C29+6),Data!$AM$4:$AM$375,"&gt;0"),""))</f>
        <v/>
      </c>
      <c r="S29" s="258">
        <f>IF($C29&gt;$AN$1,"",SUMIFS(Data!$G$4:$G$375,Data!$A$4:$A$375,"&gt;="&amp;$C29,Data!$A$4:$A$375,"&lt;="&amp;($C29+6)))</f>
        <v/>
      </c>
      <c r="T29" s="258">
        <f>IF($C29&gt;$AN$1,"",SUMIFS(Data!$Z$4:$Z$375,Data!$A$4:$A$375,"&gt;="&amp;$C29,Data!$A$4:$A$375,"&lt;="&amp;($C29+6)))</f>
        <v/>
      </c>
      <c r="U29" s="258">
        <f>IF($C29&gt;$AN$1,"",SUMIFS(Data!$X$4:$X$375,Data!$A$4:$A$375,"&gt;="&amp;$C29,Data!$A$4:$A$375,"&lt;="&amp;($C29+6)))</f>
        <v/>
      </c>
      <c r="V29" s="258">
        <f>IF($C29&gt;$AN$1,"",SUMIFS(Data!$W$4:$W$375,Data!$A$4:$A$375,"&gt;="&amp;$C29,Data!$A$4:$A$375,"&lt;="&amp;($C29+6)))</f>
        <v/>
      </c>
      <c r="W29" s="258">
        <f>IF($C29&gt;$AN$1,"",SUMIFS(Data!$Y$4:$Y$375,Data!$A$4:$A$375,"&gt;="&amp;$C29,Data!$A$4:$A$375,"&lt;="&amp;($C29+6)))</f>
        <v/>
      </c>
      <c r="X29" s="258">
        <f>IF($C29&gt;$AN$1,"",SUMIFS(Data!$AA$4:$AA$375,Data!$A$4:$A$375,"&gt;="&amp;$C29,Data!$A$4:$A$375,"&lt;="&amp;($C29+6)))</f>
        <v/>
      </c>
      <c r="Y29" s="258">
        <f>IF($C29&gt;$AN$1,"",SUMIFS(Data!$T$4:$T$375,Data!$A$4:$A$375,"&gt;="&amp;$C29,Data!$A$4:$A$375,"&lt;="&amp;($C29+6)))</f>
        <v/>
      </c>
      <c r="Z29" s="258">
        <f>IF($C29&gt;$AN$1,"",IF(NOT(ISNUMBER(D29)),"",ROUND(100*(0.3*IF(ISNUMBER(P29),MIN(1,P29/SleepTarget),0.7)+0.2*IF(ISNUMBER(Q29),Q29/10,0.7)+0.2*IF(ISNUMBER(R29),(10-R29)/9,0.7)+0.15*IF(I29&lt;7,1,0)+0.15*IF(ISNUMBER(J29),MIN(1,J29/0.5),0.5)),0)))</f>
        <v/>
      </c>
      <c r="AA29" s="91" t="n"/>
      <c r="AB29" s="91" t="n"/>
      <c r="AC29" s="267" t="n"/>
      <c r="AD29" s="267" t="n"/>
      <c r="AE29" s="267" t="n"/>
      <c r="AF29" s="267" t="n"/>
      <c r="AG29" s="267" t="n"/>
      <c r="AH29" s="267" t="n"/>
      <c r="AI29" s="91" t="n"/>
      <c r="AJ29" s="1" t="n"/>
      <c r="AK29" s="1" t="n"/>
    </row>
    <row r="30" ht="20" customHeight="1">
      <c r="A30" s="1" t="n"/>
      <c r="B30" s="247" t="n">
        <v>23</v>
      </c>
      <c r="C30" s="248">
        <f>DATE(2026,9,28)+154</f>
        <v/>
      </c>
      <c r="D30" s="249">
        <f>IF($C30&gt;$AN$1,"",IFERROR(AVERAGEIFS(Data!$BF$4:$BF$375,Data!$A$4:$A$375,"&gt;="&amp;$C30,Data!$A$4:$A$375,"&lt;="&amp;($C30+6)),""))</f>
        <v/>
      </c>
      <c r="E30" s="250">
        <f>IF($C30&gt;$AN$1,"",IF(NOT(ISNUMBER(D30)),"—",IF(D30&gt;=Band1,"GREEN",IF(D30&gt;=Band2,"GOOD",IF(D30&gt;=Band3,"NEEDS ATTENTION","RESET")))))</f>
        <v/>
      </c>
      <c r="F30" s="251">
        <f>IF($C30&gt;$AN$1,"",IFERROR(AVERAGEIFS(Data!$AF$4:$AF$375,Data!$A$4:$A$375,"&gt;="&amp;$C30,Data!$A$4:$A$375,"&lt;="&amp;($C30+6),Data!$AF$4:$AF$375,"&gt;0"),""))</f>
        <v/>
      </c>
      <c r="G30" s="252">
        <f>IF($C30&gt;$AN$1,"",IF(AND(ISNUMBER(F30),ISNUMBER(F29)),F30-F29,""))</f>
        <v/>
      </c>
      <c r="H30" s="253">
        <f>IF($C30&gt;$AN$1,"",IF(NOT(ISNUMBER(G30)),"",IF(-G30&gt;LossMaxPct*F30,"too fast",IF(-G30&gt;=LossMin,IF(-G30&lt;=LossMax,"on target","fast end"),IF(-G30&gt;0,"slow","flat / up")))))</f>
        <v/>
      </c>
      <c r="I30" s="247">
        <f>IF($C30&gt;$AN$1,"",SUMIFS(Data!$O$4:$O$375,Data!$A$4:$A$375,"&gt;="&amp;$C30,Data!$A$4:$A$375,"&lt;="&amp;($C30+6)))</f>
        <v/>
      </c>
      <c r="J30" s="254">
        <f>IF($C30&gt;$AN$1,"",IF(I30=0,"",MIN(1,SUMIFS(Data!$P$4:$P$375,Data!$A$4:$A$375,"&gt;="&amp;$C30,Data!$A$4:$A$375,"&lt;="&amp;($C30+6))/I30)))</f>
        <v/>
      </c>
      <c r="K30" s="247">
        <f>IF($C30&gt;$AN$1,"",SUMIFS(Data!$Q$4:$Q$375,Data!$A$4:$A$375,"&gt;="&amp;$C30,Data!$A$4:$A$375,"&lt;="&amp;($C30+6)))</f>
        <v/>
      </c>
      <c r="L30" s="247">
        <f>IF($C30&gt;$AN$1,"",SUMIFS(Data!$R$4:$R$375,Data!$A$4:$A$375,"&gt;="&amp;$C30,Data!$A$4:$A$375,"&lt;="&amp;($C30+6)))</f>
        <v/>
      </c>
      <c r="M30" s="247">
        <f>IF($C30&gt;$AN$1,"",SUMIFS(Data!$S$4:$S$375,Data!$A$4:$A$375,"&gt;="&amp;$C30,Data!$A$4:$A$375,"&lt;="&amp;($C30+6))+SUMIFS(Data!$AC$4:$AC$375,Data!$A$4:$A$375,"&gt;="&amp;$C30,Data!$A$4:$A$375,"&lt;="&amp;($C30+6)))</f>
        <v/>
      </c>
      <c r="N30" s="255">
        <f>IF($C30&gt;$AN$1,"",IFERROR(AVERAGEIFS(Data!$AG$4:$AG$375,Data!$A$4:$A$375,"&gt;="&amp;$C30,Data!$A$4:$A$375,"&lt;="&amp;($C30+6),Data!$AG$4:$AG$375,"&gt;0"),""))</f>
        <v/>
      </c>
      <c r="O30" s="247">
        <f>IF($C30&gt;$AN$1,"",IFERROR(AVERAGEIFS(Data!$AH$4:$AH$375,Data!$A$4:$A$375,"&gt;="&amp;$C30,Data!$A$4:$A$375,"&lt;="&amp;($C30+6),Data!$AH$4:$AH$375,"&gt;0"),""))</f>
        <v/>
      </c>
      <c r="P30" s="251">
        <f>IF($C30&gt;$AN$1,"",IFERROR(AVERAGEIFS(Data!$AK$4:$AK$375,Data!$A$4:$A$375,"&gt;="&amp;$C30,Data!$A$4:$A$375,"&lt;="&amp;($C30+6),Data!$AK$4:$AK$375,"&gt;0"),""))</f>
        <v/>
      </c>
      <c r="Q30" s="251">
        <f>IF($C30&gt;$AN$1,"",IFERROR(AVERAGEIFS(Data!$AL$4:$AL$375,Data!$A$4:$A$375,"&gt;="&amp;$C30,Data!$A$4:$A$375,"&lt;="&amp;($C30+6),Data!$AL$4:$AL$375,"&gt;0"),""))</f>
        <v/>
      </c>
      <c r="R30" s="251">
        <f>IF($C30&gt;$AN$1,"",IFERROR(AVERAGEIFS(Data!$AM$4:$AM$375,Data!$A$4:$A$375,"&gt;="&amp;$C30,Data!$A$4:$A$375,"&lt;="&amp;($C30+6),Data!$AM$4:$AM$375,"&gt;0"),""))</f>
        <v/>
      </c>
      <c r="S30" s="247">
        <f>IF($C30&gt;$AN$1,"",SUMIFS(Data!$G$4:$G$375,Data!$A$4:$A$375,"&gt;="&amp;$C30,Data!$A$4:$A$375,"&lt;="&amp;($C30+6)))</f>
        <v/>
      </c>
      <c r="T30" s="247">
        <f>IF($C30&gt;$AN$1,"",SUMIFS(Data!$Z$4:$Z$375,Data!$A$4:$A$375,"&gt;="&amp;$C30,Data!$A$4:$A$375,"&lt;="&amp;($C30+6)))</f>
        <v/>
      </c>
      <c r="U30" s="247">
        <f>IF($C30&gt;$AN$1,"",SUMIFS(Data!$X$4:$X$375,Data!$A$4:$A$375,"&gt;="&amp;$C30,Data!$A$4:$A$375,"&lt;="&amp;($C30+6)))</f>
        <v/>
      </c>
      <c r="V30" s="247">
        <f>IF($C30&gt;$AN$1,"",SUMIFS(Data!$W$4:$W$375,Data!$A$4:$A$375,"&gt;="&amp;$C30,Data!$A$4:$A$375,"&lt;="&amp;($C30+6)))</f>
        <v/>
      </c>
      <c r="W30" s="247">
        <f>IF($C30&gt;$AN$1,"",SUMIFS(Data!$Y$4:$Y$375,Data!$A$4:$A$375,"&gt;="&amp;$C30,Data!$A$4:$A$375,"&lt;="&amp;($C30+6)))</f>
        <v/>
      </c>
      <c r="X30" s="247">
        <f>IF($C30&gt;$AN$1,"",SUMIFS(Data!$AA$4:$AA$375,Data!$A$4:$A$375,"&gt;="&amp;$C30,Data!$A$4:$A$375,"&lt;="&amp;($C30+6)))</f>
        <v/>
      </c>
      <c r="Y30" s="247">
        <f>IF($C30&gt;$AN$1,"",SUMIFS(Data!$T$4:$T$375,Data!$A$4:$A$375,"&gt;="&amp;$C30,Data!$A$4:$A$375,"&lt;="&amp;($C30+6)))</f>
        <v/>
      </c>
      <c r="Z30" s="247">
        <f>IF($C30&gt;$AN$1,"",IF(NOT(ISNUMBER(D30)),"",ROUND(100*(0.3*IF(ISNUMBER(P30),MIN(1,P30/SleepTarget),0.7)+0.2*IF(ISNUMBER(Q30),Q30/10,0.7)+0.2*IF(ISNUMBER(R30),(10-R30)/9,0.7)+0.15*IF(I30&lt;7,1,0)+0.15*IF(ISNUMBER(J30),MIN(1,J30/0.5),0.5)),0)))</f>
        <v/>
      </c>
      <c r="AA30" s="256" t="n"/>
      <c r="AB30" s="256" t="n"/>
      <c r="AC30" s="257" t="n"/>
      <c r="AD30" s="257" t="n"/>
      <c r="AE30" s="257" t="n"/>
      <c r="AF30" s="257" t="n"/>
      <c r="AG30" s="257" t="n"/>
      <c r="AH30" s="257" t="n"/>
      <c r="AI30" s="256" t="n"/>
      <c r="AJ30" s="1" t="n"/>
      <c r="AK30" s="1" t="n"/>
    </row>
    <row r="31" ht="20" customHeight="1">
      <c r="A31" s="1" t="n"/>
      <c r="B31" s="258" t="n">
        <v>24</v>
      </c>
      <c r="C31" s="259">
        <f>DATE(2026,9,28)+161</f>
        <v/>
      </c>
      <c r="D31" s="260">
        <f>IF($C31&gt;$AN$1,"",IFERROR(AVERAGEIFS(Data!$BF$4:$BF$375,Data!$A$4:$A$375,"&gt;="&amp;$C31,Data!$A$4:$A$375,"&lt;="&amp;($C31+6)),""))</f>
        <v/>
      </c>
      <c r="E31" s="261">
        <f>IF($C31&gt;$AN$1,"",IF(NOT(ISNUMBER(D31)),"—",IF(D31&gt;=Band1,"GREEN",IF(D31&gt;=Band2,"GOOD",IF(D31&gt;=Band3,"NEEDS ATTENTION","RESET")))))</f>
        <v/>
      </c>
      <c r="F31" s="262">
        <f>IF($C31&gt;$AN$1,"",IFERROR(AVERAGEIFS(Data!$AF$4:$AF$375,Data!$A$4:$A$375,"&gt;="&amp;$C31,Data!$A$4:$A$375,"&lt;="&amp;($C31+6),Data!$AF$4:$AF$375,"&gt;0"),""))</f>
        <v/>
      </c>
      <c r="G31" s="263">
        <f>IF($C31&gt;$AN$1,"",IF(AND(ISNUMBER(F31),ISNUMBER(F30)),F31-F30,""))</f>
        <v/>
      </c>
      <c r="H31" s="264">
        <f>IF($C31&gt;$AN$1,"",IF(NOT(ISNUMBER(G31)),"",IF(-G31&gt;LossMaxPct*F31,"too fast",IF(-G31&gt;=LossMin,IF(-G31&lt;=LossMax,"on target","fast end"),IF(-G31&gt;0,"slow","flat / up")))))</f>
        <v/>
      </c>
      <c r="I31" s="258">
        <f>IF($C31&gt;$AN$1,"",SUMIFS(Data!$O$4:$O$375,Data!$A$4:$A$375,"&gt;="&amp;$C31,Data!$A$4:$A$375,"&lt;="&amp;($C31+6)))</f>
        <v/>
      </c>
      <c r="J31" s="265">
        <f>IF($C31&gt;$AN$1,"",IF(I31=0,"",MIN(1,SUMIFS(Data!$P$4:$P$375,Data!$A$4:$A$375,"&gt;="&amp;$C31,Data!$A$4:$A$375,"&lt;="&amp;($C31+6))/I31)))</f>
        <v/>
      </c>
      <c r="K31" s="258">
        <f>IF($C31&gt;$AN$1,"",SUMIFS(Data!$Q$4:$Q$375,Data!$A$4:$A$375,"&gt;="&amp;$C31,Data!$A$4:$A$375,"&lt;="&amp;($C31+6)))</f>
        <v/>
      </c>
      <c r="L31" s="258">
        <f>IF($C31&gt;$AN$1,"",SUMIFS(Data!$R$4:$R$375,Data!$A$4:$A$375,"&gt;="&amp;$C31,Data!$A$4:$A$375,"&lt;="&amp;($C31+6)))</f>
        <v/>
      </c>
      <c r="M31" s="258">
        <f>IF($C31&gt;$AN$1,"",SUMIFS(Data!$S$4:$S$375,Data!$A$4:$A$375,"&gt;="&amp;$C31,Data!$A$4:$A$375,"&lt;="&amp;($C31+6))+SUMIFS(Data!$AC$4:$AC$375,Data!$A$4:$A$375,"&gt;="&amp;$C31,Data!$A$4:$A$375,"&lt;="&amp;($C31+6)))</f>
        <v/>
      </c>
      <c r="N31" s="266">
        <f>IF($C31&gt;$AN$1,"",IFERROR(AVERAGEIFS(Data!$AG$4:$AG$375,Data!$A$4:$A$375,"&gt;="&amp;$C31,Data!$A$4:$A$375,"&lt;="&amp;($C31+6),Data!$AG$4:$AG$375,"&gt;0"),""))</f>
        <v/>
      </c>
      <c r="O31" s="258">
        <f>IF($C31&gt;$AN$1,"",IFERROR(AVERAGEIFS(Data!$AH$4:$AH$375,Data!$A$4:$A$375,"&gt;="&amp;$C31,Data!$A$4:$A$375,"&lt;="&amp;($C31+6),Data!$AH$4:$AH$375,"&gt;0"),""))</f>
        <v/>
      </c>
      <c r="P31" s="262">
        <f>IF($C31&gt;$AN$1,"",IFERROR(AVERAGEIFS(Data!$AK$4:$AK$375,Data!$A$4:$A$375,"&gt;="&amp;$C31,Data!$A$4:$A$375,"&lt;="&amp;($C31+6),Data!$AK$4:$AK$375,"&gt;0"),""))</f>
        <v/>
      </c>
      <c r="Q31" s="262">
        <f>IF($C31&gt;$AN$1,"",IFERROR(AVERAGEIFS(Data!$AL$4:$AL$375,Data!$A$4:$A$375,"&gt;="&amp;$C31,Data!$A$4:$A$375,"&lt;="&amp;($C31+6),Data!$AL$4:$AL$375,"&gt;0"),""))</f>
        <v/>
      </c>
      <c r="R31" s="262">
        <f>IF($C31&gt;$AN$1,"",IFERROR(AVERAGEIFS(Data!$AM$4:$AM$375,Data!$A$4:$A$375,"&gt;="&amp;$C31,Data!$A$4:$A$375,"&lt;="&amp;($C31+6),Data!$AM$4:$AM$375,"&gt;0"),""))</f>
        <v/>
      </c>
      <c r="S31" s="258">
        <f>IF($C31&gt;$AN$1,"",SUMIFS(Data!$G$4:$G$375,Data!$A$4:$A$375,"&gt;="&amp;$C31,Data!$A$4:$A$375,"&lt;="&amp;($C31+6)))</f>
        <v/>
      </c>
      <c r="T31" s="258">
        <f>IF($C31&gt;$AN$1,"",SUMIFS(Data!$Z$4:$Z$375,Data!$A$4:$A$375,"&gt;="&amp;$C31,Data!$A$4:$A$375,"&lt;="&amp;($C31+6)))</f>
        <v/>
      </c>
      <c r="U31" s="258">
        <f>IF($C31&gt;$AN$1,"",SUMIFS(Data!$X$4:$X$375,Data!$A$4:$A$375,"&gt;="&amp;$C31,Data!$A$4:$A$375,"&lt;="&amp;($C31+6)))</f>
        <v/>
      </c>
      <c r="V31" s="258">
        <f>IF($C31&gt;$AN$1,"",SUMIFS(Data!$W$4:$W$375,Data!$A$4:$A$375,"&gt;="&amp;$C31,Data!$A$4:$A$375,"&lt;="&amp;($C31+6)))</f>
        <v/>
      </c>
      <c r="W31" s="258">
        <f>IF($C31&gt;$AN$1,"",SUMIFS(Data!$Y$4:$Y$375,Data!$A$4:$A$375,"&gt;="&amp;$C31,Data!$A$4:$A$375,"&lt;="&amp;($C31+6)))</f>
        <v/>
      </c>
      <c r="X31" s="258">
        <f>IF($C31&gt;$AN$1,"",SUMIFS(Data!$AA$4:$AA$375,Data!$A$4:$A$375,"&gt;="&amp;$C31,Data!$A$4:$A$375,"&lt;="&amp;($C31+6)))</f>
        <v/>
      </c>
      <c r="Y31" s="258">
        <f>IF($C31&gt;$AN$1,"",SUMIFS(Data!$T$4:$T$375,Data!$A$4:$A$375,"&gt;="&amp;$C31,Data!$A$4:$A$375,"&lt;="&amp;($C31+6)))</f>
        <v/>
      </c>
      <c r="Z31" s="258">
        <f>IF($C31&gt;$AN$1,"",IF(NOT(ISNUMBER(D31)),"",ROUND(100*(0.3*IF(ISNUMBER(P31),MIN(1,P31/SleepTarget),0.7)+0.2*IF(ISNUMBER(Q31),Q31/10,0.7)+0.2*IF(ISNUMBER(R31),(10-R31)/9,0.7)+0.15*IF(I31&lt;7,1,0)+0.15*IF(ISNUMBER(J31),MIN(1,J31/0.5),0.5)),0)))</f>
        <v/>
      </c>
      <c r="AA31" s="91" t="n"/>
      <c r="AB31" s="91" t="n"/>
      <c r="AC31" s="267" t="n"/>
      <c r="AD31" s="267" t="n"/>
      <c r="AE31" s="267" t="n"/>
      <c r="AF31" s="267" t="n"/>
      <c r="AG31" s="267" t="n"/>
      <c r="AH31" s="267" t="n"/>
      <c r="AI31" s="91" t="n"/>
      <c r="AJ31" s="1" t="n"/>
      <c r="AK31" s="1" t="n"/>
    </row>
    <row r="32" ht="20" customHeight="1">
      <c r="A32" s="1" t="n"/>
      <c r="B32" s="247" t="n">
        <v>25</v>
      </c>
      <c r="C32" s="248">
        <f>DATE(2026,9,28)+168</f>
        <v/>
      </c>
      <c r="D32" s="249">
        <f>IF($C32&gt;$AN$1,"",IFERROR(AVERAGEIFS(Data!$BF$4:$BF$375,Data!$A$4:$A$375,"&gt;="&amp;$C32,Data!$A$4:$A$375,"&lt;="&amp;($C32+6)),""))</f>
        <v/>
      </c>
      <c r="E32" s="250">
        <f>IF($C32&gt;$AN$1,"",IF(NOT(ISNUMBER(D32)),"—",IF(D32&gt;=Band1,"GREEN",IF(D32&gt;=Band2,"GOOD",IF(D32&gt;=Band3,"NEEDS ATTENTION","RESET")))))</f>
        <v/>
      </c>
      <c r="F32" s="251">
        <f>IF($C32&gt;$AN$1,"",IFERROR(AVERAGEIFS(Data!$AF$4:$AF$375,Data!$A$4:$A$375,"&gt;="&amp;$C32,Data!$A$4:$A$375,"&lt;="&amp;($C32+6),Data!$AF$4:$AF$375,"&gt;0"),""))</f>
        <v/>
      </c>
      <c r="G32" s="252">
        <f>IF($C32&gt;$AN$1,"",IF(AND(ISNUMBER(F32),ISNUMBER(F31)),F32-F31,""))</f>
        <v/>
      </c>
      <c r="H32" s="253">
        <f>IF($C32&gt;$AN$1,"",IF(NOT(ISNUMBER(G32)),"",IF(-G32&gt;LossMaxPct*F32,"too fast",IF(-G32&gt;=LossMin,IF(-G32&lt;=LossMax,"on target","fast end"),IF(-G32&gt;0,"slow","flat / up")))))</f>
        <v/>
      </c>
      <c r="I32" s="247">
        <f>IF($C32&gt;$AN$1,"",SUMIFS(Data!$O$4:$O$375,Data!$A$4:$A$375,"&gt;="&amp;$C32,Data!$A$4:$A$375,"&lt;="&amp;($C32+6)))</f>
        <v/>
      </c>
      <c r="J32" s="254">
        <f>IF($C32&gt;$AN$1,"",IF(I32=0,"",MIN(1,SUMIFS(Data!$P$4:$P$375,Data!$A$4:$A$375,"&gt;="&amp;$C32,Data!$A$4:$A$375,"&lt;="&amp;($C32+6))/I32)))</f>
        <v/>
      </c>
      <c r="K32" s="247">
        <f>IF($C32&gt;$AN$1,"",SUMIFS(Data!$Q$4:$Q$375,Data!$A$4:$A$375,"&gt;="&amp;$C32,Data!$A$4:$A$375,"&lt;="&amp;($C32+6)))</f>
        <v/>
      </c>
      <c r="L32" s="247">
        <f>IF($C32&gt;$AN$1,"",SUMIFS(Data!$R$4:$R$375,Data!$A$4:$A$375,"&gt;="&amp;$C32,Data!$A$4:$A$375,"&lt;="&amp;($C32+6)))</f>
        <v/>
      </c>
      <c r="M32" s="247">
        <f>IF($C32&gt;$AN$1,"",SUMIFS(Data!$S$4:$S$375,Data!$A$4:$A$375,"&gt;="&amp;$C32,Data!$A$4:$A$375,"&lt;="&amp;($C32+6))+SUMIFS(Data!$AC$4:$AC$375,Data!$A$4:$A$375,"&gt;="&amp;$C32,Data!$A$4:$A$375,"&lt;="&amp;($C32+6)))</f>
        <v/>
      </c>
      <c r="N32" s="255">
        <f>IF($C32&gt;$AN$1,"",IFERROR(AVERAGEIFS(Data!$AG$4:$AG$375,Data!$A$4:$A$375,"&gt;="&amp;$C32,Data!$A$4:$A$375,"&lt;="&amp;($C32+6),Data!$AG$4:$AG$375,"&gt;0"),""))</f>
        <v/>
      </c>
      <c r="O32" s="247">
        <f>IF($C32&gt;$AN$1,"",IFERROR(AVERAGEIFS(Data!$AH$4:$AH$375,Data!$A$4:$A$375,"&gt;="&amp;$C32,Data!$A$4:$A$375,"&lt;="&amp;($C32+6),Data!$AH$4:$AH$375,"&gt;0"),""))</f>
        <v/>
      </c>
      <c r="P32" s="251">
        <f>IF($C32&gt;$AN$1,"",IFERROR(AVERAGEIFS(Data!$AK$4:$AK$375,Data!$A$4:$A$375,"&gt;="&amp;$C32,Data!$A$4:$A$375,"&lt;="&amp;($C32+6),Data!$AK$4:$AK$375,"&gt;0"),""))</f>
        <v/>
      </c>
      <c r="Q32" s="251">
        <f>IF($C32&gt;$AN$1,"",IFERROR(AVERAGEIFS(Data!$AL$4:$AL$375,Data!$A$4:$A$375,"&gt;="&amp;$C32,Data!$A$4:$A$375,"&lt;="&amp;($C32+6),Data!$AL$4:$AL$375,"&gt;0"),""))</f>
        <v/>
      </c>
      <c r="R32" s="251">
        <f>IF($C32&gt;$AN$1,"",IFERROR(AVERAGEIFS(Data!$AM$4:$AM$375,Data!$A$4:$A$375,"&gt;="&amp;$C32,Data!$A$4:$A$375,"&lt;="&amp;($C32+6),Data!$AM$4:$AM$375,"&gt;0"),""))</f>
        <v/>
      </c>
      <c r="S32" s="247">
        <f>IF($C32&gt;$AN$1,"",SUMIFS(Data!$G$4:$G$375,Data!$A$4:$A$375,"&gt;="&amp;$C32,Data!$A$4:$A$375,"&lt;="&amp;($C32+6)))</f>
        <v/>
      </c>
      <c r="T32" s="247">
        <f>IF($C32&gt;$AN$1,"",SUMIFS(Data!$Z$4:$Z$375,Data!$A$4:$A$375,"&gt;="&amp;$C32,Data!$A$4:$A$375,"&lt;="&amp;($C32+6)))</f>
        <v/>
      </c>
      <c r="U32" s="247">
        <f>IF($C32&gt;$AN$1,"",SUMIFS(Data!$X$4:$X$375,Data!$A$4:$A$375,"&gt;="&amp;$C32,Data!$A$4:$A$375,"&lt;="&amp;($C32+6)))</f>
        <v/>
      </c>
      <c r="V32" s="247">
        <f>IF($C32&gt;$AN$1,"",SUMIFS(Data!$W$4:$W$375,Data!$A$4:$A$375,"&gt;="&amp;$C32,Data!$A$4:$A$375,"&lt;="&amp;($C32+6)))</f>
        <v/>
      </c>
      <c r="W32" s="247">
        <f>IF($C32&gt;$AN$1,"",SUMIFS(Data!$Y$4:$Y$375,Data!$A$4:$A$375,"&gt;="&amp;$C32,Data!$A$4:$A$375,"&lt;="&amp;($C32+6)))</f>
        <v/>
      </c>
      <c r="X32" s="247">
        <f>IF($C32&gt;$AN$1,"",SUMIFS(Data!$AA$4:$AA$375,Data!$A$4:$A$375,"&gt;="&amp;$C32,Data!$A$4:$A$375,"&lt;="&amp;($C32+6)))</f>
        <v/>
      </c>
      <c r="Y32" s="247">
        <f>IF($C32&gt;$AN$1,"",SUMIFS(Data!$T$4:$T$375,Data!$A$4:$A$375,"&gt;="&amp;$C32,Data!$A$4:$A$375,"&lt;="&amp;($C32+6)))</f>
        <v/>
      </c>
      <c r="Z32" s="247">
        <f>IF($C32&gt;$AN$1,"",IF(NOT(ISNUMBER(D32)),"",ROUND(100*(0.3*IF(ISNUMBER(P32),MIN(1,P32/SleepTarget),0.7)+0.2*IF(ISNUMBER(Q32),Q32/10,0.7)+0.2*IF(ISNUMBER(R32),(10-R32)/9,0.7)+0.15*IF(I32&lt;7,1,0)+0.15*IF(ISNUMBER(J32),MIN(1,J32/0.5),0.5)),0)))</f>
        <v/>
      </c>
      <c r="AA32" s="256" t="n"/>
      <c r="AB32" s="256" t="n"/>
      <c r="AC32" s="257" t="n"/>
      <c r="AD32" s="257" t="n"/>
      <c r="AE32" s="257" t="n"/>
      <c r="AF32" s="257" t="n"/>
      <c r="AG32" s="257" t="n"/>
      <c r="AH32" s="257" t="n"/>
      <c r="AI32" s="256" t="n"/>
      <c r="AJ32" s="1" t="n"/>
      <c r="AK32" s="1" t="n"/>
    </row>
    <row r="33" ht="20" customHeight="1">
      <c r="A33" s="1" t="n"/>
      <c r="B33" s="258" t="n">
        <v>26</v>
      </c>
      <c r="C33" s="259">
        <f>DATE(2026,9,28)+175</f>
        <v/>
      </c>
      <c r="D33" s="260">
        <f>IF($C33&gt;$AN$1,"",IFERROR(AVERAGEIFS(Data!$BF$4:$BF$375,Data!$A$4:$A$375,"&gt;="&amp;$C33,Data!$A$4:$A$375,"&lt;="&amp;($C33+6)),""))</f>
        <v/>
      </c>
      <c r="E33" s="261">
        <f>IF($C33&gt;$AN$1,"",IF(NOT(ISNUMBER(D33)),"—",IF(D33&gt;=Band1,"GREEN",IF(D33&gt;=Band2,"GOOD",IF(D33&gt;=Band3,"NEEDS ATTENTION","RESET")))))</f>
        <v/>
      </c>
      <c r="F33" s="262">
        <f>IF($C33&gt;$AN$1,"",IFERROR(AVERAGEIFS(Data!$AF$4:$AF$375,Data!$A$4:$A$375,"&gt;="&amp;$C33,Data!$A$4:$A$375,"&lt;="&amp;($C33+6),Data!$AF$4:$AF$375,"&gt;0"),""))</f>
        <v/>
      </c>
      <c r="G33" s="263">
        <f>IF($C33&gt;$AN$1,"",IF(AND(ISNUMBER(F33),ISNUMBER(F32)),F33-F32,""))</f>
        <v/>
      </c>
      <c r="H33" s="264">
        <f>IF($C33&gt;$AN$1,"",IF(NOT(ISNUMBER(G33)),"",IF(-G33&gt;LossMaxPct*F33,"too fast",IF(-G33&gt;=LossMin,IF(-G33&lt;=LossMax,"on target","fast end"),IF(-G33&gt;0,"slow","flat / up")))))</f>
        <v/>
      </c>
      <c r="I33" s="258">
        <f>IF($C33&gt;$AN$1,"",SUMIFS(Data!$O$4:$O$375,Data!$A$4:$A$375,"&gt;="&amp;$C33,Data!$A$4:$A$375,"&lt;="&amp;($C33+6)))</f>
        <v/>
      </c>
      <c r="J33" s="265">
        <f>IF($C33&gt;$AN$1,"",IF(I33=0,"",MIN(1,SUMIFS(Data!$P$4:$P$375,Data!$A$4:$A$375,"&gt;="&amp;$C33,Data!$A$4:$A$375,"&lt;="&amp;($C33+6))/I33)))</f>
        <v/>
      </c>
      <c r="K33" s="258">
        <f>IF($C33&gt;$AN$1,"",SUMIFS(Data!$Q$4:$Q$375,Data!$A$4:$A$375,"&gt;="&amp;$C33,Data!$A$4:$A$375,"&lt;="&amp;($C33+6)))</f>
        <v/>
      </c>
      <c r="L33" s="258">
        <f>IF($C33&gt;$AN$1,"",SUMIFS(Data!$R$4:$R$375,Data!$A$4:$A$375,"&gt;="&amp;$C33,Data!$A$4:$A$375,"&lt;="&amp;($C33+6)))</f>
        <v/>
      </c>
      <c r="M33" s="258">
        <f>IF($C33&gt;$AN$1,"",SUMIFS(Data!$S$4:$S$375,Data!$A$4:$A$375,"&gt;="&amp;$C33,Data!$A$4:$A$375,"&lt;="&amp;($C33+6))+SUMIFS(Data!$AC$4:$AC$375,Data!$A$4:$A$375,"&gt;="&amp;$C33,Data!$A$4:$A$375,"&lt;="&amp;($C33+6)))</f>
        <v/>
      </c>
      <c r="N33" s="266">
        <f>IF($C33&gt;$AN$1,"",IFERROR(AVERAGEIFS(Data!$AG$4:$AG$375,Data!$A$4:$A$375,"&gt;="&amp;$C33,Data!$A$4:$A$375,"&lt;="&amp;($C33+6),Data!$AG$4:$AG$375,"&gt;0"),""))</f>
        <v/>
      </c>
      <c r="O33" s="258">
        <f>IF($C33&gt;$AN$1,"",IFERROR(AVERAGEIFS(Data!$AH$4:$AH$375,Data!$A$4:$A$375,"&gt;="&amp;$C33,Data!$A$4:$A$375,"&lt;="&amp;($C33+6),Data!$AH$4:$AH$375,"&gt;0"),""))</f>
        <v/>
      </c>
      <c r="P33" s="262">
        <f>IF($C33&gt;$AN$1,"",IFERROR(AVERAGEIFS(Data!$AK$4:$AK$375,Data!$A$4:$A$375,"&gt;="&amp;$C33,Data!$A$4:$A$375,"&lt;="&amp;($C33+6),Data!$AK$4:$AK$375,"&gt;0"),""))</f>
        <v/>
      </c>
      <c r="Q33" s="262">
        <f>IF($C33&gt;$AN$1,"",IFERROR(AVERAGEIFS(Data!$AL$4:$AL$375,Data!$A$4:$A$375,"&gt;="&amp;$C33,Data!$A$4:$A$375,"&lt;="&amp;($C33+6),Data!$AL$4:$AL$375,"&gt;0"),""))</f>
        <v/>
      </c>
      <c r="R33" s="262">
        <f>IF($C33&gt;$AN$1,"",IFERROR(AVERAGEIFS(Data!$AM$4:$AM$375,Data!$A$4:$A$375,"&gt;="&amp;$C33,Data!$A$4:$A$375,"&lt;="&amp;($C33+6),Data!$AM$4:$AM$375,"&gt;0"),""))</f>
        <v/>
      </c>
      <c r="S33" s="258">
        <f>IF($C33&gt;$AN$1,"",SUMIFS(Data!$G$4:$G$375,Data!$A$4:$A$375,"&gt;="&amp;$C33,Data!$A$4:$A$375,"&lt;="&amp;($C33+6)))</f>
        <v/>
      </c>
      <c r="T33" s="258">
        <f>IF($C33&gt;$AN$1,"",SUMIFS(Data!$Z$4:$Z$375,Data!$A$4:$A$375,"&gt;="&amp;$C33,Data!$A$4:$A$375,"&lt;="&amp;($C33+6)))</f>
        <v/>
      </c>
      <c r="U33" s="258">
        <f>IF($C33&gt;$AN$1,"",SUMIFS(Data!$X$4:$X$375,Data!$A$4:$A$375,"&gt;="&amp;$C33,Data!$A$4:$A$375,"&lt;="&amp;($C33+6)))</f>
        <v/>
      </c>
      <c r="V33" s="258">
        <f>IF($C33&gt;$AN$1,"",SUMIFS(Data!$W$4:$W$375,Data!$A$4:$A$375,"&gt;="&amp;$C33,Data!$A$4:$A$375,"&lt;="&amp;($C33+6)))</f>
        <v/>
      </c>
      <c r="W33" s="258">
        <f>IF($C33&gt;$AN$1,"",SUMIFS(Data!$Y$4:$Y$375,Data!$A$4:$A$375,"&gt;="&amp;$C33,Data!$A$4:$A$375,"&lt;="&amp;($C33+6)))</f>
        <v/>
      </c>
      <c r="X33" s="258">
        <f>IF($C33&gt;$AN$1,"",SUMIFS(Data!$AA$4:$AA$375,Data!$A$4:$A$375,"&gt;="&amp;$C33,Data!$A$4:$A$375,"&lt;="&amp;($C33+6)))</f>
        <v/>
      </c>
      <c r="Y33" s="258">
        <f>IF($C33&gt;$AN$1,"",SUMIFS(Data!$T$4:$T$375,Data!$A$4:$A$375,"&gt;="&amp;$C33,Data!$A$4:$A$375,"&lt;="&amp;($C33+6)))</f>
        <v/>
      </c>
      <c r="Z33" s="258">
        <f>IF($C33&gt;$AN$1,"",IF(NOT(ISNUMBER(D33)),"",ROUND(100*(0.3*IF(ISNUMBER(P33),MIN(1,P33/SleepTarget),0.7)+0.2*IF(ISNUMBER(Q33),Q33/10,0.7)+0.2*IF(ISNUMBER(R33),(10-R33)/9,0.7)+0.15*IF(I33&lt;7,1,0)+0.15*IF(ISNUMBER(J33),MIN(1,J33/0.5),0.5)),0)))</f>
        <v/>
      </c>
      <c r="AA33" s="91" t="n"/>
      <c r="AB33" s="91" t="n"/>
      <c r="AC33" s="267" t="n"/>
      <c r="AD33" s="267" t="n"/>
      <c r="AE33" s="267" t="n"/>
      <c r="AF33" s="267" t="n"/>
      <c r="AG33" s="267" t="n"/>
      <c r="AH33" s="267" t="n"/>
      <c r="AI33" s="91" t="n"/>
      <c r="AJ33" s="1" t="n"/>
      <c r="AK33" s="1" t="n"/>
    </row>
    <row r="34" ht="20" customHeight="1">
      <c r="A34" s="1" t="n"/>
      <c r="B34" s="247" t="n">
        <v>27</v>
      </c>
      <c r="C34" s="248">
        <f>DATE(2026,9,28)+182</f>
        <v/>
      </c>
      <c r="D34" s="249">
        <f>IF($C34&gt;$AN$1,"",IFERROR(AVERAGEIFS(Data!$BF$4:$BF$375,Data!$A$4:$A$375,"&gt;="&amp;$C34,Data!$A$4:$A$375,"&lt;="&amp;($C34+6)),""))</f>
        <v/>
      </c>
      <c r="E34" s="250">
        <f>IF($C34&gt;$AN$1,"",IF(NOT(ISNUMBER(D34)),"—",IF(D34&gt;=Band1,"GREEN",IF(D34&gt;=Band2,"GOOD",IF(D34&gt;=Band3,"NEEDS ATTENTION","RESET")))))</f>
        <v/>
      </c>
      <c r="F34" s="251">
        <f>IF($C34&gt;$AN$1,"",IFERROR(AVERAGEIFS(Data!$AF$4:$AF$375,Data!$A$4:$A$375,"&gt;="&amp;$C34,Data!$A$4:$A$375,"&lt;="&amp;($C34+6),Data!$AF$4:$AF$375,"&gt;0"),""))</f>
        <v/>
      </c>
      <c r="G34" s="252">
        <f>IF($C34&gt;$AN$1,"",IF(AND(ISNUMBER(F34),ISNUMBER(F33)),F34-F33,""))</f>
        <v/>
      </c>
      <c r="H34" s="253">
        <f>IF($C34&gt;$AN$1,"",IF(NOT(ISNUMBER(G34)),"",IF(-G34&gt;LossMaxPct*F34,"too fast",IF(-G34&gt;=LossMin,IF(-G34&lt;=LossMax,"on target","fast end"),IF(-G34&gt;0,"slow","flat / up")))))</f>
        <v/>
      </c>
      <c r="I34" s="247">
        <f>IF($C34&gt;$AN$1,"",SUMIFS(Data!$O$4:$O$375,Data!$A$4:$A$375,"&gt;="&amp;$C34,Data!$A$4:$A$375,"&lt;="&amp;($C34+6)))</f>
        <v/>
      </c>
      <c r="J34" s="254">
        <f>IF($C34&gt;$AN$1,"",IF(I34=0,"",MIN(1,SUMIFS(Data!$P$4:$P$375,Data!$A$4:$A$375,"&gt;="&amp;$C34,Data!$A$4:$A$375,"&lt;="&amp;($C34+6))/I34)))</f>
        <v/>
      </c>
      <c r="K34" s="247">
        <f>IF($C34&gt;$AN$1,"",SUMIFS(Data!$Q$4:$Q$375,Data!$A$4:$A$375,"&gt;="&amp;$C34,Data!$A$4:$A$375,"&lt;="&amp;($C34+6)))</f>
        <v/>
      </c>
      <c r="L34" s="247">
        <f>IF($C34&gt;$AN$1,"",SUMIFS(Data!$R$4:$R$375,Data!$A$4:$A$375,"&gt;="&amp;$C34,Data!$A$4:$A$375,"&lt;="&amp;($C34+6)))</f>
        <v/>
      </c>
      <c r="M34" s="247">
        <f>IF($C34&gt;$AN$1,"",SUMIFS(Data!$S$4:$S$375,Data!$A$4:$A$375,"&gt;="&amp;$C34,Data!$A$4:$A$375,"&lt;="&amp;($C34+6))+SUMIFS(Data!$AC$4:$AC$375,Data!$A$4:$A$375,"&gt;="&amp;$C34,Data!$A$4:$A$375,"&lt;="&amp;($C34+6)))</f>
        <v/>
      </c>
      <c r="N34" s="255">
        <f>IF($C34&gt;$AN$1,"",IFERROR(AVERAGEIFS(Data!$AG$4:$AG$375,Data!$A$4:$A$375,"&gt;="&amp;$C34,Data!$A$4:$A$375,"&lt;="&amp;($C34+6),Data!$AG$4:$AG$375,"&gt;0"),""))</f>
        <v/>
      </c>
      <c r="O34" s="247">
        <f>IF($C34&gt;$AN$1,"",IFERROR(AVERAGEIFS(Data!$AH$4:$AH$375,Data!$A$4:$A$375,"&gt;="&amp;$C34,Data!$A$4:$A$375,"&lt;="&amp;($C34+6),Data!$AH$4:$AH$375,"&gt;0"),""))</f>
        <v/>
      </c>
      <c r="P34" s="251">
        <f>IF($C34&gt;$AN$1,"",IFERROR(AVERAGEIFS(Data!$AK$4:$AK$375,Data!$A$4:$A$375,"&gt;="&amp;$C34,Data!$A$4:$A$375,"&lt;="&amp;($C34+6),Data!$AK$4:$AK$375,"&gt;0"),""))</f>
        <v/>
      </c>
      <c r="Q34" s="251">
        <f>IF($C34&gt;$AN$1,"",IFERROR(AVERAGEIFS(Data!$AL$4:$AL$375,Data!$A$4:$A$375,"&gt;="&amp;$C34,Data!$A$4:$A$375,"&lt;="&amp;($C34+6),Data!$AL$4:$AL$375,"&gt;0"),""))</f>
        <v/>
      </c>
      <c r="R34" s="251">
        <f>IF($C34&gt;$AN$1,"",IFERROR(AVERAGEIFS(Data!$AM$4:$AM$375,Data!$A$4:$A$375,"&gt;="&amp;$C34,Data!$A$4:$A$375,"&lt;="&amp;($C34+6),Data!$AM$4:$AM$375,"&gt;0"),""))</f>
        <v/>
      </c>
      <c r="S34" s="247">
        <f>IF($C34&gt;$AN$1,"",SUMIFS(Data!$G$4:$G$375,Data!$A$4:$A$375,"&gt;="&amp;$C34,Data!$A$4:$A$375,"&lt;="&amp;($C34+6)))</f>
        <v/>
      </c>
      <c r="T34" s="247">
        <f>IF($C34&gt;$AN$1,"",SUMIFS(Data!$Z$4:$Z$375,Data!$A$4:$A$375,"&gt;="&amp;$C34,Data!$A$4:$A$375,"&lt;="&amp;($C34+6)))</f>
        <v/>
      </c>
      <c r="U34" s="247">
        <f>IF($C34&gt;$AN$1,"",SUMIFS(Data!$X$4:$X$375,Data!$A$4:$A$375,"&gt;="&amp;$C34,Data!$A$4:$A$375,"&lt;="&amp;($C34+6)))</f>
        <v/>
      </c>
      <c r="V34" s="247">
        <f>IF($C34&gt;$AN$1,"",SUMIFS(Data!$W$4:$W$375,Data!$A$4:$A$375,"&gt;="&amp;$C34,Data!$A$4:$A$375,"&lt;="&amp;($C34+6)))</f>
        <v/>
      </c>
      <c r="W34" s="247">
        <f>IF($C34&gt;$AN$1,"",SUMIFS(Data!$Y$4:$Y$375,Data!$A$4:$A$375,"&gt;="&amp;$C34,Data!$A$4:$A$375,"&lt;="&amp;($C34+6)))</f>
        <v/>
      </c>
      <c r="X34" s="247">
        <f>IF($C34&gt;$AN$1,"",SUMIFS(Data!$AA$4:$AA$375,Data!$A$4:$A$375,"&gt;="&amp;$C34,Data!$A$4:$A$375,"&lt;="&amp;($C34+6)))</f>
        <v/>
      </c>
      <c r="Y34" s="247">
        <f>IF($C34&gt;$AN$1,"",SUMIFS(Data!$T$4:$T$375,Data!$A$4:$A$375,"&gt;="&amp;$C34,Data!$A$4:$A$375,"&lt;="&amp;($C34+6)))</f>
        <v/>
      </c>
      <c r="Z34" s="247">
        <f>IF($C34&gt;$AN$1,"",IF(NOT(ISNUMBER(D34)),"",ROUND(100*(0.3*IF(ISNUMBER(P34),MIN(1,P34/SleepTarget),0.7)+0.2*IF(ISNUMBER(Q34),Q34/10,0.7)+0.2*IF(ISNUMBER(R34),(10-R34)/9,0.7)+0.15*IF(I34&lt;7,1,0)+0.15*IF(ISNUMBER(J34),MIN(1,J34/0.5),0.5)),0)))</f>
        <v/>
      </c>
      <c r="AA34" s="256" t="n"/>
      <c r="AB34" s="256" t="n"/>
      <c r="AC34" s="257" t="n"/>
      <c r="AD34" s="257" t="n"/>
      <c r="AE34" s="257" t="n"/>
      <c r="AF34" s="257" t="n"/>
      <c r="AG34" s="257" t="n"/>
      <c r="AH34" s="257" t="n"/>
      <c r="AI34" s="256" t="n"/>
      <c r="AJ34" s="1" t="n"/>
      <c r="AK34" s="1" t="n"/>
    </row>
    <row r="35" ht="20" customHeight="1">
      <c r="A35" s="1" t="n"/>
      <c r="B35" s="258" t="n">
        <v>28</v>
      </c>
      <c r="C35" s="259">
        <f>DATE(2026,9,28)+189</f>
        <v/>
      </c>
      <c r="D35" s="260">
        <f>IF($C35&gt;$AN$1,"",IFERROR(AVERAGEIFS(Data!$BF$4:$BF$375,Data!$A$4:$A$375,"&gt;="&amp;$C35,Data!$A$4:$A$375,"&lt;="&amp;($C35+6)),""))</f>
        <v/>
      </c>
      <c r="E35" s="261">
        <f>IF($C35&gt;$AN$1,"",IF(NOT(ISNUMBER(D35)),"—",IF(D35&gt;=Band1,"GREEN",IF(D35&gt;=Band2,"GOOD",IF(D35&gt;=Band3,"NEEDS ATTENTION","RESET")))))</f>
        <v/>
      </c>
      <c r="F35" s="262">
        <f>IF($C35&gt;$AN$1,"",IFERROR(AVERAGEIFS(Data!$AF$4:$AF$375,Data!$A$4:$A$375,"&gt;="&amp;$C35,Data!$A$4:$A$375,"&lt;="&amp;($C35+6),Data!$AF$4:$AF$375,"&gt;0"),""))</f>
        <v/>
      </c>
      <c r="G35" s="263">
        <f>IF($C35&gt;$AN$1,"",IF(AND(ISNUMBER(F35),ISNUMBER(F34)),F35-F34,""))</f>
        <v/>
      </c>
      <c r="H35" s="264">
        <f>IF($C35&gt;$AN$1,"",IF(NOT(ISNUMBER(G35)),"",IF(-G35&gt;LossMaxPct*F35,"too fast",IF(-G35&gt;=LossMin,IF(-G35&lt;=LossMax,"on target","fast end"),IF(-G35&gt;0,"slow","flat / up")))))</f>
        <v/>
      </c>
      <c r="I35" s="258">
        <f>IF($C35&gt;$AN$1,"",SUMIFS(Data!$O$4:$O$375,Data!$A$4:$A$375,"&gt;="&amp;$C35,Data!$A$4:$A$375,"&lt;="&amp;($C35+6)))</f>
        <v/>
      </c>
      <c r="J35" s="265">
        <f>IF($C35&gt;$AN$1,"",IF(I35=0,"",MIN(1,SUMIFS(Data!$P$4:$P$375,Data!$A$4:$A$375,"&gt;="&amp;$C35,Data!$A$4:$A$375,"&lt;="&amp;($C35+6))/I35)))</f>
        <v/>
      </c>
      <c r="K35" s="258">
        <f>IF($C35&gt;$AN$1,"",SUMIFS(Data!$Q$4:$Q$375,Data!$A$4:$A$375,"&gt;="&amp;$C35,Data!$A$4:$A$375,"&lt;="&amp;($C35+6)))</f>
        <v/>
      </c>
      <c r="L35" s="258">
        <f>IF($C35&gt;$AN$1,"",SUMIFS(Data!$R$4:$R$375,Data!$A$4:$A$375,"&gt;="&amp;$C35,Data!$A$4:$A$375,"&lt;="&amp;($C35+6)))</f>
        <v/>
      </c>
      <c r="M35" s="258">
        <f>IF($C35&gt;$AN$1,"",SUMIFS(Data!$S$4:$S$375,Data!$A$4:$A$375,"&gt;="&amp;$C35,Data!$A$4:$A$375,"&lt;="&amp;($C35+6))+SUMIFS(Data!$AC$4:$AC$375,Data!$A$4:$A$375,"&gt;="&amp;$C35,Data!$A$4:$A$375,"&lt;="&amp;($C35+6)))</f>
        <v/>
      </c>
      <c r="N35" s="266">
        <f>IF($C35&gt;$AN$1,"",IFERROR(AVERAGEIFS(Data!$AG$4:$AG$375,Data!$A$4:$A$375,"&gt;="&amp;$C35,Data!$A$4:$A$375,"&lt;="&amp;($C35+6),Data!$AG$4:$AG$375,"&gt;0"),""))</f>
        <v/>
      </c>
      <c r="O35" s="258">
        <f>IF($C35&gt;$AN$1,"",IFERROR(AVERAGEIFS(Data!$AH$4:$AH$375,Data!$A$4:$A$375,"&gt;="&amp;$C35,Data!$A$4:$A$375,"&lt;="&amp;($C35+6),Data!$AH$4:$AH$375,"&gt;0"),""))</f>
        <v/>
      </c>
      <c r="P35" s="262">
        <f>IF($C35&gt;$AN$1,"",IFERROR(AVERAGEIFS(Data!$AK$4:$AK$375,Data!$A$4:$A$375,"&gt;="&amp;$C35,Data!$A$4:$A$375,"&lt;="&amp;($C35+6),Data!$AK$4:$AK$375,"&gt;0"),""))</f>
        <v/>
      </c>
      <c r="Q35" s="262">
        <f>IF($C35&gt;$AN$1,"",IFERROR(AVERAGEIFS(Data!$AL$4:$AL$375,Data!$A$4:$A$375,"&gt;="&amp;$C35,Data!$A$4:$A$375,"&lt;="&amp;($C35+6),Data!$AL$4:$AL$375,"&gt;0"),""))</f>
        <v/>
      </c>
      <c r="R35" s="262">
        <f>IF($C35&gt;$AN$1,"",IFERROR(AVERAGEIFS(Data!$AM$4:$AM$375,Data!$A$4:$A$375,"&gt;="&amp;$C35,Data!$A$4:$A$375,"&lt;="&amp;($C35+6),Data!$AM$4:$AM$375,"&gt;0"),""))</f>
        <v/>
      </c>
      <c r="S35" s="258">
        <f>IF($C35&gt;$AN$1,"",SUMIFS(Data!$G$4:$G$375,Data!$A$4:$A$375,"&gt;="&amp;$C35,Data!$A$4:$A$375,"&lt;="&amp;($C35+6)))</f>
        <v/>
      </c>
      <c r="T35" s="258">
        <f>IF($C35&gt;$AN$1,"",SUMIFS(Data!$Z$4:$Z$375,Data!$A$4:$A$375,"&gt;="&amp;$C35,Data!$A$4:$A$375,"&lt;="&amp;($C35+6)))</f>
        <v/>
      </c>
      <c r="U35" s="258">
        <f>IF($C35&gt;$AN$1,"",SUMIFS(Data!$X$4:$X$375,Data!$A$4:$A$375,"&gt;="&amp;$C35,Data!$A$4:$A$375,"&lt;="&amp;($C35+6)))</f>
        <v/>
      </c>
      <c r="V35" s="258">
        <f>IF($C35&gt;$AN$1,"",SUMIFS(Data!$W$4:$W$375,Data!$A$4:$A$375,"&gt;="&amp;$C35,Data!$A$4:$A$375,"&lt;="&amp;($C35+6)))</f>
        <v/>
      </c>
      <c r="W35" s="258">
        <f>IF($C35&gt;$AN$1,"",SUMIFS(Data!$Y$4:$Y$375,Data!$A$4:$A$375,"&gt;="&amp;$C35,Data!$A$4:$A$375,"&lt;="&amp;($C35+6)))</f>
        <v/>
      </c>
      <c r="X35" s="258">
        <f>IF($C35&gt;$AN$1,"",SUMIFS(Data!$AA$4:$AA$375,Data!$A$4:$A$375,"&gt;="&amp;$C35,Data!$A$4:$A$375,"&lt;="&amp;($C35+6)))</f>
        <v/>
      </c>
      <c r="Y35" s="258">
        <f>IF($C35&gt;$AN$1,"",SUMIFS(Data!$T$4:$T$375,Data!$A$4:$A$375,"&gt;="&amp;$C35,Data!$A$4:$A$375,"&lt;="&amp;($C35+6)))</f>
        <v/>
      </c>
      <c r="Z35" s="258">
        <f>IF($C35&gt;$AN$1,"",IF(NOT(ISNUMBER(D35)),"",ROUND(100*(0.3*IF(ISNUMBER(P35),MIN(1,P35/SleepTarget),0.7)+0.2*IF(ISNUMBER(Q35),Q35/10,0.7)+0.2*IF(ISNUMBER(R35),(10-R35)/9,0.7)+0.15*IF(I35&lt;7,1,0)+0.15*IF(ISNUMBER(J35),MIN(1,J35/0.5),0.5)),0)))</f>
        <v/>
      </c>
      <c r="AA35" s="91" t="n"/>
      <c r="AB35" s="91" t="n"/>
      <c r="AC35" s="267" t="n"/>
      <c r="AD35" s="267" t="n"/>
      <c r="AE35" s="267" t="n"/>
      <c r="AF35" s="267" t="n"/>
      <c r="AG35" s="267" t="n"/>
      <c r="AH35" s="267" t="n"/>
      <c r="AI35" s="91" t="n"/>
      <c r="AJ35" s="1" t="n"/>
      <c r="AK35" s="1" t="n"/>
    </row>
    <row r="36" ht="20" customHeight="1">
      <c r="A36" s="1" t="n"/>
      <c r="B36" s="247" t="n">
        <v>29</v>
      </c>
      <c r="C36" s="248">
        <f>DATE(2026,9,28)+196</f>
        <v/>
      </c>
      <c r="D36" s="249">
        <f>IF($C36&gt;$AN$1,"",IFERROR(AVERAGEIFS(Data!$BF$4:$BF$375,Data!$A$4:$A$375,"&gt;="&amp;$C36,Data!$A$4:$A$375,"&lt;="&amp;($C36+6)),""))</f>
        <v/>
      </c>
      <c r="E36" s="250">
        <f>IF($C36&gt;$AN$1,"",IF(NOT(ISNUMBER(D36)),"—",IF(D36&gt;=Band1,"GREEN",IF(D36&gt;=Band2,"GOOD",IF(D36&gt;=Band3,"NEEDS ATTENTION","RESET")))))</f>
        <v/>
      </c>
      <c r="F36" s="251">
        <f>IF($C36&gt;$AN$1,"",IFERROR(AVERAGEIFS(Data!$AF$4:$AF$375,Data!$A$4:$A$375,"&gt;="&amp;$C36,Data!$A$4:$A$375,"&lt;="&amp;($C36+6),Data!$AF$4:$AF$375,"&gt;0"),""))</f>
        <v/>
      </c>
      <c r="G36" s="252">
        <f>IF($C36&gt;$AN$1,"",IF(AND(ISNUMBER(F36),ISNUMBER(F35)),F36-F35,""))</f>
        <v/>
      </c>
      <c r="H36" s="253">
        <f>IF($C36&gt;$AN$1,"",IF(NOT(ISNUMBER(G36)),"",IF(-G36&gt;LossMaxPct*F36,"too fast",IF(-G36&gt;=LossMin,IF(-G36&lt;=LossMax,"on target","fast end"),IF(-G36&gt;0,"slow","flat / up")))))</f>
        <v/>
      </c>
      <c r="I36" s="247">
        <f>IF($C36&gt;$AN$1,"",SUMIFS(Data!$O$4:$O$375,Data!$A$4:$A$375,"&gt;="&amp;$C36,Data!$A$4:$A$375,"&lt;="&amp;($C36+6)))</f>
        <v/>
      </c>
      <c r="J36" s="254">
        <f>IF($C36&gt;$AN$1,"",IF(I36=0,"",MIN(1,SUMIFS(Data!$P$4:$P$375,Data!$A$4:$A$375,"&gt;="&amp;$C36,Data!$A$4:$A$375,"&lt;="&amp;($C36+6))/I36)))</f>
        <v/>
      </c>
      <c r="K36" s="247">
        <f>IF($C36&gt;$AN$1,"",SUMIFS(Data!$Q$4:$Q$375,Data!$A$4:$A$375,"&gt;="&amp;$C36,Data!$A$4:$A$375,"&lt;="&amp;($C36+6)))</f>
        <v/>
      </c>
      <c r="L36" s="247">
        <f>IF($C36&gt;$AN$1,"",SUMIFS(Data!$R$4:$R$375,Data!$A$4:$A$375,"&gt;="&amp;$C36,Data!$A$4:$A$375,"&lt;="&amp;($C36+6)))</f>
        <v/>
      </c>
      <c r="M36" s="247">
        <f>IF($C36&gt;$AN$1,"",SUMIFS(Data!$S$4:$S$375,Data!$A$4:$A$375,"&gt;="&amp;$C36,Data!$A$4:$A$375,"&lt;="&amp;($C36+6))+SUMIFS(Data!$AC$4:$AC$375,Data!$A$4:$A$375,"&gt;="&amp;$C36,Data!$A$4:$A$375,"&lt;="&amp;($C36+6)))</f>
        <v/>
      </c>
      <c r="N36" s="255">
        <f>IF($C36&gt;$AN$1,"",IFERROR(AVERAGEIFS(Data!$AG$4:$AG$375,Data!$A$4:$A$375,"&gt;="&amp;$C36,Data!$A$4:$A$375,"&lt;="&amp;($C36+6),Data!$AG$4:$AG$375,"&gt;0"),""))</f>
        <v/>
      </c>
      <c r="O36" s="247">
        <f>IF($C36&gt;$AN$1,"",IFERROR(AVERAGEIFS(Data!$AH$4:$AH$375,Data!$A$4:$A$375,"&gt;="&amp;$C36,Data!$A$4:$A$375,"&lt;="&amp;($C36+6),Data!$AH$4:$AH$375,"&gt;0"),""))</f>
        <v/>
      </c>
      <c r="P36" s="251">
        <f>IF($C36&gt;$AN$1,"",IFERROR(AVERAGEIFS(Data!$AK$4:$AK$375,Data!$A$4:$A$375,"&gt;="&amp;$C36,Data!$A$4:$A$375,"&lt;="&amp;($C36+6),Data!$AK$4:$AK$375,"&gt;0"),""))</f>
        <v/>
      </c>
      <c r="Q36" s="251">
        <f>IF($C36&gt;$AN$1,"",IFERROR(AVERAGEIFS(Data!$AL$4:$AL$375,Data!$A$4:$A$375,"&gt;="&amp;$C36,Data!$A$4:$A$375,"&lt;="&amp;($C36+6),Data!$AL$4:$AL$375,"&gt;0"),""))</f>
        <v/>
      </c>
      <c r="R36" s="251">
        <f>IF($C36&gt;$AN$1,"",IFERROR(AVERAGEIFS(Data!$AM$4:$AM$375,Data!$A$4:$A$375,"&gt;="&amp;$C36,Data!$A$4:$A$375,"&lt;="&amp;($C36+6),Data!$AM$4:$AM$375,"&gt;0"),""))</f>
        <v/>
      </c>
      <c r="S36" s="247">
        <f>IF($C36&gt;$AN$1,"",SUMIFS(Data!$G$4:$G$375,Data!$A$4:$A$375,"&gt;="&amp;$C36,Data!$A$4:$A$375,"&lt;="&amp;($C36+6)))</f>
        <v/>
      </c>
      <c r="T36" s="247">
        <f>IF($C36&gt;$AN$1,"",SUMIFS(Data!$Z$4:$Z$375,Data!$A$4:$A$375,"&gt;="&amp;$C36,Data!$A$4:$A$375,"&lt;="&amp;($C36+6)))</f>
        <v/>
      </c>
      <c r="U36" s="247">
        <f>IF($C36&gt;$AN$1,"",SUMIFS(Data!$X$4:$X$375,Data!$A$4:$A$375,"&gt;="&amp;$C36,Data!$A$4:$A$375,"&lt;="&amp;($C36+6)))</f>
        <v/>
      </c>
      <c r="V36" s="247">
        <f>IF($C36&gt;$AN$1,"",SUMIFS(Data!$W$4:$W$375,Data!$A$4:$A$375,"&gt;="&amp;$C36,Data!$A$4:$A$375,"&lt;="&amp;($C36+6)))</f>
        <v/>
      </c>
      <c r="W36" s="247">
        <f>IF($C36&gt;$AN$1,"",SUMIFS(Data!$Y$4:$Y$375,Data!$A$4:$A$375,"&gt;="&amp;$C36,Data!$A$4:$A$375,"&lt;="&amp;($C36+6)))</f>
        <v/>
      </c>
      <c r="X36" s="247">
        <f>IF($C36&gt;$AN$1,"",SUMIFS(Data!$AA$4:$AA$375,Data!$A$4:$A$375,"&gt;="&amp;$C36,Data!$A$4:$A$375,"&lt;="&amp;($C36+6)))</f>
        <v/>
      </c>
      <c r="Y36" s="247">
        <f>IF($C36&gt;$AN$1,"",SUMIFS(Data!$T$4:$T$375,Data!$A$4:$A$375,"&gt;="&amp;$C36,Data!$A$4:$A$375,"&lt;="&amp;($C36+6)))</f>
        <v/>
      </c>
      <c r="Z36" s="247">
        <f>IF($C36&gt;$AN$1,"",IF(NOT(ISNUMBER(D36)),"",ROUND(100*(0.3*IF(ISNUMBER(P36),MIN(1,P36/SleepTarget),0.7)+0.2*IF(ISNUMBER(Q36),Q36/10,0.7)+0.2*IF(ISNUMBER(R36),(10-R36)/9,0.7)+0.15*IF(I36&lt;7,1,0)+0.15*IF(ISNUMBER(J36),MIN(1,J36/0.5),0.5)),0)))</f>
        <v/>
      </c>
      <c r="AA36" s="256" t="n"/>
      <c r="AB36" s="256" t="n"/>
      <c r="AC36" s="257" t="n"/>
      <c r="AD36" s="257" t="n"/>
      <c r="AE36" s="257" t="n"/>
      <c r="AF36" s="257" t="n"/>
      <c r="AG36" s="257" t="n"/>
      <c r="AH36" s="257" t="n"/>
      <c r="AI36" s="256" t="n"/>
      <c r="AJ36" s="1" t="n"/>
      <c r="AK36" s="1" t="n"/>
    </row>
    <row r="37" ht="20" customHeight="1">
      <c r="A37" s="1" t="n"/>
      <c r="B37" s="258" t="n">
        <v>30</v>
      </c>
      <c r="C37" s="259">
        <f>DATE(2026,9,28)+203</f>
        <v/>
      </c>
      <c r="D37" s="260">
        <f>IF($C37&gt;$AN$1,"",IFERROR(AVERAGEIFS(Data!$BF$4:$BF$375,Data!$A$4:$A$375,"&gt;="&amp;$C37,Data!$A$4:$A$375,"&lt;="&amp;($C37+6)),""))</f>
        <v/>
      </c>
      <c r="E37" s="261">
        <f>IF($C37&gt;$AN$1,"",IF(NOT(ISNUMBER(D37)),"—",IF(D37&gt;=Band1,"GREEN",IF(D37&gt;=Band2,"GOOD",IF(D37&gt;=Band3,"NEEDS ATTENTION","RESET")))))</f>
        <v/>
      </c>
      <c r="F37" s="262">
        <f>IF($C37&gt;$AN$1,"",IFERROR(AVERAGEIFS(Data!$AF$4:$AF$375,Data!$A$4:$A$375,"&gt;="&amp;$C37,Data!$A$4:$A$375,"&lt;="&amp;($C37+6),Data!$AF$4:$AF$375,"&gt;0"),""))</f>
        <v/>
      </c>
      <c r="G37" s="263">
        <f>IF($C37&gt;$AN$1,"",IF(AND(ISNUMBER(F37),ISNUMBER(F36)),F37-F36,""))</f>
        <v/>
      </c>
      <c r="H37" s="264">
        <f>IF($C37&gt;$AN$1,"",IF(NOT(ISNUMBER(G37)),"",IF(-G37&gt;LossMaxPct*F37,"too fast",IF(-G37&gt;=LossMin,IF(-G37&lt;=LossMax,"on target","fast end"),IF(-G37&gt;0,"slow","flat / up")))))</f>
        <v/>
      </c>
      <c r="I37" s="258">
        <f>IF($C37&gt;$AN$1,"",SUMIFS(Data!$O$4:$O$375,Data!$A$4:$A$375,"&gt;="&amp;$C37,Data!$A$4:$A$375,"&lt;="&amp;($C37+6)))</f>
        <v/>
      </c>
      <c r="J37" s="265">
        <f>IF($C37&gt;$AN$1,"",IF(I37=0,"",MIN(1,SUMIFS(Data!$P$4:$P$375,Data!$A$4:$A$375,"&gt;="&amp;$C37,Data!$A$4:$A$375,"&lt;="&amp;($C37+6))/I37)))</f>
        <v/>
      </c>
      <c r="K37" s="258">
        <f>IF($C37&gt;$AN$1,"",SUMIFS(Data!$Q$4:$Q$375,Data!$A$4:$A$375,"&gt;="&amp;$C37,Data!$A$4:$A$375,"&lt;="&amp;($C37+6)))</f>
        <v/>
      </c>
      <c r="L37" s="258">
        <f>IF($C37&gt;$AN$1,"",SUMIFS(Data!$R$4:$R$375,Data!$A$4:$A$375,"&gt;="&amp;$C37,Data!$A$4:$A$375,"&lt;="&amp;($C37+6)))</f>
        <v/>
      </c>
      <c r="M37" s="258">
        <f>IF($C37&gt;$AN$1,"",SUMIFS(Data!$S$4:$S$375,Data!$A$4:$A$375,"&gt;="&amp;$C37,Data!$A$4:$A$375,"&lt;="&amp;($C37+6))+SUMIFS(Data!$AC$4:$AC$375,Data!$A$4:$A$375,"&gt;="&amp;$C37,Data!$A$4:$A$375,"&lt;="&amp;($C37+6)))</f>
        <v/>
      </c>
      <c r="N37" s="266">
        <f>IF($C37&gt;$AN$1,"",IFERROR(AVERAGEIFS(Data!$AG$4:$AG$375,Data!$A$4:$A$375,"&gt;="&amp;$C37,Data!$A$4:$A$375,"&lt;="&amp;($C37+6),Data!$AG$4:$AG$375,"&gt;0"),""))</f>
        <v/>
      </c>
      <c r="O37" s="258">
        <f>IF($C37&gt;$AN$1,"",IFERROR(AVERAGEIFS(Data!$AH$4:$AH$375,Data!$A$4:$A$375,"&gt;="&amp;$C37,Data!$A$4:$A$375,"&lt;="&amp;($C37+6),Data!$AH$4:$AH$375,"&gt;0"),""))</f>
        <v/>
      </c>
      <c r="P37" s="262">
        <f>IF($C37&gt;$AN$1,"",IFERROR(AVERAGEIFS(Data!$AK$4:$AK$375,Data!$A$4:$A$375,"&gt;="&amp;$C37,Data!$A$4:$A$375,"&lt;="&amp;($C37+6),Data!$AK$4:$AK$375,"&gt;0"),""))</f>
        <v/>
      </c>
      <c r="Q37" s="262">
        <f>IF($C37&gt;$AN$1,"",IFERROR(AVERAGEIFS(Data!$AL$4:$AL$375,Data!$A$4:$A$375,"&gt;="&amp;$C37,Data!$A$4:$A$375,"&lt;="&amp;($C37+6),Data!$AL$4:$AL$375,"&gt;0"),""))</f>
        <v/>
      </c>
      <c r="R37" s="262">
        <f>IF($C37&gt;$AN$1,"",IFERROR(AVERAGEIFS(Data!$AM$4:$AM$375,Data!$A$4:$A$375,"&gt;="&amp;$C37,Data!$A$4:$A$375,"&lt;="&amp;($C37+6),Data!$AM$4:$AM$375,"&gt;0"),""))</f>
        <v/>
      </c>
      <c r="S37" s="258">
        <f>IF($C37&gt;$AN$1,"",SUMIFS(Data!$G$4:$G$375,Data!$A$4:$A$375,"&gt;="&amp;$C37,Data!$A$4:$A$375,"&lt;="&amp;($C37+6)))</f>
        <v/>
      </c>
      <c r="T37" s="258">
        <f>IF($C37&gt;$AN$1,"",SUMIFS(Data!$Z$4:$Z$375,Data!$A$4:$A$375,"&gt;="&amp;$C37,Data!$A$4:$A$375,"&lt;="&amp;($C37+6)))</f>
        <v/>
      </c>
      <c r="U37" s="258">
        <f>IF($C37&gt;$AN$1,"",SUMIFS(Data!$X$4:$X$375,Data!$A$4:$A$375,"&gt;="&amp;$C37,Data!$A$4:$A$375,"&lt;="&amp;($C37+6)))</f>
        <v/>
      </c>
      <c r="V37" s="258">
        <f>IF($C37&gt;$AN$1,"",SUMIFS(Data!$W$4:$W$375,Data!$A$4:$A$375,"&gt;="&amp;$C37,Data!$A$4:$A$375,"&lt;="&amp;($C37+6)))</f>
        <v/>
      </c>
      <c r="W37" s="258">
        <f>IF($C37&gt;$AN$1,"",SUMIFS(Data!$Y$4:$Y$375,Data!$A$4:$A$375,"&gt;="&amp;$C37,Data!$A$4:$A$375,"&lt;="&amp;($C37+6)))</f>
        <v/>
      </c>
      <c r="X37" s="258">
        <f>IF($C37&gt;$AN$1,"",SUMIFS(Data!$AA$4:$AA$375,Data!$A$4:$A$375,"&gt;="&amp;$C37,Data!$A$4:$A$375,"&lt;="&amp;($C37+6)))</f>
        <v/>
      </c>
      <c r="Y37" s="258">
        <f>IF($C37&gt;$AN$1,"",SUMIFS(Data!$T$4:$T$375,Data!$A$4:$A$375,"&gt;="&amp;$C37,Data!$A$4:$A$375,"&lt;="&amp;($C37+6)))</f>
        <v/>
      </c>
      <c r="Z37" s="258">
        <f>IF($C37&gt;$AN$1,"",IF(NOT(ISNUMBER(D37)),"",ROUND(100*(0.3*IF(ISNUMBER(P37),MIN(1,P37/SleepTarget),0.7)+0.2*IF(ISNUMBER(Q37),Q37/10,0.7)+0.2*IF(ISNUMBER(R37),(10-R37)/9,0.7)+0.15*IF(I37&lt;7,1,0)+0.15*IF(ISNUMBER(J37),MIN(1,J37/0.5),0.5)),0)))</f>
        <v/>
      </c>
      <c r="AA37" s="91" t="n"/>
      <c r="AB37" s="91" t="n"/>
      <c r="AC37" s="267" t="n"/>
      <c r="AD37" s="267" t="n"/>
      <c r="AE37" s="267" t="n"/>
      <c r="AF37" s="267" t="n"/>
      <c r="AG37" s="267" t="n"/>
      <c r="AH37" s="267" t="n"/>
      <c r="AI37" s="91" t="n"/>
      <c r="AJ37" s="1" t="n"/>
      <c r="AK37" s="1" t="n"/>
    </row>
    <row r="38" ht="20" customHeight="1">
      <c r="A38" s="1" t="n"/>
      <c r="B38" s="247" t="n">
        <v>31</v>
      </c>
      <c r="C38" s="248">
        <f>DATE(2026,9,28)+210</f>
        <v/>
      </c>
      <c r="D38" s="249">
        <f>IF($C38&gt;$AN$1,"",IFERROR(AVERAGEIFS(Data!$BF$4:$BF$375,Data!$A$4:$A$375,"&gt;="&amp;$C38,Data!$A$4:$A$375,"&lt;="&amp;($C38+6)),""))</f>
        <v/>
      </c>
      <c r="E38" s="250">
        <f>IF($C38&gt;$AN$1,"",IF(NOT(ISNUMBER(D38)),"—",IF(D38&gt;=Band1,"GREEN",IF(D38&gt;=Band2,"GOOD",IF(D38&gt;=Band3,"NEEDS ATTENTION","RESET")))))</f>
        <v/>
      </c>
      <c r="F38" s="251">
        <f>IF($C38&gt;$AN$1,"",IFERROR(AVERAGEIFS(Data!$AF$4:$AF$375,Data!$A$4:$A$375,"&gt;="&amp;$C38,Data!$A$4:$A$375,"&lt;="&amp;($C38+6),Data!$AF$4:$AF$375,"&gt;0"),""))</f>
        <v/>
      </c>
      <c r="G38" s="252">
        <f>IF($C38&gt;$AN$1,"",IF(AND(ISNUMBER(F38),ISNUMBER(F37)),F38-F37,""))</f>
        <v/>
      </c>
      <c r="H38" s="253">
        <f>IF($C38&gt;$AN$1,"",IF(NOT(ISNUMBER(G38)),"",IF(-G38&gt;LossMaxPct*F38,"too fast",IF(-G38&gt;=LossMin,IF(-G38&lt;=LossMax,"on target","fast end"),IF(-G38&gt;0,"slow","flat / up")))))</f>
        <v/>
      </c>
      <c r="I38" s="247">
        <f>IF($C38&gt;$AN$1,"",SUMIFS(Data!$O$4:$O$375,Data!$A$4:$A$375,"&gt;="&amp;$C38,Data!$A$4:$A$375,"&lt;="&amp;($C38+6)))</f>
        <v/>
      </c>
      <c r="J38" s="254">
        <f>IF($C38&gt;$AN$1,"",IF(I38=0,"",MIN(1,SUMIFS(Data!$P$4:$P$375,Data!$A$4:$A$375,"&gt;="&amp;$C38,Data!$A$4:$A$375,"&lt;="&amp;($C38+6))/I38)))</f>
        <v/>
      </c>
      <c r="K38" s="247">
        <f>IF($C38&gt;$AN$1,"",SUMIFS(Data!$Q$4:$Q$375,Data!$A$4:$A$375,"&gt;="&amp;$C38,Data!$A$4:$A$375,"&lt;="&amp;($C38+6)))</f>
        <v/>
      </c>
      <c r="L38" s="247">
        <f>IF($C38&gt;$AN$1,"",SUMIFS(Data!$R$4:$R$375,Data!$A$4:$A$375,"&gt;="&amp;$C38,Data!$A$4:$A$375,"&lt;="&amp;($C38+6)))</f>
        <v/>
      </c>
      <c r="M38" s="247">
        <f>IF($C38&gt;$AN$1,"",SUMIFS(Data!$S$4:$S$375,Data!$A$4:$A$375,"&gt;="&amp;$C38,Data!$A$4:$A$375,"&lt;="&amp;($C38+6))+SUMIFS(Data!$AC$4:$AC$375,Data!$A$4:$A$375,"&gt;="&amp;$C38,Data!$A$4:$A$375,"&lt;="&amp;($C38+6)))</f>
        <v/>
      </c>
      <c r="N38" s="255">
        <f>IF($C38&gt;$AN$1,"",IFERROR(AVERAGEIFS(Data!$AG$4:$AG$375,Data!$A$4:$A$375,"&gt;="&amp;$C38,Data!$A$4:$A$375,"&lt;="&amp;($C38+6),Data!$AG$4:$AG$375,"&gt;0"),""))</f>
        <v/>
      </c>
      <c r="O38" s="247">
        <f>IF($C38&gt;$AN$1,"",IFERROR(AVERAGEIFS(Data!$AH$4:$AH$375,Data!$A$4:$A$375,"&gt;="&amp;$C38,Data!$A$4:$A$375,"&lt;="&amp;($C38+6),Data!$AH$4:$AH$375,"&gt;0"),""))</f>
        <v/>
      </c>
      <c r="P38" s="251">
        <f>IF($C38&gt;$AN$1,"",IFERROR(AVERAGEIFS(Data!$AK$4:$AK$375,Data!$A$4:$A$375,"&gt;="&amp;$C38,Data!$A$4:$A$375,"&lt;="&amp;($C38+6),Data!$AK$4:$AK$375,"&gt;0"),""))</f>
        <v/>
      </c>
      <c r="Q38" s="251">
        <f>IF($C38&gt;$AN$1,"",IFERROR(AVERAGEIFS(Data!$AL$4:$AL$375,Data!$A$4:$A$375,"&gt;="&amp;$C38,Data!$A$4:$A$375,"&lt;="&amp;($C38+6),Data!$AL$4:$AL$375,"&gt;0"),""))</f>
        <v/>
      </c>
      <c r="R38" s="251">
        <f>IF($C38&gt;$AN$1,"",IFERROR(AVERAGEIFS(Data!$AM$4:$AM$375,Data!$A$4:$A$375,"&gt;="&amp;$C38,Data!$A$4:$A$375,"&lt;="&amp;($C38+6),Data!$AM$4:$AM$375,"&gt;0"),""))</f>
        <v/>
      </c>
      <c r="S38" s="247">
        <f>IF($C38&gt;$AN$1,"",SUMIFS(Data!$G$4:$G$375,Data!$A$4:$A$375,"&gt;="&amp;$C38,Data!$A$4:$A$375,"&lt;="&amp;($C38+6)))</f>
        <v/>
      </c>
      <c r="T38" s="247">
        <f>IF($C38&gt;$AN$1,"",SUMIFS(Data!$Z$4:$Z$375,Data!$A$4:$A$375,"&gt;="&amp;$C38,Data!$A$4:$A$375,"&lt;="&amp;($C38+6)))</f>
        <v/>
      </c>
      <c r="U38" s="247">
        <f>IF($C38&gt;$AN$1,"",SUMIFS(Data!$X$4:$X$375,Data!$A$4:$A$375,"&gt;="&amp;$C38,Data!$A$4:$A$375,"&lt;="&amp;($C38+6)))</f>
        <v/>
      </c>
      <c r="V38" s="247">
        <f>IF($C38&gt;$AN$1,"",SUMIFS(Data!$W$4:$W$375,Data!$A$4:$A$375,"&gt;="&amp;$C38,Data!$A$4:$A$375,"&lt;="&amp;($C38+6)))</f>
        <v/>
      </c>
      <c r="W38" s="247">
        <f>IF($C38&gt;$AN$1,"",SUMIFS(Data!$Y$4:$Y$375,Data!$A$4:$A$375,"&gt;="&amp;$C38,Data!$A$4:$A$375,"&lt;="&amp;($C38+6)))</f>
        <v/>
      </c>
      <c r="X38" s="247">
        <f>IF($C38&gt;$AN$1,"",SUMIFS(Data!$AA$4:$AA$375,Data!$A$4:$A$375,"&gt;="&amp;$C38,Data!$A$4:$A$375,"&lt;="&amp;($C38+6)))</f>
        <v/>
      </c>
      <c r="Y38" s="247">
        <f>IF($C38&gt;$AN$1,"",SUMIFS(Data!$T$4:$T$375,Data!$A$4:$A$375,"&gt;="&amp;$C38,Data!$A$4:$A$375,"&lt;="&amp;($C38+6)))</f>
        <v/>
      </c>
      <c r="Z38" s="247">
        <f>IF($C38&gt;$AN$1,"",IF(NOT(ISNUMBER(D38)),"",ROUND(100*(0.3*IF(ISNUMBER(P38),MIN(1,P38/SleepTarget),0.7)+0.2*IF(ISNUMBER(Q38),Q38/10,0.7)+0.2*IF(ISNUMBER(R38),(10-R38)/9,0.7)+0.15*IF(I38&lt;7,1,0)+0.15*IF(ISNUMBER(J38),MIN(1,J38/0.5),0.5)),0)))</f>
        <v/>
      </c>
      <c r="AA38" s="256" t="n"/>
      <c r="AB38" s="256" t="n"/>
      <c r="AC38" s="257" t="n"/>
      <c r="AD38" s="257" t="n"/>
      <c r="AE38" s="257" t="n"/>
      <c r="AF38" s="257" t="n"/>
      <c r="AG38" s="257" t="n"/>
      <c r="AH38" s="257" t="n"/>
      <c r="AI38" s="256" t="n"/>
      <c r="AJ38" s="1" t="n"/>
      <c r="AK38" s="1" t="n"/>
    </row>
    <row r="39" ht="20" customHeight="1">
      <c r="A39" s="1" t="n"/>
      <c r="B39" s="258" t="n">
        <v>32</v>
      </c>
      <c r="C39" s="259">
        <f>DATE(2026,9,28)+217</f>
        <v/>
      </c>
      <c r="D39" s="260">
        <f>IF($C39&gt;$AN$1,"",IFERROR(AVERAGEIFS(Data!$BF$4:$BF$375,Data!$A$4:$A$375,"&gt;="&amp;$C39,Data!$A$4:$A$375,"&lt;="&amp;($C39+6)),""))</f>
        <v/>
      </c>
      <c r="E39" s="261">
        <f>IF($C39&gt;$AN$1,"",IF(NOT(ISNUMBER(D39)),"—",IF(D39&gt;=Band1,"GREEN",IF(D39&gt;=Band2,"GOOD",IF(D39&gt;=Band3,"NEEDS ATTENTION","RESET")))))</f>
        <v/>
      </c>
      <c r="F39" s="262">
        <f>IF($C39&gt;$AN$1,"",IFERROR(AVERAGEIFS(Data!$AF$4:$AF$375,Data!$A$4:$A$375,"&gt;="&amp;$C39,Data!$A$4:$A$375,"&lt;="&amp;($C39+6),Data!$AF$4:$AF$375,"&gt;0"),""))</f>
        <v/>
      </c>
      <c r="G39" s="263">
        <f>IF($C39&gt;$AN$1,"",IF(AND(ISNUMBER(F39),ISNUMBER(F38)),F39-F38,""))</f>
        <v/>
      </c>
      <c r="H39" s="264">
        <f>IF($C39&gt;$AN$1,"",IF(NOT(ISNUMBER(G39)),"",IF(-G39&gt;LossMaxPct*F39,"too fast",IF(-G39&gt;=LossMin,IF(-G39&lt;=LossMax,"on target","fast end"),IF(-G39&gt;0,"slow","flat / up")))))</f>
        <v/>
      </c>
      <c r="I39" s="258">
        <f>IF($C39&gt;$AN$1,"",SUMIFS(Data!$O$4:$O$375,Data!$A$4:$A$375,"&gt;="&amp;$C39,Data!$A$4:$A$375,"&lt;="&amp;($C39+6)))</f>
        <v/>
      </c>
      <c r="J39" s="265">
        <f>IF($C39&gt;$AN$1,"",IF(I39=0,"",MIN(1,SUMIFS(Data!$P$4:$P$375,Data!$A$4:$A$375,"&gt;="&amp;$C39,Data!$A$4:$A$375,"&lt;="&amp;($C39+6))/I39)))</f>
        <v/>
      </c>
      <c r="K39" s="258">
        <f>IF($C39&gt;$AN$1,"",SUMIFS(Data!$Q$4:$Q$375,Data!$A$4:$A$375,"&gt;="&amp;$C39,Data!$A$4:$A$375,"&lt;="&amp;($C39+6)))</f>
        <v/>
      </c>
      <c r="L39" s="258">
        <f>IF($C39&gt;$AN$1,"",SUMIFS(Data!$R$4:$R$375,Data!$A$4:$A$375,"&gt;="&amp;$C39,Data!$A$4:$A$375,"&lt;="&amp;($C39+6)))</f>
        <v/>
      </c>
      <c r="M39" s="258">
        <f>IF($C39&gt;$AN$1,"",SUMIFS(Data!$S$4:$S$375,Data!$A$4:$A$375,"&gt;="&amp;$C39,Data!$A$4:$A$375,"&lt;="&amp;($C39+6))+SUMIFS(Data!$AC$4:$AC$375,Data!$A$4:$A$375,"&gt;="&amp;$C39,Data!$A$4:$A$375,"&lt;="&amp;($C39+6)))</f>
        <v/>
      </c>
      <c r="N39" s="266">
        <f>IF($C39&gt;$AN$1,"",IFERROR(AVERAGEIFS(Data!$AG$4:$AG$375,Data!$A$4:$A$375,"&gt;="&amp;$C39,Data!$A$4:$A$375,"&lt;="&amp;($C39+6),Data!$AG$4:$AG$375,"&gt;0"),""))</f>
        <v/>
      </c>
      <c r="O39" s="258">
        <f>IF($C39&gt;$AN$1,"",IFERROR(AVERAGEIFS(Data!$AH$4:$AH$375,Data!$A$4:$A$375,"&gt;="&amp;$C39,Data!$A$4:$A$375,"&lt;="&amp;($C39+6),Data!$AH$4:$AH$375,"&gt;0"),""))</f>
        <v/>
      </c>
      <c r="P39" s="262">
        <f>IF($C39&gt;$AN$1,"",IFERROR(AVERAGEIFS(Data!$AK$4:$AK$375,Data!$A$4:$A$375,"&gt;="&amp;$C39,Data!$A$4:$A$375,"&lt;="&amp;($C39+6),Data!$AK$4:$AK$375,"&gt;0"),""))</f>
        <v/>
      </c>
      <c r="Q39" s="262">
        <f>IF($C39&gt;$AN$1,"",IFERROR(AVERAGEIFS(Data!$AL$4:$AL$375,Data!$A$4:$A$375,"&gt;="&amp;$C39,Data!$A$4:$A$375,"&lt;="&amp;($C39+6),Data!$AL$4:$AL$375,"&gt;0"),""))</f>
        <v/>
      </c>
      <c r="R39" s="262">
        <f>IF($C39&gt;$AN$1,"",IFERROR(AVERAGEIFS(Data!$AM$4:$AM$375,Data!$A$4:$A$375,"&gt;="&amp;$C39,Data!$A$4:$A$375,"&lt;="&amp;($C39+6),Data!$AM$4:$AM$375,"&gt;0"),""))</f>
        <v/>
      </c>
      <c r="S39" s="258">
        <f>IF($C39&gt;$AN$1,"",SUMIFS(Data!$G$4:$G$375,Data!$A$4:$A$375,"&gt;="&amp;$C39,Data!$A$4:$A$375,"&lt;="&amp;($C39+6)))</f>
        <v/>
      </c>
      <c r="T39" s="258">
        <f>IF($C39&gt;$AN$1,"",SUMIFS(Data!$Z$4:$Z$375,Data!$A$4:$A$375,"&gt;="&amp;$C39,Data!$A$4:$A$375,"&lt;="&amp;($C39+6)))</f>
        <v/>
      </c>
      <c r="U39" s="258">
        <f>IF($C39&gt;$AN$1,"",SUMIFS(Data!$X$4:$X$375,Data!$A$4:$A$375,"&gt;="&amp;$C39,Data!$A$4:$A$375,"&lt;="&amp;($C39+6)))</f>
        <v/>
      </c>
      <c r="V39" s="258">
        <f>IF($C39&gt;$AN$1,"",SUMIFS(Data!$W$4:$W$375,Data!$A$4:$A$375,"&gt;="&amp;$C39,Data!$A$4:$A$375,"&lt;="&amp;($C39+6)))</f>
        <v/>
      </c>
      <c r="W39" s="258">
        <f>IF($C39&gt;$AN$1,"",SUMIFS(Data!$Y$4:$Y$375,Data!$A$4:$A$375,"&gt;="&amp;$C39,Data!$A$4:$A$375,"&lt;="&amp;($C39+6)))</f>
        <v/>
      </c>
      <c r="X39" s="258">
        <f>IF($C39&gt;$AN$1,"",SUMIFS(Data!$AA$4:$AA$375,Data!$A$4:$A$375,"&gt;="&amp;$C39,Data!$A$4:$A$375,"&lt;="&amp;($C39+6)))</f>
        <v/>
      </c>
      <c r="Y39" s="258">
        <f>IF($C39&gt;$AN$1,"",SUMIFS(Data!$T$4:$T$375,Data!$A$4:$A$375,"&gt;="&amp;$C39,Data!$A$4:$A$375,"&lt;="&amp;($C39+6)))</f>
        <v/>
      </c>
      <c r="Z39" s="258">
        <f>IF($C39&gt;$AN$1,"",IF(NOT(ISNUMBER(D39)),"",ROUND(100*(0.3*IF(ISNUMBER(P39),MIN(1,P39/SleepTarget),0.7)+0.2*IF(ISNUMBER(Q39),Q39/10,0.7)+0.2*IF(ISNUMBER(R39),(10-R39)/9,0.7)+0.15*IF(I39&lt;7,1,0)+0.15*IF(ISNUMBER(J39),MIN(1,J39/0.5),0.5)),0)))</f>
        <v/>
      </c>
      <c r="AA39" s="91" t="n"/>
      <c r="AB39" s="91" t="n"/>
      <c r="AC39" s="267" t="n"/>
      <c r="AD39" s="267" t="n"/>
      <c r="AE39" s="267" t="n"/>
      <c r="AF39" s="267" t="n"/>
      <c r="AG39" s="267" t="n"/>
      <c r="AH39" s="267" t="n"/>
      <c r="AI39" s="91" t="n"/>
      <c r="AJ39" s="1" t="n"/>
      <c r="AK39" s="1" t="n"/>
    </row>
    <row r="40" ht="20" customHeight="1">
      <c r="A40" s="1" t="n"/>
      <c r="B40" s="247" t="n">
        <v>33</v>
      </c>
      <c r="C40" s="248">
        <f>DATE(2026,9,28)+224</f>
        <v/>
      </c>
      <c r="D40" s="249">
        <f>IF($C40&gt;$AN$1,"",IFERROR(AVERAGEIFS(Data!$BF$4:$BF$375,Data!$A$4:$A$375,"&gt;="&amp;$C40,Data!$A$4:$A$375,"&lt;="&amp;($C40+6)),""))</f>
        <v/>
      </c>
      <c r="E40" s="250">
        <f>IF($C40&gt;$AN$1,"",IF(NOT(ISNUMBER(D40)),"—",IF(D40&gt;=Band1,"GREEN",IF(D40&gt;=Band2,"GOOD",IF(D40&gt;=Band3,"NEEDS ATTENTION","RESET")))))</f>
        <v/>
      </c>
      <c r="F40" s="251">
        <f>IF($C40&gt;$AN$1,"",IFERROR(AVERAGEIFS(Data!$AF$4:$AF$375,Data!$A$4:$A$375,"&gt;="&amp;$C40,Data!$A$4:$A$375,"&lt;="&amp;($C40+6),Data!$AF$4:$AF$375,"&gt;0"),""))</f>
        <v/>
      </c>
      <c r="G40" s="252">
        <f>IF($C40&gt;$AN$1,"",IF(AND(ISNUMBER(F40),ISNUMBER(F39)),F40-F39,""))</f>
        <v/>
      </c>
      <c r="H40" s="253">
        <f>IF($C40&gt;$AN$1,"",IF(NOT(ISNUMBER(G40)),"",IF(-G40&gt;LossMaxPct*F40,"too fast",IF(-G40&gt;=LossMin,IF(-G40&lt;=LossMax,"on target","fast end"),IF(-G40&gt;0,"slow","flat / up")))))</f>
        <v/>
      </c>
      <c r="I40" s="247">
        <f>IF($C40&gt;$AN$1,"",SUMIFS(Data!$O$4:$O$375,Data!$A$4:$A$375,"&gt;="&amp;$C40,Data!$A$4:$A$375,"&lt;="&amp;($C40+6)))</f>
        <v/>
      </c>
      <c r="J40" s="254">
        <f>IF($C40&gt;$AN$1,"",IF(I40=0,"",MIN(1,SUMIFS(Data!$P$4:$P$375,Data!$A$4:$A$375,"&gt;="&amp;$C40,Data!$A$4:$A$375,"&lt;="&amp;($C40+6))/I40)))</f>
        <v/>
      </c>
      <c r="K40" s="247">
        <f>IF($C40&gt;$AN$1,"",SUMIFS(Data!$Q$4:$Q$375,Data!$A$4:$A$375,"&gt;="&amp;$C40,Data!$A$4:$A$375,"&lt;="&amp;($C40+6)))</f>
        <v/>
      </c>
      <c r="L40" s="247">
        <f>IF($C40&gt;$AN$1,"",SUMIFS(Data!$R$4:$R$375,Data!$A$4:$A$375,"&gt;="&amp;$C40,Data!$A$4:$A$375,"&lt;="&amp;($C40+6)))</f>
        <v/>
      </c>
      <c r="M40" s="247">
        <f>IF($C40&gt;$AN$1,"",SUMIFS(Data!$S$4:$S$375,Data!$A$4:$A$375,"&gt;="&amp;$C40,Data!$A$4:$A$375,"&lt;="&amp;($C40+6))+SUMIFS(Data!$AC$4:$AC$375,Data!$A$4:$A$375,"&gt;="&amp;$C40,Data!$A$4:$A$375,"&lt;="&amp;($C40+6)))</f>
        <v/>
      </c>
      <c r="N40" s="255">
        <f>IF($C40&gt;$AN$1,"",IFERROR(AVERAGEIFS(Data!$AG$4:$AG$375,Data!$A$4:$A$375,"&gt;="&amp;$C40,Data!$A$4:$A$375,"&lt;="&amp;($C40+6),Data!$AG$4:$AG$375,"&gt;0"),""))</f>
        <v/>
      </c>
      <c r="O40" s="247">
        <f>IF($C40&gt;$AN$1,"",IFERROR(AVERAGEIFS(Data!$AH$4:$AH$375,Data!$A$4:$A$375,"&gt;="&amp;$C40,Data!$A$4:$A$375,"&lt;="&amp;($C40+6),Data!$AH$4:$AH$375,"&gt;0"),""))</f>
        <v/>
      </c>
      <c r="P40" s="251">
        <f>IF($C40&gt;$AN$1,"",IFERROR(AVERAGEIFS(Data!$AK$4:$AK$375,Data!$A$4:$A$375,"&gt;="&amp;$C40,Data!$A$4:$A$375,"&lt;="&amp;($C40+6),Data!$AK$4:$AK$375,"&gt;0"),""))</f>
        <v/>
      </c>
      <c r="Q40" s="251">
        <f>IF($C40&gt;$AN$1,"",IFERROR(AVERAGEIFS(Data!$AL$4:$AL$375,Data!$A$4:$A$375,"&gt;="&amp;$C40,Data!$A$4:$A$375,"&lt;="&amp;($C40+6),Data!$AL$4:$AL$375,"&gt;0"),""))</f>
        <v/>
      </c>
      <c r="R40" s="251">
        <f>IF($C40&gt;$AN$1,"",IFERROR(AVERAGEIFS(Data!$AM$4:$AM$375,Data!$A$4:$A$375,"&gt;="&amp;$C40,Data!$A$4:$A$375,"&lt;="&amp;($C40+6),Data!$AM$4:$AM$375,"&gt;0"),""))</f>
        <v/>
      </c>
      <c r="S40" s="247">
        <f>IF($C40&gt;$AN$1,"",SUMIFS(Data!$G$4:$G$375,Data!$A$4:$A$375,"&gt;="&amp;$C40,Data!$A$4:$A$375,"&lt;="&amp;($C40+6)))</f>
        <v/>
      </c>
      <c r="T40" s="247">
        <f>IF($C40&gt;$AN$1,"",SUMIFS(Data!$Z$4:$Z$375,Data!$A$4:$A$375,"&gt;="&amp;$C40,Data!$A$4:$A$375,"&lt;="&amp;($C40+6)))</f>
        <v/>
      </c>
      <c r="U40" s="247">
        <f>IF($C40&gt;$AN$1,"",SUMIFS(Data!$X$4:$X$375,Data!$A$4:$A$375,"&gt;="&amp;$C40,Data!$A$4:$A$375,"&lt;="&amp;($C40+6)))</f>
        <v/>
      </c>
      <c r="V40" s="247">
        <f>IF($C40&gt;$AN$1,"",SUMIFS(Data!$W$4:$W$375,Data!$A$4:$A$375,"&gt;="&amp;$C40,Data!$A$4:$A$375,"&lt;="&amp;($C40+6)))</f>
        <v/>
      </c>
      <c r="W40" s="247">
        <f>IF($C40&gt;$AN$1,"",SUMIFS(Data!$Y$4:$Y$375,Data!$A$4:$A$375,"&gt;="&amp;$C40,Data!$A$4:$A$375,"&lt;="&amp;($C40+6)))</f>
        <v/>
      </c>
      <c r="X40" s="247">
        <f>IF($C40&gt;$AN$1,"",SUMIFS(Data!$AA$4:$AA$375,Data!$A$4:$A$375,"&gt;="&amp;$C40,Data!$A$4:$A$375,"&lt;="&amp;($C40+6)))</f>
        <v/>
      </c>
      <c r="Y40" s="247">
        <f>IF($C40&gt;$AN$1,"",SUMIFS(Data!$T$4:$T$375,Data!$A$4:$A$375,"&gt;="&amp;$C40,Data!$A$4:$A$375,"&lt;="&amp;($C40+6)))</f>
        <v/>
      </c>
      <c r="Z40" s="247">
        <f>IF($C40&gt;$AN$1,"",IF(NOT(ISNUMBER(D40)),"",ROUND(100*(0.3*IF(ISNUMBER(P40),MIN(1,P40/SleepTarget),0.7)+0.2*IF(ISNUMBER(Q40),Q40/10,0.7)+0.2*IF(ISNUMBER(R40),(10-R40)/9,0.7)+0.15*IF(I40&lt;7,1,0)+0.15*IF(ISNUMBER(J40),MIN(1,J40/0.5),0.5)),0)))</f>
        <v/>
      </c>
      <c r="AA40" s="256" t="n"/>
      <c r="AB40" s="256" t="n"/>
      <c r="AC40" s="257" t="n"/>
      <c r="AD40" s="257" t="n"/>
      <c r="AE40" s="257" t="n"/>
      <c r="AF40" s="257" t="n"/>
      <c r="AG40" s="257" t="n"/>
      <c r="AH40" s="257" t="n"/>
      <c r="AI40" s="256" t="n"/>
      <c r="AJ40" s="1" t="n"/>
      <c r="AK40" s="1" t="n"/>
    </row>
    <row r="41" ht="20" customHeight="1">
      <c r="A41" s="1" t="n"/>
      <c r="B41" s="258" t="n">
        <v>34</v>
      </c>
      <c r="C41" s="259">
        <f>DATE(2026,9,28)+231</f>
        <v/>
      </c>
      <c r="D41" s="260">
        <f>IF($C41&gt;$AN$1,"",IFERROR(AVERAGEIFS(Data!$BF$4:$BF$375,Data!$A$4:$A$375,"&gt;="&amp;$C41,Data!$A$4:$A$375,"&lt;="&amp;($C41+6)),""))</f>
        <v/>
      </c>
      <c r="E41" s="261">
        <f>IF($C41&gt;$AN$1,"",IF(NOT(ISNUMBER(D41)),"—",IF(D41&gt;=Band1,"GREEN",IF(D41&gt;=Band2,"GOOD",IF(D41&gt;=Band3,"NEEDS ATTENTION","RESET")))))</f>
        <v/>
      </c>
      <c r="F41" s="262">
        <f>IF($C41&gt;$AN$1,"",IFERROR(AVERAGEIFS(Data!$AF$4:$AF$375,Data!$A$4:$A$375,"&gt;="&amp;$C41,Data!$A$4:$A$375,"&lt;="&amp;($C41+6),Data!$AF$4:$AF$375,"&gt;0"),""))</f>
        <v/>
      </c>
      <c r="G41" s="263">
        <f>IF($C41&gt;$AN$1,"",IF(AND(ISNUMBER(F41),ISNUMBER(F40)),F41-F40,""))</f>
        <v/>
      </c>
      <c r="H41" s="264">
        <f>IF($C41&gt;$AN$1,"",IF(NOT(ISNUMBER(G41)),"",IF(-G41&gt;LossMaxPct*F41,"too fast",IF(-G41&gt;=LossMin,IF(-G41&lt;=LossMax,"on target","fast end"),IF(-G41&gt;0,"slow","flat / up")))))</f>
        <v/>
      </c>
      <c r="I41" s="258">
        <f>IF($C41&gt;$AN$1,"",SUMIFS(Data!$O$4:$O$375,Data!$A$4:$A$375,"&gt;="&amp;$C41,Data!$A$4:$A$375,"&lt;="&amp;($C41+6)))</f>
        <v/>
      </c>
      <c r="J41" s="265">
        <f>IF($C41&gt;$AN$1,"",IF(I41=0,"",MIN(1,SUMIFS(Data!$P$4:$P$375,Data!$A$4:$A$375,"&gt;="&amp;$C41,Data!$A$4:$A$375,"&lt;="&amp;($C41+6))/I41)))</f>
        <v/>
      </c>
      <c r="K41" s="258">
        <f>IF($C41&gt;$AN$1,"",SUMIFS(Data!$Q$4:$Q$375,Data!$A$4:$A$375,"&gt;="&amp;$C41,Data!$A$4:$A$375,"&lt;="&amp;($C41+6)))</f>
        <v/>
      </c>
      <c r="L41" s="258">
        <f>IF($C41&gt;$AN$1,"",SUMIFS(Data!$R$4:$R$375,Data!$A$4:$A$375,"&gt;="&amp;$C41,Data!$A$4:$A$375,"&lt;="&amp;($C41+6)))</f>
        <v/>
      </c>
      <c r="M41" s="258">
        <f>IF($C41&gt;$AN$1,"",SUMIFS(Data!$S$4:$S$375,Data!$A$4:$A$375,"&gt;="&amp;$C41,Data!$A$4:$A$375,"&lt;="&amp;($C41+6))+SUMIFS(Data!$AC$4:$AC$375,Data!$A$4:$A$375,"&gt;="&amp;$C41,Data!$A$4:$A$375,"&lt;="&amp;($C41+6)))</f>
        <v/>
      </c>
      <c r="N41" s="266">
        <f>IF($C41&gt;$AN$1,"",IFERROR(AVERAGEIFS(Data!$AG$4:$AG$375,Data!$A$4:$A$375,"&gt;="&amp;$C41,Data!$A$4:$A$375,"&lt;="&amp;($C41+6),Data!$AG$4:$AG$375,"&gt;0"),""))</f>
        <v/>
      </c>
      <c r="O41" s="258">
        <f>IF($C41&gt;$AN$1,"",IFERROR(AVERAGEIFS(Data!$AH$4:$AH$375,Data!$A$4:$A$375,"&gt;="&amp;$C41,Data!$A$4:$A$375,"&lt;="&amp;($C41+6),Data!$AH$4:$AH$375,"&gt;0"),""))</f>
        <v/>
      </c>
      <c r="P41" s="262">
        <f>IF($C41&gt;$AN$1,"",IFERROR(AVERAGEIFS(Data!$AK$4:$AK$375,Data!$A$4:$A$375,"&gt;="&amp;$C41,Data!$A$4:$A$375,"&lt;="&amp;($C41+6),Data!$AK$4:$AK$375,"&gt;0"),""))</f>
        <v/>
      </c>
      <c r="Q41" s="262">
        <f>IF($C41&gt;$AN$1,"",IFERROR(AVERAGEIFS(Data!$AL$4:$AL$375,Data!$A$4:$A$375,"&gt;="&amp;$C41,Data!$A$4:$A$375,"&lt;="&amp;($C41+6),Data!$AL$4:$AL$375,"&gt;0"),""))</f>
        <v/>
      </c>
      <c r="R41" s="262">
        <f>IF($C41&gt;$AN$1,"",IFERROR(AVERAGEIFS(Data!$AM$4:$AM$375,Data!$A$4:$A$375,"&gt;="&amp;$C41,Data!$A$4:$A$375,"&lt;="&amp;($C41+6),Data!$AM$4:$AM$375,"&gt;0"),""))</f>
        <v/>
      </c>
      <c r="S41" s="258">
        <f>IF($C41&gt;$AN$1,"",SUMIFS(Data!$G$4:$G$375,Data!$A$4:$A$375,"&gt;="&amp;$C41,Data!$A$4:$A$375,"&lt;="&amp;($C41+6)))</f>
        <v/>
      </c>
      <c r="T41" s="258">
        <f>IF($C41&gt;$AN$1,"",SUMIFS(Data!$Z$4:$Z$375,Data!$A$4:$A$375,"&gt;="&amp;$C41,Data!$A$4:$A$375,"&lt;="&amp;($C41+6)))</f>
        <v/>
      </c>
      <c r="U41" s="258">
        <f>IF($C41&gt;$AN$1,"",SUMIFS(Data!$X$4:$X$375,Data!$A$4:$A$375,"&gt;="&amp;$C41,Data!$A$4:$A$375,"&lt;="&amp;($C41+6)))</f>
        <v/>
      </c>
      <c r="V41" s="258">
        <f>IF($C41&gt;$AN$1,"",SUMIFS(Data!$W$4:$W$375,Data!$A$4:$A$375,"&gt;="&amp;$C41,Data!$A$4:$A$375,"&lt;="&amp;($C41+6)))</f>
        <v/>
      </c>
      <c r="W41" s="258">
        <f>IF($C41&gt;$AN$1,"",SUMIFS(Data!$Y$4:$Y$375,Data!$A$4:$A$375,"&gt;="&amp;$C41,Data!$A$4:$A$375,"&lt;="&amp;($C41+6)))</f>
        <v/>
      </c>
      <c r="X41" s="258">
        <f>IF($C41&gt;$AN$1,"",SUMIFS(Data!$AA$4:$AA$375,Data!$A$4:$A$375,"&gt;="&amp;$C41,Data!$A$4:$A$375,"&lt;="&amp;($C41+6)))</f>
        <v/>
      </c>
      <c r="Y41" s="258">
        <f>IF($C41&gt;$AN$1,"",SUMIFS(Data!$T$4:$T$375,Data!$A$4:$A$375,"&gt;="&amp;$C41,Data!$A$4:$A$375,"&lt;="&amp;($C41+6)))</f>
        <v/>
      </c>
      <c r="Z41" s="258">
        <f>IF($C41&gt;$AN$1,"",IF(NOT(ISNUMBER(D41)),"",ROUND(100*(0.3*IF(ISNUMBER(P41),MIN(1,P41/SleepTarget),0.7)+0.2*IF(ISNUMBER(Q41),Q41/10,0.7)+0.2*IF(ISNUMBER(R41),(10-R41)/9,0.7)+0.15*IF(I41&lt;7,1,0)+0.15*IF(ISNUMBER(J41),MIN(1,J41/0.5),0.5)),0)))</f>
        <v/>
      </c>
      <c r="AA41" s="91" t="n"/>
      <c r="AB41" s="91" t="n"/>
      <c r="AC41" s="267" t="n"/>
      <c r="AD41" s="267" t="n"/>
      <c r="AE41" s="267" t="n"/>
      <c r="AF41" s="267" t="n"/>
      <c r="AG41" s="267" t="n"/>
      <c r="AH41" s="267" t="n"/>
      <c r="AI41" s="91" t="n"/>
      <c r="AJ41" s="1" t="n"/>
      <c r="AK41" s="1" t="n"/>
    </row>
    <row r="42" ht="20" customHeight="1">
      <c r="A42" s="1" t="n"/>
      <c r="B42" s="247" t="n">
        <v>35</v>
      </c>
      <c r="C42" s="248">
        <f>DATE(2026,9,28)+238</f>
        <v/>
      </c>
      <c r="D42" s="249">
        <f>IF($C42&gt;$AN$1,"",IFERROR(AVERAGEIFS(Data!$BF$4:$BF$375,Data!$A$4:$A$375,"&gt;="&amp;$C42,Data!$A$4:$A$375,"&lt;="&amp;($C42+6)),""))</f>
        <v/>
      </c>
      <c r="E42" s="250">
        <f>IF($C42&gt;$AN$1,"",IF(NOT(ISNUMBER(D42)),"—",IF(D42&gt;=Band1,"GREEN",IF(D42&gt;=Band2,"GOOD",IF(D42&gt;=Band3,"NEEDS ATTENTION","RESET")))))</f>
        <v/>
      </c>
      <c r="F42" s="251">
        <f>IF($C42&gt;$AN$1,"",IFERROR(AVERAGEIFS(Data!$AF$4:$AF$375,Data!$A$4:$A$375,"&gt;="&amp;$C42,Data!$A$4:$A$375,"&lt;="&amp;($C42+6),Data!$AF$4:$AF$375,"&gt;0"),""))</f>
        <v/>
      </c>
      <c r="G42" s="252">
        <f>IF($C42&gt;$AN$1,"",IF(AND(ISNUMBER(F42),ISNUMBER(F41)),F42-F41,""))</f>
        <v/>
      </c>
      <c r="H42" s="253">
        <f>IF($C42&gt;$AN$1,"",IF(NOT(ISNUMBER(G42)),"",IF(-G42&gt;LossMaxPct*F42,"too fast",IF(-G42&gt;=LossMin,IF(-G42&lt;=LossMax,"on target","fast end"),IF(-G42&gt;0,"slow","flat / up")))))</f>
        <v/>
      </c>
      <c r="I42" s="247">
        <f>IF($C42&gt;$AN$1,"",SUMIFS(Data!$O$4:$O$375,Data!$A$4:$A$375,"&gt;="&amp;$C42,Data!$A$4:$A$375,"&lt;="&amp;($C42+6)))</f>
        <v/>
      </c>
      <c r="J42" s="254">
        <f>IF($C42&gt;$AN$1,"",IF(I42=0,"",MIN(1,SUMIFS(Data!$P$4:$P$375,Data!$A$4:$A$375,"&gt;="&amp;$C42,Data!$A$4:$A$375,"&lt;="&amp;($C42+6))/I42)))</f>
        <v/>
      </c>
      <c r="K42" s="247">
        <f>IF($C42&gt;$AN$1,"",SUMIFS(Data!$Q$4:$Q$375,Data!$A$4:$A$375,"&gt;="&amp;$C42,Data!$A$4:$A$375,"&lt;="&amp;($C42+6)))</f>
        <v/>
      </c>
      <c r="L42" s="247">
        <f>IF($C42&gt;$AN$1,"",SUMIFS(Data!$R$4:$R$375,Data!$A$4:$A$375,"&gt;="&amp;$C42,Data!$A$4:$A$375,"&lt;="&amp;($C42+6)))</f>
        <v/>
      </c>
      <c r="M42" s="247">
        <f>IF($C42&gt;$AN$1,"",SUMIFS(Data!$S$4:$S$375,Data!$A$4:$A$375,"&gt;="&amp;$C42,Data!$A$4:$A$375,"&lt;="&amp;($C42+6))+SUMIFS(Data!$AC$4:$AC$375,Data!$A$4:$A$375,"&gt;="&amp;$C42,Data!$A$4:$A$375,"&lt;="&amp;($C42+6)))</f>
        <v/>
      </c>
      <c r="N42" s="255">
        <f>IF($C42&gt;$AN$1,"",IFERROR(AVERAGEIFS(Data!$AG$4:$AG$375,Data!$A$4:$A$375,"&gt;="&amp;$C42,Data!$A$4:$A$375,"&lt;="&amp;($C42+6),Data!$AG$4:$AG$375,"&gt;0"),""))</f>
        <v/>
      </c>
      <c r="O42" s="247">
        <f>IF($C42&gt;$AN$1,"",IFERROR(AVERAGEIFS(Data!$AH$4:$AH$375,Data!$A$4:$A$375,"&gt;="&amp;$C42,Data!$A$4:$A$375,"&lt;="&amp;($C42+6),Data!$AH$4:$AH$375,"&gt;0"),""))</f>
        <v/>
      </c>
      <c r="P42" s="251">
        <f>IF($C42&gt;$AN$1,"",IFERROR(AVERAGEIFS(Data!$AK$4:$AK$375,Data!$A$4:$A$375,"&gt;="&amp;$C42,Data!$A$4:$A$375,"&lt;="&amp;($C42+6),Data!$AK$4:$AK$375,"&gt;0"),""))</f>
        <v/>
      </c>
      <c r="Q42" s="251">
        <f>IF($C42&gt;$AN$1,"",IFERROR(AVERAGEIFS(Data!$AL$4:$AL$375,Data!$A$4:$A$375,"&gt;="&amp;$C42,Data!$A$4:$A$375,"&lt;="&amp;($C42+6),Data!$AL$4:$AL$375,"&gt;0"),""))</f>
        <v/>
      </c>
      <c r="R42" s="251">
        <f>IF($C42&gt;$AN$1,"",IFERROR(AVERAGEIFS(Data!$AM$4:$AM$375,Data!$A$4:$A$375,"&gt;="&amp;$C42,Data!$A$4:$A$375,"&lt;="&amp;($C42+6),Data!$AM$4:$AM$375,"&gt;0"),""))</f>
        <v/>
      </c>
      <c r="S42" s="247">
        <f>IF($C42&gt;$AN$1,"",SUMIFS(Data!$G$4:$G$375,Data!$A$4:$A$375,"&gt;="&amp;$C42,Data!$A$4:$A$375,"&lt;="&amp;($C42+6)))</f>
        <v/>
      </c>
      <c r="T42" s="247">
        <f>IF($C42&gt;$AN$1,"",SUMIFS(Data!$Z$4:$Z$375,Data!$A$4:$A$375,"&gt;="&amp;$C42,Data!$A$4:$A$375,"&lt;="&amp;($C42+6)))</f>
        <v/>
      </c>
      <c r="U42" s="247">
        <f>IF($C42&gt;$AN$1,"",SUMIFS(Data!$X$4:$X$375,Data!$A$4:$A$375,"&gt;="&amp;$C42,Data!$A$4:$A$375,"&lt;="&amp;($C42+6)))</f>
        <v/>
      </c>
      <c r="V42" s="247">
        <f>IF($C42&gt;$AN$1,"",SUMIFS(Data!$W$4:$W$375,Data!$A$4:$A$375,"&gt;="&amp;$C42,Data!$A$4:$A$375,"&lt;="&amp;($C42+6)))</f>
        <v/>
      </c>
      <c r="W42" s="247">
        <f>IF($C42&gt;$AN$1,"",SUMIFS(Data!$Y$4:$Y$375,Data!$A$4:$A$375,"&gt;="&amp;$C42,Data!$A$4:$A$375,"&lt;="&amp;($C42+6)))</f>
        <v/>
      </c>
      <c r="X42" s="247">
        <f>IF($C42&gt;$AN$1,"",SUMIFS(Data!$AA$4:$AA$375,Data!$A$4:$A$375,"&gt;="&amp;$C42,Data!$A$4:$A$375,"&lt;="&amp;($C42+6)))</f>
        <v/>
      </c>
      <c r="Y42" s="247">
        <f>IF($C42&gt;$AN$1,"",SUMIFS(Data!$T$4:$T$375,Data!$A$4:$A$375,"&gt;="&amp;$C42,Data!$A$4:$A$375,"&lt;="&amp;($C42+6)))</f>
        <v/>
      </c>
      <c r="Z42" s="247">
        <f>IF($C42&gt;$AN$1,"",IF(NOT(ISNUMBER(D42)),"",ROUND(100*(0.3*IF(ISNUMBER(P42),MIN(1,P42/SleepTarget),0.7)+0.2*IF(ISNUMBER(Q42),Q42/10,0.7)+0.2*IF(ISNUMBER(R42),(10-R42)/9,0.7)+0.15*IF(I42&lt;7,1,0)+0.15*IF(ISNUMBER(J42),MIN(1,J42/0.5),0.5)),0)))</f>
        <v/>
      </c>
      <c r="AA42" s="256" t="n"/>
      <c r="AB42" s="256" t="n"/>
      <c r="AC42" s="257" t="n"/>
      <c r="AD42" s="257" t="n"/>
      <c r="AE42" s="257" t="n"/>
      <c r="AF42" s="257" t="n"/>
      <c r="AG42" s="257" t="n"/>
      <c r="AH42" s="257" t="n"/>
      <c r="AI42" s="256" t="n"/>
      <c r="AJ42" s="1" t="n"/>
      <c r="AK42" s="1" t="n"/>
    </row>
    <row r="43" ht="20" customHeight="1">
      <c r="A43" s="1" t="n"/>
      <c r="B43" s="258" t="n">
        <v>36</v>
      </c>
      <c r="C43" s="259">
        <f>DATE(2026,9,28)+245</f>
        <v/>
      </c>
      <c r="D43" s="260">
        <f>IF($C43&gt;$AN$1,"",IFERROR(AVERAGEIFS(Data!$BF$4:$BF$375,Data!$A$4:$A$375,"&gt;="&amp;$C43,Data!$A$4:$A$375,"&lt;="&amp;($C43+6)),""))</f>
        <v/>
      </c>
      <c r="E43" s="261">
        <f>IF($C43&gt;$AN$1,"",IF(NOT(ISNUMBER(D43)),"—",IF(D43&gt;=Band1,"GREEN",IF(D43&gt;=Band2,"GOOD",IF(D43&gt;=Band3,"NEEDS ATTENTION","RESET")))))</f>
        <v/>
      </c>
      <c r="F43" s="262">
        <f>IF($C43&gt;$AN$1,"",IFERROR(AVERAGEIFS(Data!$AF$4:$AF$375,Data!$A$4:$A$375,"&gt;="&amp;$C43,Data!$A$4:$A$375,"&lt;="&amp;($C43+6),Data!$AF$4:$AF$375,"&gt;0"),""))</f>
        <v/>
      </c>
      <c r="G43" s="263">
        <f>IF($C43&gt;$AN$1,"",IF(AND(ISNUMBER(F43),ISNUMBER(F42)),F43-F42,""))</f>
        <v/>
      </c>
      <c r="H43" s="264">
        <f>IF($C43&gt;$AN$1,"",IF(NOT(ISNUMBER(G43)),"",IF(-G43&gt;LossMaxPct*F43,"too fast",IF(-G43&gt;=LossMin,IF(-G43&lt;=LossMax,"on target","fast end"),IF(-G43&gt;0,"slow","flat / up")))))</f>
        <v/>
      </c>
      <c r="I43" s="258">
        <f>IF($C43&gt;$AN$1,"",SUMIFS(Data!$O$4:$O$375,Data!$A$4:$A$375,"&gt;="&amp;$C43,Data!$A$4:$A$375,"&lt;="&amp;($C43+6)))</f>
        <v/>
      </c>
      <c r="J43" s="265">
        <f>IF($C43&gt;$AN$1,"",IF(I43=0,"",MIN(1,SUMIFS(Data!$P$4:$P$375,Data!$A$4:$A$375,"&gt;="&amp;$C43,Data!$A$4:$A$375,"&lt;="&amp;($C43+6))/I43)))</f>
        <v/>
      </c>
      <c r="K43" s="258">
        <f>IF($C43&gt;$AN$1,"",SUMIFS(Data!$Q$4:$Q$375,Data!$A$4:$A$375,"&gt;="&amp;$C43,Data!$A$4:$A$375,"&lt;="&amp;($C43+6)))</f>
        <v/>
      </c>
      <c r="L43" s="258">
        <f>IF($C43&gt;$AN$1,"",SUMIFS(Data!$R$4:$R$375,Data!$A$4:$A$375,"&gt;="&amp;$C43,Data!$A$4:$A$375,"&lt;="&amp;($C43+6)))</f>
        <v/>
      </c>
      <c r="M43" s="258">
        <f>IF($C43&gt;$AN$1,"",SUMIFS(Data!$S$4:$S$375,Data!$A$4:$A$375,"&gt;="&amp;$C43,Data!$A$4:$A$375,"&lt;="&amp;($C43+6))+SUMIFS(Data!$AC$4:$AC$375,Data!$A$4:$A$375,"&gt;="&amp;$C43,Data!$A$4:$A$375,"&lt;="&amp;($C43+6)))</f>
        <v/>
      </c>
      <c r="N43" s="266">
        <f>IF($C43&gt;$AN$1,"",IFERROR(AVERAGEIFS(Data!$AG$4:$AG$375,Data!$A$4:$A$375,"&gt;="&amp;$C43,Data!$A$4:$A$375,"&lt;="&amp;($C43+6),Data!$AG$4:$AG$375,"&gt;0"),""))</f>
        <v/>
      </c>
      <c r="O43" s="258">
        <f>IF($C43&gt;$AN$1,"",IFERROR(AVERAGEIFS(Data!$AH$4:$AH$375,Data!$A$4:$A$375,"&gt;="&amp;$C43,Data!$A$4:$A$375,"&lt;="&amp;($C43+6),Data!$AH$4:$AH$375,"&gt;0"),""))</f>
        <v/>
      </c>
      <c r="P43" s="262">
        <f>IF($C43&gt;$AN$1,"",IFERROR(AVERAGEIFS(Data!$AK$4:$AK$375,Data!$A$4:$A$375,"&gt;="&amp;$C43,Data!$A$4:$A$375,"&lt;="&amp;($C43+6),Data!$AK$4:$AK$375,"&gt;0"),""))</f>
        <v/>
      </c>
      <c r="Q43" s="262">
        <f>IF($C43&gt;$AN$1,"",IFERROR(AVERAGEIFS(Data!$AL$4:$AL$375,Data!$A$4:$A$375,"&gt;="&amp;$C43,Data!$A$4:$A$375,"&lt;="&amp;($C43+6),Data!$AL$4:$AL$375,"&gt;0"),""))</f>
        <v/>
      </c>
      <c r="R43" s="262">
        <f>IF($C43&gt;$AN$1,"",IFERROR(AVERAGEIFS(Data!$AM$4:$AM$375,Data!$A$4:$A$375,"&gt;="&amp;$C43,Data!$A$4:$A$375,"&lt;="&amp;($C43+6),Data!$AM$4:$AM$375,"&gt;0"),""))</f>
        <v/>
      </c>
      <c r="S43" s="258">
        <f>IF($C43&gt;$AN$1,"",SUMIFS(Data!$G$4:$G$375,Data!$A$4:$A$375,"&gt;="&amp;$C43,Data!$A$4:$A$375,"&lt;="&amp;($C43+6)))</f>
        <v/>
      </c>
      <c r="T43" s="258">
        <f>IF($C43&gt;$AN$1,"",SUMIFS(Data!$Z$4:$Z$375,Data!$A$4:$A$375,"&gt;="&amp;$C43,Data!$A$4:$A$375,"&lt;="&amp;($C43+6)))</f>
        <v/>
      </c>
      <c r="U43" s="258">
        <f>IF($C43&gt;$AN$1,"",SUMIFS(Data!$X$4:$X$375,Data!$A$4:$A$375,"&gt;="&amp;$C43,Data!$A$4:$A$375,"&lt;="&amp;($C43+6)))</f>
        <v/>
      </c>
      <c r="V43" s="258">
        <f>IF($C43&gt;$AN$1,"",SUMIFS(Data!$W$4:$W$375,Data!$A$4:$A$375,"&gt;="&amp;$C43,Data!$A$4:$A$375,"&lt;="&amp;($C43+6)))</f>
        <v/>
      </c>
      <c r="W43" s="258">
        <f>IF($C43&gt;$AN$1,"",SUMIFS(Data!$Y$4:$Y$375,Data!$A$4:$A$375,"&gt;="&amp;$C43,Data!$A$4:$A$375,"&lt;="&amp;($C43+6)))</f>
        <v/>
      </c>
      <c r="X43" s="258">
        <f>IF($C43&gt;$AN$1,"",SUMIFS(Data!$AA$4:$AA$375,Data!$A$4:$A$375,"&gt;="&amp;$C43,Data!$A$4:$A$375,"&lt;="&amp;($C43+6)))</f>
        <v/>
      </c>
      <c r="Y43" s="258">
        <f>IF($C43&gt;$AN$1,"",SUMIFS(Data!$T$4:$T$375,Data!$A$4:$A$375,"&gt;="&amp;$C43,Data!$A$4:$A$375,"&lt;="&amp;($C43+6)))</f>
        <v/>
      </c>
      <c r="Z43" s="258">
        <f>IF($C43&gt;$AN$1,"",IF(NOT(ISNUMBER(D43)),"",ROUND(100*(0.3*IF(ISNUMBER(P43),MIN(1,P43/SleepTarget),0.7)+0.2*IF(ISNUMBER(Q43),Q43/10,0.7)+0.2*IF(ISNUMBER(R43),(10-R43)/9,0.7)+0.15*IF(I43&lt;7,1,0)+0.15*IF(ISNUMBER(J43),MIN(1,J43/0.5),0.5)),0)))</f>
        <v/>
      </c>
      <c r="AA43" s="91" t="n"/>
      <c r="AB43" s="91" t="n"/>
      <c r="AC43" s="267" t="n"/>
      <c r="AD43" s="267" t="n"/>
      <c r="AE43" s="267" t="n"/>
      <c r="AF43" s="267" t="n"/>
      <c r="AG43" s="267" t="n"/>
      <c r="AH43" s="267" t="n"/>
      <c r="AI43" s="91" t="n"/>
      <c r="AJ43" s="1" t="n"/>
      <c r="AK43" s="1" t="n"/>
    </row>
    <row r="44" ht="20" customHeight="1">
      <c r="A44" s="1" t="n"/>
      <c r="B44" s="247" t="n">
        <v>37</v>
      </c>
      <c r="C44" s="248">
        <f>DATE(2026,9,28)+252</f>
        <v/>
      </c>
      <c r="D44" s="249">
        <f>IF($C44&gt;$AN$1,"",IFERROR(AVERAGEIFS(Data!$BF$4:$BF$375,Data!$A$4:$A$375,"&gt;="&amp;$C44,Data!$A$4:$A$375,"&lt;="&amp;($C44+6)),""))</f>
        <v/>
      </c>
      <c r="E44" s="250">
        <f>IF($C44&gt;$AN$1,"",IF(NOT(ISNUMBER(D44)),"—",IF(D44&gt;=Band1,"GREEN",IF(D44&gt;=Band2,"GOOD",IF(D44&gt;=Band3,"NEEDS ATTENTION","RESET")))))</f>
        <v/>
      </c>
      <c r="F44" s="251">
        <f>IF($C44&gt;$AN$1,"",IFERROR(AVERAGEIFS(Data!$AF$4:$AF$375,Data!$A$4:$A$375,"&gt;="&amp;$C44,Data!$A$4:$A$375,"&lt;="&amp;($C44+6),Data!$AF$4:$AF$375,"&gt;0"),""))</f>
        <v/>
      </c>
      <c r="G44" s="252">
        <f>IF($C44&gt;$AN$1,"",IF(AND(ISNUMBER(F44),ISNUMBER(F43)),F44-F43,""))</f>
        <v/>
      </c>
      <c r="H44" s="253">
        <f>IF($C44&gt;$AN$1,"",IF(NOT(ISNUMBER(G44)),"",IF(-G44&gt;LossMaxPct*F44,"too fast",IF(-G44&gt;=LossMin,IF(-G44&lt;=LossMax,"on target","fast end"),IF(-G44&gt;0,"slow","flat / up")))))</f>
        <v/>
      </c>
      <c r="I44" s="247">
        <f>IF($C44&gt;$AN$1,"",SUMIFS(Data!$O$4:$O$375,Data!$A$4:$A$375,"&gt;="&amp;$C44,Data!$A$4:$A$375,"&lt;="&amp;($C44+6)))</f>
        <v/>
      </c>
      <c r="J44" s="254">
        <f>IF($C44&gt;$AN$1,"",IF(I44=0,"",MIN(1,SUMIFS(Data!$P$4:$P$375,Data!$A$4:$A$375,"&gt;="&amp;$C44,Data!$A$4:$A$375,"&lt;="&amp;($C44+6))/I44)))</f>
        <v/>
      </c>
      <c r="K44" s="247">
        <f>IF($C44&gt;$AN$1,"",SUMIFS(Data!$Q$4:$Q$375,Data!$A$4:$A$375,"&gt;="&amp;$C44,Data!$A$4:$A$375,"&lt;="&amp;($C44+6)))</f>
        <v/>
      </c>
      <c r="L44" s="247">
        <f>IF($C44&gt;$AN$1,"",SUMIFS(Data!$R$4:$R$375,Data!$A$4:$A$375,"&gt;="&amp;$C44,Data!$A$4:$A$375,"&lt;="&amp;($C44+6)))</f>
        <v/>
      </c>
      <c r="M44" s="247">
        <f>IF($C44&gt;$AN$1,"",SUMIFS(Data!$S$4:$S$375,Data!$A$4:$A$375,"&gt;="&amp;$C44,Data!$A$4:$A$375,"&lt;="&amp;($C44+6))+SUMIFS(Data!$AC$4:$AC$375,Data!$A$4:$A$375,"&gt;="&amp;$C44,Data!$A$4:$A$375,"&lt;="&amp;($C44+6)))</f>
        <v/>
      </c>
      <c r="N44" s="255">
        <f>IF($C44&gt;$AN$1,"",IFERROR(AVERAGEIFS(Data!$AG$4:$AG$375,Data!$A$4:$A$375,"&gt;="&amp;$C44,Data!$A$4:$A$375,"&lt;="&amp;($C44+6),Data!$AG$4:$AG$375,"&gt;0"),""))</f>
        <v/>
      </c>
      <c r="O44" s="247">
        <f>IF($C44&gt;$AN$1,"",IFERROR(AVERAGEIFS(Data!$AH$4:$AH$375,Data!$A$4:$A$375,"&gt;="&amp;$C44,Data!$A$4:$A$375,"&lt;="&amp;($C44+6),Data!$AH$4:$AH$375,"&gt;0"),""))</f>
        <v/>
      </c>
      <c r="P44" s="251">
        <f>IF($C44&gt;$AN$1,"",IFERROR(AVERAGEIFS(Data!$AK$4:$AK$375,Data!$A$4:$A$375,"&gt;="&amp;$C44,Data!$A$4:$A$375,"&lt;="&amp;($C44+6),Data!$AK$4:$AK$375,"&gt;0"),""))</f>
        <v/>
      </c>
      <c r="Q44" s="251">
        <f>IF($C44&gt;$AN$1,"",IFERROR(AVERAGEIFS(Data!$AL$4:$AL$375,Data!$A$4:$A$375,"&gt;="&amp;$C44,Data!$A$4:$A$375,"&lt;="&amp;($C44+6),Data!$AL$4:$AL$375,"&gt;0"),""))</f>
        <v/>
      </c>
      <c r="R44" s="251">
        <f>IF($C44&gt;$AN$1,"",IFERROR(AVERAGEIFS(Data!$AM$4:$AM$375,Data!$A$4:$A$375,"&gt;="&amp;$C44,Data!$A$4:$A$375,"&lt;="&amp;($C44+6),Data!$AM$4:$AM$375,"&gt;0"),""))</f>
        <v/>
      </c>
      <c r="S44" s="247">
        <f>IF($C44&gt;$AN$1,"",SUMIFS(Data!$G$4:$G$375,Data!$A$4:$A$375,"&gt;="&amp;$C44,Data!$A$4:$A$375,"&lt;="&amp;($C44+6)))</f>
        <v/>
      </c>
      <c r="T44" s="247">
        <f>IF($C44&gt;$AN$1,"",SUMIFS(Data!$Z$4:$Z$375,Data!$A$4:$A$375,"&gt;="&amp;$C44,Data!$A$4:$A$375,"&lt;="&amp;($C44+6)))</f>
        <v/>
      </c>
      <c r="U44" s="247">
        <f>IF($C44&gt;$AN$1,"",SUMIFS(Data!$X$4:$X$375,Data!$A$4:$A$375,"&gt;="&amp;$C44,Data!$A$4:$A$375,"&lt;="&amp;($C44+6)))</f>
        <v/>
      </c>
      <c r="V44" s="247">
        <f>IF($C44&gt;$AN$1,"",SUMIFS(Data!$W$4:$W$375,Data!$A$4:$A$375,"&gt;="&amp;$C44,Data!$A$4:$A$375,"&lt;="&amp;($C44+6)))</f>
        <v/>
      </c>
      <c r="W44" s="247">
        <f>IF($C44&gt;$AN$1,"",SUMIFS(Data!$Y$4:$Y$375,Data!$A$4:$A$375,"&gt;="&amp;$C44,Data!$A$4:$A$375,"&lt;="&amp;($C44+6)))</f>
        <v/>
      </c>
      <c r="X44" s="247">
        <f>IF($C44&gt;$AN$1,"",SUMIFS(Data!$AA$4:$AA$375,Data!$A$4:$A$375,"&gt;="&amp;$C44,Data!$A$4:$A$375,"&lt;="&amp;($C44+6)))</f>
        <v/>
      </c>
      <c r="Y44" s="247">
        <f>IF($C44&gt;$AN$1,"",SUMIFS(Data!$T$4:$T$375,Data!$A$4:$A$375,"&gt;="&amp;$C44,Data!$A$4:$A$375,"&lt;="&amp;($C44+6)))</f>
        <v/>
      </c>
      <c r="Z44" s="247">
        <f>IF($C44&gt;$AN$1,"",IF(NOT(ISNUMBER(D44)),"",ROUND(100*(0.3*IF(ISNUMBER(P44),MIN(1,P44/SleepTarget),0.7)+0.2*IF(ISNUMBER(Q44),Q44/10,0.7)+0.2*IF(ISNUMBER(R44),(10-R44)/9,0.7)+0.15*IF(I44&lt;7,1,0)+0.15*IF(ISNUMBER(J44),MIN(1,J44/0.5),0.5)),0)))</f>
        <v/>
      </c>
      <c r="AA44" s="256" t="n"/>
      <c r="AB44" s="256" t="n"/>
      <c r="AC44" s="257" t="n"/>
      <c r="AD44" s="257" t="n"/>
      <c r="AE44" s="257" t="n"/>
      <c r="AF44" s="257" t="n"/>
      <c r="AG44" s="257" t="n"/>
      <c r="AH44" s="257" t="n"/>
      <c r="AI44" s="256" t="n"/>
      <c r="AJ44" s="1" t="n"/>
      <c r="AK44" s="1" t="n"/>
    </row>
    <row r="45" ht="20" customHeight="1">
      <c r="A45" s="1" t="n"/>
      <c r="B45" s="258" t="n">
        <v>38</v>
      </c>
      <c r="C45" s="259">
        <f>DATE(2026,9,28)+259</f>
        <v/>
      </c>
      <c r="D45" s="260">
        <f>IF($C45&gt;$AN$1,"",IFERROR(AVERAGEIFS(Data!$BF$4:$BF$375,Data!$A$4:$A$375,"&gt;="&amp;$C45,Data!$A$4:$A$375,"&lt;="&amp;($C45+6)),""))</f>
        <v/>
      </c>
      <c r="E45" s="261">
        <f>IF($C45&gt;$AN$1,"",IF(NOT(ISNUMBER(D45)),"—",IF(D45&gt;=Band1,"GREEN",IF(D45&gt;=Band2,"GOOD",IF(D45&gt;=Band3,"NEEDS ATTENTION","RESET")))))</f>
        <v/>
      </c>
      <c r="F45" s="262">
        <f>IF($C45&gt;$AN$1,"",IFERROR(AVERAGEIFS(Data!$AF$4:$AF$375,Data!$A$4:$A$375,"&gt;="&amp;$C45,Data!$A$4:$A$375,"&lt;="&amp;($C45+6),Data!$AF$4:$AF$375,"&gt;0"),""))</f>
        <v/>
      </c>
      <c r="G45" s="263">
        <f>IF($C45&gt;$AN$1,"",IF(AND(ISNUMBER(F45),ISNUMBER(F44)),F45-F44,""))</f>
        <v/>
      </c>
      <c r="H45" s="264">
        <f>IF($C45&gt;$AN$1,"",IF(NOT(ISNUMBER(G45)),"",IF(-G45&gt;LossMaxPct*F45,"too fast",IF(-G45&gt;=LossMin,IF(-G45&lt;=LossMax,"on target","fast end"),IF(-G45&gt;0,"slow","flat / up")))))</f>
        <v/>
      </c>
      <c r="I45" s="258">
        <f>IF($C45&gt;$AN$1,"",SUMIFS(Data!$O$4:$O$375,Data!$A$4:$A$375,"&gt;="&amp;$C45,Data!$A$4:$A$375,"&lt;="&amp;($C45+6)))</f>
        <v/>
      </c>
      <c r="J45" s="265">
        <f>IF($C45&gt;$AN$1,"",IF(I45=0,"",MIN(1,SUMIFS(Data!$P$4:$P$375,Data!$A$4:$A$375,"&gt;="&amp;$C45,Data!$A$4:$A$375,"&lt;="&amp;($C45+6))/I45)))</f>
        <v/>
      </c>
      <c r="K45" s="258">
        <f>IF($C45&gt;$AN$1,"",SUMIFS(Data!$Q$4:$Q$375,Data!$A$4:$A$375,"&gt;="&amp;$C45,Data!$A$4:$A$375,"&lt;="&amp;($C45+6)))</f>
        <v/>
      </c>
      <c r="L45" s="258">
        <f>IF($C45&gt;$AN$1,"",SUMIFS(Data!$R$4:$R$375,Data!$A$4:$A$375,"&gt;="&amp;$C45,Data!$A$4:$A$375,"&lt;="&amp;($C45+6)))</f>
        <v/>
      </c>
      <c r="M45" s="258">
        <f>IF($C45&gt;$AN$1,"",SUMIFS(Data!$S$4:$S$375,Data!$A$4:$A$375,"&gt;="&amp;$C45,Data!$A$4:$A$375,"&lt;="&amp;($C45+6))+SUMIFS(Data!$AC$4:$AC$375,Data!$A$4:$A$375,"&gt;="&amp;$C45,Data!$A$4:$A$375,"&lt;="&amp;($C45+6)))</f>
        <v/>
      </c>
      <c r="N45" s="266">
        <f>IF($C45&gt;$AN$1,"",IFERROR(AVERAGEIFS(Data!$AG$4:$AG$375,Data!$A$4:$A$375,"&gt;="&amp;$C45,Data!$A$4:$A$375,"&lt;="&amp;($C45+6),Data!$AG$4:$AG$375,"&gt;0"),""))</f>
        <v/>
      </c>
      <c r="O45" s="258">
        <f>IF($C45&gt;$AN$1,"",IFERROR(AVERAGEIFS(Data!$AH$4:$AH$375,Data!$A$4:$A$375,"&gt;="&amp;$C45,Data!$A$4:$A$375,"&lt;="&amp;($C45+6),Data!$AH$4:$AH$375,"&gt;0"),""))</f>
        <v/>
      </c>
      <c r="P45" s="262">
        <f>IF($C45&gt;$AN$1,"",IFERROR(AVERAGEIFS(Data!$AK$4:$AK$375,Data!$A$4:$A$375,"&gt;="&amp;$C45,Data!$A$4:$A$375,"&lt;="&amp;($C45+6),Data!$AK$4:$AK$375,"&gt;0"),""))</f>
        <v/>
      </c>
      <c r="Q45" s="262">
        <f>IF($C45&gt;$AN$1,"",IFERROR(AVERAGEIFS(Data!$AL$4:$AL$375,Data!$A$4:$A$375,"&gt;="&amp;$C45,Data!$A$4:$A$375,"&lt;="&amp;($C45+6),Data!$AL$4:$AL$375,"&gt;0"),""))</f>
        <v/>
      </c>
      <c r="R45" s="262">
        <f>IF($C45&gt;$AN$1,"",IFERROR(AVERAGEIFS(Data!$AM$4:$AM$375,Data!$A$4:$A$375,"&gt;="&amp;$C45,Data!$A$4:$A$375,"&lt;="&amp;($C45+6),Data!$AM$4:$AM$375,"&gt;0"),""))</f>
        <v/>
      </c>
      <c r="S45" s="258">
        <f>IF($C45&gt;$AN$1,"",SUMIFS(Data!$G$4:$G$375,Data!$A$4:$A$375,"&gt;="&amp;$C45,Data!$A$4:$A$375,"&lt;="&amp;($C45+6)))</f>
        <v/>
      </c>
      <c r="T45" s="258">
        <f>IF($C45&gt;$AN$1,"",SUMIFS(Data!$Z$4:$Z$375,Data!$A$4:$A$375,"&gt;="&amp;$C45,Data!$A$4:$A$375,"&lt;="&amp;($C45+6)))</f>
        <v/>
      </c>
      <c r="U45" s="258">
        <f>IF($C45&gt;$AN$1,"",SUMIFS(Data!$X$4:$X$375,Data!$A$4:$A$375,"&gt;="&amp;$C45,Data!$A$4:$A$375,"&lt;="&amp;($C45+6)))</f>
        <v/>
      </c>
      <c r="V45" s="258">
        <f>IF($C45&gt;$AN$1,"",SUMIFS(Data!$W$4:$W$375,Data!$A$4:$A$375,"&gt;="&amp;$C45,Data!$A$4:$A$375,"&lt;="&amp;($C45+6)))</f>
        <v/>
      </c>
      <c r="W45" s="258">
        <f>IF($C45&gt;$AN$1,"",SUMIFS(Data!$Y$4:$Y$375,Data!$A$4:$A$375,"&gt;="&amp;$C45,Data!$A$4:$A$375,"&lt;="&amp;($C45+6)))</f>
        <v/>
      </c>
      <c r="X45" s="258">
        <f>IF($C45&gt;$AN$1,"",SUMIFS(Data!$AA$4:$AA$375,Data!$A$4:$A$375,"&gt;="&amp;$C45,Data!$A$4:$A$375,"&lt;="&amp;($C45+6)))</f>
        <v/>
      </c>
      <c r="Y45" s="258">
        <f>IF($C45&gt;$AN$1,"",SUMIFS(Data!$T$4:$T$375,Data!$A$4:$A$375,"&gt;="&amp;$C45,Data!$A$4:$A$375,"&lt;="&amp;($C45+6)))</f>
        <v/>
      </c>
      <c r="Z45" s="258">
        <f>IF($C45&gt;$AN$1,"",IF(NOT(ISNUMBER(D45)),"",ROUND(100*(0.3*IF(ISNUMBER(P45),MIN(1,P45/SleepTarget),0.7)+0.2*IF(ISNUMBER(Q45),Q45/10,0.7)+0.2*IF(ISNUMBER(R45),(10-R45)/9,0.7)+0.15*IF(I45&lt;7,1,0)+0.15*IF(ISNUMBER(J45),MIN(1,J45/0.5),0.5)),0)))</f>
        <v/>
      </c>
      <c r="AA45" s="91" t="n"/>
      <c r="AB45" s="91" t="n"/>
      <c r="AC45" s="267" t="n"/>
      <c r="AD45" s="267" t="n"/>
      <c r="AE45" s="267" t="n"/>
      <c r="AF45" s="267" t="n"/>
      <c r="AG45" s="267" t="n"/>
      <c r="AH45" s="267" t="n"/>
      <c r="AI45" s="91" t="n"/>
      <c r="AJ45" s="1" t="n"/>
      <c r="AK45" s="1" t="n"/>
    </row>
    <row r="46" ht="20" customHeight="1">
      <c r="A46" s="1" t="n"/>
      <c r="B46" s="247" t="n">
        <v>39</v>
      </c>
      <c r="C46" s="248">
        <f>DATE(2026,9,28)+266</f>
        <v/>
      </c>
      <c r="D46" s="249">
        <f>IF($C46&gt;$AN$1,"",IFERROR(AVERAGEIFS(Data!$BF$4:$BF$375,Data!$A$4:$A$375,"&gt;="&amp;$C46,Data!$A$4:$A$375,"&lt;="&amp;($C46+6)),""))</f>
        <v/>
      </c>
      <c r="E46" s="250">
        <f>IF($C46&gt;$AN$1,"",IF(NOT(ISNUMBER(D46)),"—",IF(D46&gt;=Band1,"GREEN",IF(D46&gt;=Band2,"GOOD",IF(D46&gt;=Band3,"NEEDS ATTENTION","RESET")))))</f>
        <v/>
      </c>
      <c r="F46" s="251">
        <f>IF($C46&gt;$AN$1,"",IFERROR(AVERAGEIFS(Data!$AF$4:$AF$375,Data!$A$4:$A$375,"&gt;="&amp;$C46,Data!$A$4:$A$375,"&lt;="&amp;($C46+6),Data!$AF$4:$AF$375,"&gt;0"),""))</f>
        <v/>
      </c>
      <c r="G46" s="252">
        <f>IF($C46&gt;$AN$1,"",IF(AND(ISNUMBER(F46),ISNUMBER(F45)),F46-F45,""))</f>
        <v/>
      </c>
      <c r="H46" s="253">
        <f>IF($C46&gt;$AN$1,"",IF(NOT(ISNUMBER(G46)),"",IF(-G46&gt;LossMaxPct*F46,"too fast",IF(-G46&gt;=LossMin,IF(-G46&lt;=LossMax,"on target","fast end"),IF(-G46&gt;0,"slow","flat / up")))))</f>
        <v/>
      </c>
      <c r="I46" s="247">
        <f>IF($C46&gt;$AN$1,"",SUMIFS(Data!$O$4:$O$375,Data!$A$4:$A$375,"&gt;="&amp;$C46,Data!$A$4:$A$375,"&lt;="&amp;($C46+6)))</f>
        <v/>
      </c>
      <c r="J46" s="254">
        <f>IF($C46&gt;$AN$1,"",IF(I46=0,"",MIN(1,SUMIFS(Data!$P$4:$P$375,Data!$A$4:$A$375,"&gt;="&amp;$C46,Data!$A$4:$A$375,"&lt;="&amp;($C46+6))/I46)))</f>
        <v/>
      </c>
      <c r="K46" s="247">
        <f>IF($C46&gt;$AN$1,"",SUMIFS(Data!$Q$4:$Q$375,Data!$A$4:$A$375,"&gt;="&amp;$C46,Data!$A$4:$A$375,"&lt;="&amp;($C46+6)))</f>
        <v/>
      </c>
      <c r="L46" s="247">
        <f>IF($C46&gt;$AN$1,"",SUMIFS(Data!$R$4:$R$375,Data!$A$4:$A$375,"&gt;="&amp;$C46,Data!$A$4:$A$375,"&lt;="&amp;($C46+6)))</f>
        <v/>
      </c>
      <c r="M46" s="247">
        <f>IF($C46&gt;$AN$1,"",SUMIFS(Data!$S$4:$S$375,Data!$A$4:$A$375,"&gt;="&amp;$C46,Data!$A$4:$A$375,"&lt;="&amp;($C46+6))+SUMIFS(Data!$AC$4:$AC$375,Data!$A$4:$A$375,"&gt;="&amp;$C46,Data!$A$4:$A$375,"&lt;="&amp;($C46+6)))</f>
        <v/>
      </c>
      <c r="N46" s="255">
        <f>IF($C46&gt;$AN$1,"",IFERROR(AVERAGEIFS(Data!$AG$4:$AG$375,Data!$A$4:$A$375,"&gt;="&amp;$C46,Data!$A$4:$A$375,"&lt;="&amp;($C46+6),Data!$AG$4:$AG$375,"&gt;0"),""))</f>
        <v/>
      </c>
      <c r="O46" s="247">
        <f>IF($C46&gt;$AN$1,"",IFERROR(AVERAGEIFS(Data!$AH$4:$AH$375,Data!$A$4:$A$375,"&gt;="&amp;$C46,Data!$A$4:$A$375,"&lt;="&amp;($C46+6),Data!$AH$4:$AH$375,"&gt;0"),""))</f>
        <v/>
      </c>
      <c r="P46" s="251">
        <f>IF($C46&gt;$AN$1,"",IFERROR(AVERAGEIFS(Data!$AK$4:$AK$375,Data!$A$4:$A$375,"&gt;="&amp;$C46,Data!$A$4:$A$375,"&lt;="&amp;($C46+6),Data!$AK$4:$AK$375,"&gt;0"),""))</f>
        <v/>
      </c>
      <c r="Q46" s="251">
        <f>IF($C46&gt;$AN$1,"",IFERROR(AVERAGEIFS(Data!$AL$4:$AL$375,Data!$A$4:$A$375,"&gt;="&amp;$C46,Data!$A$4:$A$375,"&lt;="&amp;($C46+6),Data!$AL$4:$AL$375,"&gt;0"),""))</f>
        <v/>
      </c>
      <c r="R46" s="251">
        <f>IF($C46&gt;$AN$1,"",IFERROR(AVERAGEIFS(Data!$AM$4:$AM$375,Data!$A$4:$A$375,"&gt;="&amp;$C46,Data!$A$4:$A$375,"&lt;="&amp;($C46+6),Data!$AM$4:$AM$375,"&gt;0"),""))</f>
        <v/>
      </c>
      <c r="S46" s="247">
        <f>IF($C46&gt;$AN$1,"",SUMIFS(Data!$G$4:$G$375,Data!$A$4:$A$375,"&gt;="&amp;$C46,Data!$A$4:$A$375,"&lt;="&amp;($C46+6)))</f>
        <v/>
      </c>
      <c r="T46" s="247">
        <f>IF($C46&gt;$AN$1,"",SUMIFS(Data!$Z$4:$Z$375,Data!$A$4:$A$375,"&gt;="&amp;$C46,Data!$A$4:$A$375,"&lt;="&amp;($C46+6)))</f>
        <v/>
      </c>
      <c r="U46" s="247">
        <f>IF($C46&gt;$AN$1,"",SUMIFS(Data!$X$4:$X$375,Data!$A$4:$A$375,"&gt;="&amp;$C46,Data!$A$4:$A$375,"&lt;="&amp;($C46+6)))</f>
        <v/>
      </c>
      <c r="V46" s="247">
        <f>IF($C46&gt;$AN$1,"",SUMIFS(Data!$W$4:$W$375,Data!$A$4:$A$375,"&gt;="&amp;$C46,Data!$A$4:$A$375,"&lt;="&amp;($C46+6)))</f>
        <v/>
      </c>
      <c r="W46" s="247">
        <f>IF($C46&gt;$AN$1,"",SUMIFS(Data!$Y$4:$Y$375,Data!$A$4:$A$375,"&gt;="&amp;$C46,Data!$A$4:$A$375,"&lt;="&amp;($C46+6)))</f>
        <v/>
      </c>
      <c r="X46" s="247">
        <f>IF($C46&gt;$AN$1,"",SUMIFS(Data!$AA$4:$AA$375,Data!$A$4:$A$375,"&gt;="&amp;$C46,Data!$A$4:$A$375,"&lt;="&amp;($C46+6)))</f>
        <v/>
      </c>
      <c r="Y46" s="247">
        <f>IF($C46&gt;$AN$1,"",SUMIFS(Data!$T$4:$T$375,Data!$A$4:$A$375,"&gt;="&amp;$C46,Data!$A$4:$A$375,"&lt;="&amp;($C46+6)))</f>
        <v/>
      </c>
      <c r="Z46" s="247">
        <f>IF($C46&gt;$AN$1,"",IF(NOT(ISNUMBER(D46)),"",ROUND(100*(0.3*IF(ISNUMBER(P46),MIN(1,P46/SleepTarget),0.7)+0.2*IF(ISNUMBER(Q46),Q46/10,0.7)+0.2*IF(ISNUMBER(R46),(10-R46)/9,0.7)+0.15*IF(I46&lt;7,1,0)+0.15*IF(ISNUMBER(J46),MIN(1,J46/0.5),0.5)),0)))</f>
        <v/>
      </c>
      <c r="AA46" s="256" t="n"/>
      <c r="AB46" s="256" t="n"/>
      <c r="AC46" s="257" t="n"/>
      <c r="AD46" s="257" t="n"/>
      <c r="AE46" s="257" t="n"/>
      <c r="AF46" s="257" t="n"/>
      <c r="AG46" s="257" t="n"/>
      <c r="AH46" s="257" t="n"/>
      <c r="AI46" s="256" t="n"/>
      <c r="AJ46" s="1" t="n"/>
      <c r="AK46" s="1" t="n"/>
    </row>
    <row r="47" ht="20" customHeight="1">
      <c r="A47" s="1" t="n"/>
      <c r="B47" s="258" t="n">
        <v>40</v>
      </c>
      <c r="C47" s="259">
        <f>DATE(2026,9,28)+273</f>
        <v/>
      </c>
      <c r="D47" s="260">
        <f>IF($C47&gt;$AN$1,"",IFERROR(AVERAGEIFS(Data!$BF$4:$BF$375,Data!$A$4:$A$375,"&gt;="&amp;$C47,Data!$A$4:$A$375,"&lt;="&amp;($C47+6)),""))</f>
        <v/>
      </c>
      <c r="E47" s="261">
        <f>IF($C47&gt;$AN$1,"",IF(NOT(ISNUMBER(D47)),"—",IF(D47&gt;=Band1,"GREEN",IF(D47&gt;=Band2,"GOOD",IF(D47&gt;=Band3,"NEEDS ATTENTION","RESET")))))</f>
        <v/>
      </c>
      <c r="F47" s="262">
        <f>IF($C47&gt;$AN$1,"",IFERROR(AVERAGEIFS(Data!$AF$4:$AF$375,Data!$A$4:$A$375,"&gt;="&amp;$C47,Data!$A$4:$A$375,"&lt;="&amp;($C47+6),Data!$AF$4:$AF$375,"&gt;0"),""))</f>
        <v/>
      </c>
      <c r="G47" s="263">
        <f>IF($C47&gt;$AN$1,"",IF(AND(ISNUMBER(F47),ISNUMBER(F46)),F47-F46,""))</f>
        <v/>
      </c>
      <c r="H47" s="264">
        <f>IF($C47&gt;$AN$1,"",IF(NOT(ISNUMBER(G47)),"",IF(-G47&gt;LossMaxPct*F47,"too fast",IF(-G47&gt;=LossMin,IF(-G47&lt;=LossMax,"on target","fast end"),IF(-G47&gt;0,"slow","flat / up")))))</f>
        <v/>
      </c>
      <c r="I47" s="258">
        <f>IF($C47&gt;$AN$1,"",SUMIFS(Data!$O$4:$O$375,Data!$A$4:$A$375,"&gt;="&amp;$C47,Data!$A$4:$A$375,"&lt;="&amp;($C47+6)))</f>
        <v/>
      </c>
      <c r="J47" s="265">
        <f>IF($C47&gt;$AN$1,"",IF(I47=0,"",MIN(1,SUMIFS(Data!$P$4:$P$375,Data!$A$4:$A$375,"&gt;="&amp;$C47,Data!$A$4:$A$375,"&lt;="&amp;($C47+6))/I47)))</f>
        <v/>
      </c>
      <c r="K47" s="258">
        <f>IF($C47&gt;$AN$1,"",SUMIFS(Data!$Q$4:$Q$375,Data!$A$4:$A$375,"&gt;="&amp;$C47,Data!$A$4:$A$375,"&lt;="&amp;($C47+6)))</f>
        <v/>
      </c>
      <c r="L47" s="258">
        <f>IF($C47&gt;$AN$1,"",SUMIFS(Data!$R$4:$R$375,Data!$A$4:$A$375,"&gt;="&amp;$C47,Data!$A$4:$A$375,"&lt;="&amp;($C47+6)))</f>
        <v/>
      </c>
      <c r="M47" s="258">
        <f>IF($C47&gt;$AN$1,"",SUMIFS(Data!$S$4:$S$375,Data!$A$4:$A$375,"&gt;="&amp;$C47,Data!$A$4:$A$375,"&lt;="&amp;($C47+6))+SUMIFS(Data!$AC$4:$AC$375,Data!$A$4:$A$375,"&gt;="&amp;$C47,Data!$A$4:$A$375,"&lt;="&amp;($C47+6)))</f>
        <v/>
      </c>
      <c r="N47" s="266">
        <f>IF($C47&gt;$AN$1,"",IFERROR(AVERAGEIFS(Data!$AG$4:$AG$375,Data!$A$4:$A$375,"&gt;="&amp;$C47,Data!$A$4:$A$375,"&lt;="&amp;($C47+6),Data!$AG$4:$AG$375,"&gt;0"),""))</f>
        <v/>
      </c>
      <c r="O47" s="258">
        <f>IF($C47&gt;$AN$1,"",IFERROR(AVERAGEIFS(Data!$AH$4:$AH$375,Data!$A$4:$A$375,"&gt;="&amp;$C47,Data!$A$4:$A$375,"&lt;="&amp;($C47+6),Data!$AH$4:$AH$375,"&gt;0"),""))</f>
        <v/>
      </c>
      <c r="P47" s="262">
        <f>IF($C47&gt;$AN$1,"",IFERROR(AVERAGEIFS(Data!$AK$4:$AK$375,Data!$A$4:$A$375,"&gt;="&amp;$C47,Data!$A$4:$A$375,"&lt;="&amp;($C47+6),Data!$AK$4:$AK$375,"&gt;0"),""))</f>
        <v/>
      </c>
      <c r="Q47" s="262">
        <f>IF($C47&gt;$AN$1,"",IFERROR(AVERAGEIFS(Data!$AL$4:$AL$375,Data!$A$4:$A$375,"&gt;="&amp;$C47,Data!$A$4:$A$375,"&lt;="&amp;($C47+6),Data!$AL$4:$AL$375,"&gt;0"),""))</f>
        <v/>
      </c>
      <c r="R47" s="262">
        <f>IF($C47&gt;$AN$1,"",IFERROR(AVERAGEIFS(Data!$AM$4:$AM$375,Data!$A$4:$A$375,"&gt;="&amp;$C47,Data!$A$4:$A$375,"&lt;="&amp;($C47+6),Data!$AM$4:$AM$375,"&gt;0"),""))</f>
        <v/>
      </c>
      <c r="S47" s="258">
        <f>IF($C47&gt;$AN$1,"",SUMIFS(Data!$G$4:$G$375,Data!$A$4:$A$375,"&gt;="&amp;$C47,Data!$A$4:$A$375,"&lt;="&amp;($C47+6)))</f>
        <v/>
      </c>
      <c r="T47" s="258">
        <f>IF($C47&gt;$AN$1,"",SUMIFS(Data!$Z$4:$Z$375,Data!$A$4:$A$375,"&gt;="&amp;$C47,Data!$A$4:$A$375,"&lt;="&amp;($C47+6)))</f>
        <v/>
      </c>
      <c r="U47" s="258">
        <f>IF($C47&gt;$AN$1,"",SUMIFS(Data!$X$4:$X$375,Data!$A$4:$A$375,"&gt;="&amp;$C47,Data!$A$4:$A$375,"&lt;="&amp;($C47+6)))</f>
        <v/>
      </c>
      <c r="V47" s="258">
        <f>IF($C47&gt;$AN$1,"",SUMIFS(Data!$W$4:$W$375,Data!$A$4:$A$375,"&gt;="&amp;$C47,Data!$A$4:$A$375,"&lt;="&amp;($C47+6)))</f>
        <v/>
      </c>
      <c r="W47" s="258">
        <f>IF($C47&gt;$AN$1,"",SUMIFS(Data!$Y$4:$Y$375,Data!$A$4:$A$375,"&gt;="&amp;$C47,Data!$A$4:$A$375,"&lt;="&amp;($C47+6)))</f>
        <v/>
      </c>
      <c r="X47" s="258">
        <f>IF($C47&gt;$AN$1,"",SUMIFS(Data!$AA$4:$AA$375,Data!$A$4:$A$375,"&gt;="&amp;$C47,Data!$A$4:$A$375,"&lt;="&amp;($C47+6)))</f>
        <v/>
      </c>
      <c r="Y47" s="258">
        <f>IF($C47&gt;$AN$1,"",SUMIFS(Data!$T$4:$T$375,Data!$A$4:$A$375,"&gt;="&amp;$C47,Data!$A$4:$A$375,"&lt;="&amp;($C47+6)))</f>
        <v/>
      </c>
      <c r="Z47" s="258">
        <f>IF($C47&gt;$AN$1,"",IF(NOT(ISNUMBER(D47)),"",ROUND(100*(0.3*IF(ISNUMBER(P47),MIN(1,P47/SleepTarget),0.7)+0.2*IF(ISNUMBER(Q47),Q47/10,0.7)+0.2*IF(ISNUMBER(R47),(10-R47)/9,0.7)+0.15*IF(I47&lt;7,1,0)+0.15*IF(ISNUMBER(J47),MIN(1,J47/0.5),0.5)),0)))</f>
        <v/>
      </c>
      <c r="AA47" s="91" t="n"/>
      <c r="AB47" s="91" t="n"/>
      <c r="AC47" s="267" t="n"/>
      <c r="AD47" s="267" t="n"/>
      <c r="AE47" s="267" t="n"/>
      <c r="AF47" s="267" t="n"/>
      <c r="AG47" s="267" t="n"/>
      <c r="AH47" s="267" t="n"/>
      <c r="AI47" s="91" t="n"/>
      <c r="AJ47" s="1" t="n"/>
      <c r="AK47" s="1" t="n"/>
    </row>
    <row r="48" ht="20" customHeight="1">
      <c r="A48" s="1" t="n"/>
      <c r="B48" s="247" t="n">
        <v>41</v>
      </c>
      <c r="C48" s="248">
        <f>DATE(2026,9,28)+280</f>
        <v/>
      </c>
      <c r="D48" s="249">
        <f>IF($C48&gt;$AN$1,"",IFERROR(AVERAGEIFS(Data!$BF$4:$BF$375,Data!$A$4:$A$375,"&gt;="&amp;$C48,Data!$A$4:$A$375,"&lt;="&amp;($C48+6)),""))</f>
        <v/>
      </c>
      <c r="E48" s="250">
        <f>IF($C48&gt;$AN$1,"",IF(NOT(ISNUMBER(D48)),"—",IF(D48&gt;=Band1,"GREEN",IF(D48&gt;=Band2,"GOOD",IF(D48&gt;=Band3,"NEEDS ATTENTION","RESET")))))</f>
        <v/>
      </c>
      <c r="F48" s="251">
        <f>IF($C48&gt;$AN$1,"",IFERROR(AVERAGEIFS(Data!$AF$4:$AF$375,Data!$A$4:$A$375,"&gt;="&amp;$C48,Data!$A$4:$A$375,"&lt;="&amp;($C48+6),Data!$AF$4:$AF$375,"&gt;0"),""))</f>
        <v/>
      </c>
      <c r="G48" s="252">
        <f>IF($C48&gt;$AN$1,"",IF(AND(ISNUMBER(F48),ISNUMBER(F47)),F48-F47,""))</f>
        <v/>
      </c>
      <c r="H48" s="253">
        <f>IF($C48&gt;$AN$1,"",IF(NOT(ISNUMBER(G48)),"",IF(-G48&gt;LossMaxPct*F48,"too fast",IF(-G48&gt;=LossMin,IF(-G48&lt;=LossMax,"on target","fast end"),IF(-G48&gt;0,"slow","flat / up")))))</f>
        <v/>
      </c>
      <c r="I48" s="247">
        <f>IF($C48&gt;$AN$1,"",SUMIFS(Data!$O$4:$O$375,Data!$A$4:$A$375,"&gt;="&amp;$C48,Data!$A$4:$A$375,"&lt;="&amp;($C48+6)))</f>
        <v/>
      </c>
      <c r="J48" s="254">
        <f>IF($C48&gt;$AN$1,"",IF(I48=0,"",MIN(1,SUMIFS(Data!$P$4:$P$375,Data!$A$4:$A$375,"&gt;="&amp;$C48,Data!$A$4:$A$375,"&lt;="&amp;($C48+6))/I48)))</f>
        <v/>
      </c>
      <c r="K48" s="247">
        <f>IF($C48&gt;$AN$1,"",SUMIFS(Data!$Q$4:$Q$375,Data!$A$4:$A$375,"&gt;="&amp;$C48,Data!$A$4:$A$375,"&lt;="&amp;($C48+6)))</f>
        <v/>
      </c>
      <c r="L48" s="247">
        <f>IF($C48&gt;$AN$1,"",SUMIFS(Data!$R$4:$R$375,Data!$A$4:$A$375,"&gt;="&amp;$C48,Data!$A$4:$A$375,"&lt;="&amp;($C48+6)))</f>
        <v/>
      </c>
      <c r="M48" s="247">
        <f>IF($C48&gt;$AN$1,"",SUMIFS(Data!$S$4:$S$375,Data!$A$4:$A$375,"&gt;="&amp;$C48,Data!$A$4:$A$375,"&lt;="&amp;($C48+6))+SUMIFS(Data!$AC$4:$AC$375,Data!$A$4:$A$375,"&gt;="&amp;$C48,Data!$A$4:$A$375,"&lt;="&amp;($C48+6)))</f>
        <v/>
      </c>
      <c r="N48" s="255">
        <f>IF($C48&gt;$AN$1,"",IFERROR(AVERAGEIFS(Data!$AG$4:$AG$375,Data!$A$4:$A$375,"&gt;="&amp;$C48,Data!$A$4:$A$375,"&lt;="&amp;($C48+6),Data!$AG$4:$AG$375,"&gt;0"),""))</f>
        <v/>
      </c>
      <c r="O48" s="247">
        <f>IF($C48&gt;$AN$1,"",IFERROR(AVERAGEIFS(Data!$AH$4:$AH$375,Data!$A$4:$A$375,"&gt;="&amp;$C48,Data!$A$4:$A$375,"&lt;="&amp;($C48+6),Data!$AH$4:$AH$375,"&gt;0"),""))</f>
        <v/>
      </c>
      <c r="P48" s="251">
        <f>IF($C48&gt;$AN$1,"",IFERROR(AVERAGEIFS(Data!$AK$4:$AK$375,Data!$A$4:$A$375,"&gt;="&amp;$C48,Data!$A$4:$A$375,"&lt;="&amp;($C48+6),Data!$AK$4:$AK$375,"&gt;0"),""))</f>
        <v/>
      </c>
      <c r="Q48" s="251">
        <f>IF($C48&gt;$AN$1,"",IFERROR(AVERAGEIFS(Data!$AL$4:$AL$375,Data!$A$4:$A$375,"&gt;="&amp;$C48,Data!$A$4:$A$375,"&lt;="&amp;($C48+6),Data!$AL$4:$AL$375,"&gt;0"),""))</f>
        <v/>
      </c>
      <c r="R48" s="251">
        <f>IF($C48&gt;$AN$1,"",IFERROR(AVERAGEIFS(Data!$AM$4:$AM$375,Data!$A$4:$A$375,"&gt;="&amp;$C48,Data!$A$4:$A$375,"&lt;="&amp;($C48+6),Data!$AM$4:$AM$375,"&gt;0"),""))</f>
        <v/>
      </c>
      <c r="S48" s="247">
        <f>IF($C48&gt;$AN$1,"",SUMIFS(Data!$G$4:$G$375,Data!$A$4:$A$375,"&gt;="&amp;$C48,Data!$A$4:$A$375,"&lt;="&amp;($C48+6)))</f>
        <v/>
      </c>
      <c r="T48" s="247">
        <f>IF($C48&gt;$AN$1,"",SUMIFS(Data!$Z$4:$Z$375,Data!$A$4:$A$375,"&gt;="&amp;$C48,Data!$A$4:$A$375,"&lt;="&amp;($C48+6)))</f>
        <v/>
      </c>
      <c r="U48" s="247">
        <f>IF($C48&gt;$AN$1,"",SUMIFS(Data!$X$4:$X$375,Data!$A$4:$A$375,"&gt;="&amp;$C48,Data!$A$4:$A$375,"&lt;="&amp;($C48+6)))</f>
        <v/>
      </c>
      <c r="V48" s="247">
        <f>IF($C48&gt;$AN$1,"",SUMIFS(Data!$W$4:$W$375,Data!$A$4:$A$375,"&gt;="&amp;$C48,Data!$A$4:$A$375,"&lt;="&amp;($C48+6)))</f>
        <v/>
      </c>
      <c r="W48" s="247">
        <f>IF($C48&gt;$AN$1,"",SUMIFS(Data!$Y$4:$Y$375,Data!$A$4:$A$375,"&gt;="&amp;$C48,Data!$A$4:$A$375,"&lt;="&amp;($C48+6)))</f>
        <v/>
      </c>
      <c r="X48" s="247">
        <f>IF($C48&gt;$AN$1,"",SUMIFS(Data!$AA$4:$AA$375,Data!$A$4:$A$375,"&gt;="&amp;$C48,Data!$A$4:$A$375,"&lt;="&amp;($C48+6)))</f>
        <v/>
      </c>
      <c r="Y48" s="247">
        <f>IF($C48&gt;$AN$1,"",SUMIFS(Data!$T$4:$T$375,Data!$A$4:$A$375,"&gt;="&amp;$C48,Data!$A$4:$A$375,"&lt;="&amp;($C48+6)))</f>
        <v/>
      </c>
      <c r="Z48" s="247">
        <f>IF($C48&gt;$AN$1,"",IF(NOT(ISNUMBER(D48)),"",ROUND(100*(0.3*IF(ISNUMBER(P48),MIN(1,P48/SleepTarget),0.7)+0.2*IF(ISNUMBER(Q48),Q48/10,0.7)+0.2*IF(ISNUMBER(R48),(10-R48)/9,0.7)+0.15*IF(I48&lt;7,1,0)+0.15*IF(ISNUMBER(J48),MIN(1,J48/0.5),0.5)),0)))</f>
        <v/>
      </c>
      <c r="AA48" s="256" t="n"/>
      <c r="AB48" s="256" t="n"/>
      <c r="AC48" s="257" t="n"/>
      <c r="AD48" s="257" t="n"/>
      <c r="AE48" s="257" t="n"/>
      <c r="AF48" s="257" t="n"/>
      <c r="AG48" s="257" t="n"/>
      <c r="AH48" s="257" t="n"/>
      <c r="AI48" s="256" t="n"/>
      <c r="AJ48" s="1" t="n"/>
      <c r="AK48" s="1" t="n"/>
    </row>
    <row r="49" ht="20" customHeight="1">
      <c r="A49" s="1" t="n"/>
      <c r="B49" s="258" t="n">
        <v>42</v>
      </c>
      <c r="C49" s="259">
        <f>DATE(2026,9,28)+287</f>
        <v/>
      </c>
      <c r="D49" s="260">
        <f>IF($C49&gt;$AN$1,"",IFERROR(AVERAGEIFS(Data!$BF$4:$BF$375,Data!$A$4:$A$375,"&gt;="&amp;$C49,Data!$A$4:$A$375,"&lt;="&amp;($C49+6)),""))</f>
        <v/>
      </c>
      <c r="E49" s="261">
        <f>IF($C49&gt;$AN$1,"",IF(NOT(ISNUMBER(D49)),"—",IF(D49&gt;=Band1,"GREEN",IF(D49&gt;=Band2,"GOOD",IF(D49&gt;=Band3,"NEEDS ATTENTION","RESET")))))</f>
        <v/>
      </c>
      <c r="F49" s="262">
        <f>IF($C49&gt;$AN$1,"",IFERROR(AVERAGEIFS(Data!$AF$4:$AF$375,Data!$A$4:$A$375,"&gt;="&amp;$C49,Data!$A$4:$A$375,"&lt;="&amp;($C49+6),Data!$AF$4:$AF$375,"&gt;0"),""))</f>
        <v/>
      </c>
      <c r="G49" s="263">
        <f>IF($C49&gt;$AN$1,"",IF(AND(ISNUMBER(F49),ISNUMBER(F48)),F49-F48,""))</f>
        <v/>
      </c>
      <c r="H49" s="264">
        <f>IF($C49&gt;$AN$1,"",IF(NOT(ISNUMBER(G49)),"",IF(-G49&gt;LossMaxPct*F49,"too fast",IF(-G49&gt;=LossMin,IF(-G49&lt;=LossMax,"on target","fast end"),IF(-G49&gt;0,"slow","flat / up")))))</f>
        <v/>
      </c>
      <c r="I49" s="258">
        <f>IF($C49&gt;$AN$1,"",SUMIFS(Data!$O$4:$O$375,Data!$A$4:$A$375,"&gt;="&amp;$C49,Data!$A$4:$A$375,"&lt;="&amp;($C49+6)))</f>
        <v/>
      </c>
      <c r="J49" s="265">
        <f>IF($C49&gt;$AN$1,"",IF(I49=0,"",MIN(1,SUMIFS(Data!$P$4:$P$375,Data!$A$4:$A$375,"&gt;="&amp;$C49,Data!$A$4:$A$375,"&lt;="&amp;($C49+6))/I49)))</f>
        <v/>
      </c>
      <c r="K49" s="258">
        <f>IF($C49&gt;$AN$1,"",SUMIFS(Data!$Q$4:$Q$375,Data!$A$4:$A$375,"&gt;="&amp;$C49,Data!$A$4:$A$375,"&lt;="&amp;($C49+6)))</f>
        <v/>
      </c>
      <c r="L49" s="258">
        <f>IF($C49&gt;$AN$1,"",SUMIFS(Data!$R$4:$R$375,Data!$A$4:$A$375,"&gt;="&amp;$C49,Data!$A$4:$A$375,"&lt;="&amp;($C49+6)))</f>
        <v/>
      </c>
      <c r="M49" s="258">
        <f>IF($C49&gt;$AN$1,"",SUMIFS(Data!$S$4:$S$375,Data!$A$4:$A$375,"&gt;="&amp;$C49,Data!$A$4:$A$375,"&lt;="&amp;($C49+6))+SUMIFS(Data!$AC$4:$AC$375,Data!$A$4:$A$375,"&gt;="&amp;$C49,Data!$A$4:$A$375,"&lt;="&amp;($C49+6)))</f>
        <v/>
      </c>
      <c r="N49" s="266">
        <f>IF($C49&gt;$AN$1,"",IFERROR(AVERAGEIFS(Data!$AG$4:$AG$375,Data!$A$4:$A$375,"&gt;="&amp;$C49,Data!$A$4:$A$375,"&lt;="&amp;($C49+6),Data!$AG$4:$AG$375,"&gt;0"),""))</f>
        <v/>
      </c>
      <c r="O49" s="258">
        <f>IF($C49&gt;$AN$1,"",IFERROR(AVERAGEIFS(Data!$AH$4:$AH$375,Data!$A$4:$A$375,"&gt;="&amp;$C49,Data!$A$4:$A$375,"&lt;="&amp;($C49+6),Data!$AH$4:$AH$375,"&gt;0"),""))</f>
        <v/>
      </c>
      <c r="P49" s="262">
        <f>IF($C49&gt;$AN$1,"",IFERROR(AVERAGEIFS(Data!$AK$4:$AK$375,Data!$A$4:$A$375,"&gt;="&amp;$C49,Data!$A$4:$A$375,"&lt;="&amp;($C49+6),Data!$AK$4:$AK$375,"&gt;0"),""))</f>
        <v/>
      </c>
      <c r="Q49" s="262">
        <f>IF($C49&gt;$AN$1,"",IFERROR(AVERAGEIFS(Data!$AL$4:$AL$375,Data!$A$4:$A$375,"&gt;="&amp;$C49,Data!$A$4:$A$375,"&lt;="&amp;($C49+6),Data!$AL$4:$AL$375,"&gt;0"),""))</f>
        <v/>
      </c>
      <c r="R49" s="262">
        <f>IF($C49&gt;$AN$1,"",IFERROR(AVERAGEIFS(Data!$AM$4:$AM$375,Data!$A$4:$A$375,"&gt;="&amp;$C49,Data!$A$4:$A$375,"&lt;="&amp;($C49+6),Data!$AM$4:$AM$375,"&gt;0"),""))</f>
        <v/>
      </c>
      <c r="S49" s="258">
        <f>IF($C49&gt;$AN$1,"",SUMIFS(Data!$G$4:$G$375,Data!$A$4:$A$375,"&gt;="&amp;$C49,Data!$A$4:$A$375,"&lt;="&amp;($C49+6)))</f>
        <v/>
      </c>
      <c r="T49" s="258">
        <f>IF($C49&gt;$AN$1,"",SUMIFS(Data!$Z$4:$Z$375,Data!$A$4:$A$375,"&gt;="&amp;$C49,Data!$A$4:$A$375,"&lt;="&amp;($C49+6)))</f>
        <v/>
      </c>
      <c r="U49" s="258">
        <f>IF($C49&gt;$AN$1,"",SUMIFS(Data!$X$4:$X$375,Data!$A$4:$A$375,"&gt;="&amp;$C49,Data!$A$4:$A$375,"&lt;="&amp;($C49+6)))</f>
        <v/>
      </c>
      <c r="V49" s="258">
        <f>IF($C49&gt;$AN$1,"",SUMIFS(Data!$W$4:$W$375,Data!$A$4:$A$375,"&gt;="&amp;$C49,Data!$A$4:$A$375,"&lt;="&amp;($C49+6)))</f>
        <v/>
      </c>
      <c r="W49" s="258">
        <f>IF($C49&gt;$AN$1,"",SUMIFS(Data!$Y$4:$Y$375,Data!$A$4:$A$375,"&gt;="&amp;$C49,Data!$A$4:$A$375,"&lt;="&amp;($C49+6)))</f>
        <v/>
      </c>
      <c r="X49" s="258">
        <f>IF($C49&gt;$AN$1,"",SUMIFS(Data!$AA$4:$AA$375,Data!$A$4:$A$375,"&gt;="&amp;$C49,Data!$A$4:$A$375,"&lt;="&amp;($C49+6)))</f>
        <v/>
      </c>
      <c r="Y49" s="258">
        <f>IF($C49&gt;$AN$1,"",SUMIFS(Data!$T$4:$T$375,Data!$A$4:$A$375,"&gt;="&amp;$C49,Data!$A$4:$A$375,"&lt;="&amp;($C49+6)))</f>
        <v/>
      </c>
      <c r="Z49" s="258">
        <f>IF($C49&gt;$AN$1,"",IF(NOT(ISNUMBER(D49)),"",ROUND(100*(0.3*IF(ISNUMBER(P49),MIN(1,P49/SleepTarget),0.7)+0.2*IF(ISNUMBER(Q49),Q49/10,0.7)+0.2*IF(ISNUMBER(R49),(10-R49)/9,0.7)+0.15*IF(I49&lt;7,1,0)+0.15*IF(ISNUMBER(J49),MIN(1,J49/0.5),0.5)),0)))</f>
        <v/>
      </c>
      <c r="AA49" s="91" t="n"/>
      <c r="AB49" s="91" t="n"/>
      <c r="AC49" s="267" t="n"/>
      <c r="AD49" s="267" t="n"/>
      <c r="AE49" s="267" t="n"/>
      <c r="AF49" s="267" t="n"/>
      <c r="AG49" s="267" t="n"/>
      <c r="AH49" s="267" t="n"/>
      <c r="AI49" s="91" t="n"/>
      <c r="AJ49" s="1" t="n"/>
      <c r="AK49" s="1" t="n"/>
    </row>
    <row r="50" ht="20" customHeight="1">
      <c r="A50" s="1" t="n"/>
      <c r="B50" s="247" t="n">
        <v>43</v>
      </c>
      <c r="C50" s="248">
        <f>DATE(2026,9,28)+294</f>
        <v/>
      </c>
      <c r="D50" s="249">
        <f>IF($C50&gt;$AN$1,"",IFERROR(AVERAGEIFS(Data!$BF$4:$BF$375,Data!$A$4:$A$375,"&gt;="&amp;$C50,Data!$A$4:$A$375,"&lt;="&amp;($C50+6)),""))</f>
        <v/>
      </c>
      <c r="E50" s="250">
        <f>IF($C50&gt;$AN$1,"",IF(NOT(ISNUMBER(D50)),"—",IF(D50&gt;=Band1,"GREEN",IF(D50&gt;=Band2,"GOOD",IF(D50&gt;=Band3,"NEEDS ATTENTION","RESET")))))</f>
        <v/>
      </c>
      <c r="F50" s="251">
        <f>IF($C50&gt;$AN$1,"",IFERROR(AVERAGEIFS(Data!$AF$4:$AF$375,Data!$A$4:$A$375,"&gt;="&amp;$C50,Data!$A$4:$A$375,"&lt;="&amp;($C50+6),Data!$AF$4:$AF$375,"&gt;0"),""))</f>
        <v/>
      </c>
      <c r="G50" s="252">
        <f>IF($C50&gt;$AN$1,"",IF(AND(ISNUMBER(F50),ISNUMBER(F49)),F50-F49,""))</f>
        <v/>
      </c>
      <c r="H50" s="253">
        <f>IF($C50&gt;$AN$1,"",IF(NOT(ISNUMBER(G50)),"",IF(-G50&gt;LossMaxPct*F50,"too fast",IF(-G50&gt;=LossMin,IF(-G50&lt;=LossMax,"on target","fast end"),IF(-G50&gt;0,"slow","flat / up")))))</f>
        <v/>
      </c>
      <c r="I50" s="247">
        <f>IF($C50&gt;$AN$1,"",SUMIFS(Data!$O$4:$O$375,Data!$A$4:$A$375,"&gt;="&amp;$C50,Data!$A$4:$A$375,"&lt;="&amp;($C50+6)))</f>
        <v/>
      </c>
      <c r="J50" s="254">
        <f>IF($C50&gt;$AN$1,"",IF(I50=0,"",MIN(1,SUMIFS(Data!$P$4:$P$375,Data!$A$4:$A$375,"&gt;="&amp;$C50,Data!$A$4:$A$375,"&lt;="&amp;($C50+6))/I50)))</f>
        <v/>
      </c>
      <c r="K50" s="247">
        <f>IF($C50&gt;$AN$1,"",SUMIFS(Data!$Q$4:$Q$375,Data!$A$4:$A$375,"&gt;="&amp;$C50,Data!$A$4:$A$375,"&lt;="&amp;($C50+6)))</f>
        <v/>
      </c>
      <c r="L50" s="247">
        <f>IF($C50&gt;$AN$1,"",SUMIFS(Data!$R$4:$R$375,Data!$A$4:$A$375,"&gt;="&amp;$C50,Data!$A$4:$A$375,"&lt;="&amp;($C50+6)))</f>
        <v/>
      </c>
      <c r="M50" s="247">
        <f>IF($C50&gt;$AN$1,"",SUMIFS(Data!$S$4:$S$375,Data!$A$4:$A$375,"&gt;="&amp;$C50,Data!$A$4:$A$375,"&lt;="&amp;($C50+6))+SUMIFS(Data!$AC$4:$AC$375,Data!$A$4:$A$375,"&gt;="&amp;$C50,Data!$A$4:$A$375,"&lt;="&amp;($C50+6)))</f>
        <v/>
      </c>
      <c r="N50" s="255">
        <f>IF($C50&gt;$AN$1,"",IFERROR(AVERAGEIFS(Data!$AG$4:$AG$375,Data!$A$4:$A$375,"&gt;="&amp;$C50,Data!$A$4:$A$375,"&lt;="&amp;($C50+6),Data!$AG$4:$AG$375,"&gt;0"),""))</f>
        <v/>
      </c>
      <c r="O50" s="247">
        <f>IF($C50&gt;$AN$1,"",IFERROR(AVERAGEIFS(Data!$AH$4:$AH$375,Data!$A$4:$A$375,"&gt;="&amp;$C50,Data!$A$4:$A$375,"&lt;="&amp;($C50+6),Data!$AH$4:$AH$375,"&gt;0"),""))</f>
        <v/>
      </c>
      <c r="P50" s="251">
        <f>IF($C50&gt;$AN$1,"",IFERROR(AVERAGEIFS(Data!$AK$4:$AK$375,Data!$A$4:$A$375,"&gt;="&amp;$C50,Data!$A$4:$A$375,"&lt;="&amp;($C50+6),Data!$AK$4:$AK$375,"&gt;0"),""))</f>
        <v/>
      </c>
      <c r="Q50" s="251">
        <f>IF($C50&gt;$AN$1,"",IFERROR(AVERAGEIFS(Data!$AL$4:$AL$375,Data!$A$4:$A$375,"&gt;="&amp;$C50,Data!$A$4:$A$375,"&lt;="&amp;($C50+6),Data!$AL$4:$AL$375,"&gt;0"),""))</f>
        <v/>
      </c>
      <c r="R50" s="251">
        <f>IF($C50&gt;$AN$1,"",IFERROR(AVERAGEIFS(Data!$AM$4:$AM$375,Data!$A$4:$A$375,"&gt;="&amp;$C50,Data!$A$4:$A$375,"&lt;="&amp;($C50+6),Data!$AM$4:$AM$375,"&gt;0"),""))</f>
        <v/>
      </c>
      <c r="S50" s="247">
        <f>IF($C50&gt;$AN$1,"",SUMIFS(Data!$G$4:$G$375,Data!$A$4:$A$375,"&gt;="&amp;$C50,Data!$A$4:$A$375,"&lt;="&amp;($C50+6)))</f>
        <v/>
      </c>
      <c r="T50" s="247">
        <f>IF($C50&gt;$AN$1,"",SUMIFS(Data!$Z$4:$Z$375,Data!$A$4:$A$375,"&gt;="&amp;$C50,Data!$A$4:$A$375,"&lt;="&amp;($C50+6)))</f>
        <v/>
      </c>
      <c r="U50" s="247">
        <f>IF($C50&gt;$AN$1,"",SUMIFS(Data!$X$4:$X$375,Data!$A$4:$A$375,"&gt;="&amp;$C50,Data!$A$4:$A$375,"&lt;="&amp;($C50+6)))</f>
        <v/>
      </c>
      <c r="V50" s="247">
        <f>IF($C50&gt;$AN$1,"",SUMIFS(Data!$W$4:$W$375,Data!$A$4:$A$375,"&gt;="&amp;$C50,Data!$A$4:$A$375,"&lt;="&amp;($C50+6)))</f>
        <v/>
      </c>
      <c r="W50" s="247">
        <f>IF($C50&gt;$AN$1,"",SUMIFS(Data!$Y$4:$Y$375,Data!$A$4:$A$375,"&gt;="&amp;$C50,Data!$A$4:$A$375,"&lt;="&amp;($C50+6)))</f>
        <v/>
      </c>
      <c r="X50" s="247">
        <f>IF($C50&gt;$AN$1,"",SUMIFS(Data!$AA$4:$AA$375,Data!$A$4:$A$375,"&gt;="&amp;$C50,Data!$A$4:$A$375,"&lt;="&amp;($C50+6)))</f>
        <v/>
      </c>
      <c r="Y50" s="247">
        <f>IF($C50&gt;$AN$1,"",SUMIFS(Data!$T$4:$T$375,Data!$A$4:$A$375,"&gt;="&amp;$C50,Data!$A$4:$A$375,"&lt;="&amp;($C50+6)))</f>
        <v/>
      </c>
      <c r="Z50" s="247">
        <f>IF($C50&gt;$AN$1,"",IF(NOT(ISNUMBER(D50)),"",ROUND(100*(0.3*IF(ISNUMBER(P50),MIN(1,P50/SleepTarget),0.7)+0.2*IF(ISNUMBER(Q50),Q50/10,0.7)+0.2*IF(ISNUMBER(R50),(10-R50)/9,0.7)+0.15*IF(I50&lt;7,1,0)+0.15*IF(ISNUMBER(J50),MIN(1,J50/0.5),0.5)),0)))</f>
        <v/>
      </c>
      <c r="AA50" s="256" t="n"/>
      <c r="AB50" s="256" t="n"/>
      <c r="AC50" s="257" t="n"/>
      <c r="AD50" s="257" t="n"/>
      <c r="AE50" s="257" t="n"/>
      <c r="AF50" s="257" t="n"/>
      <c r="AG50" s="257" t="n"/>
      <c r="AH50" s="257" t="n"/>
      <c r="AI50" s="256" t="n"/>
      <c r="AJ50" s="1" t="n"/>
      <c r="AK50" s="1" t="n"/>
    </row>
    <row r="51" ht="20" customHeight="1">
      <c r="A51" s="1" t="n"/>
      <c r="B51" s="258" t="n">
        <v>44</v>
      </c>
      <c r="C51" s="259">
        <f>DATE(2026,9,28)+301</f>
        <v/>
      </c>
      <c r="D51" s="260">
        <f>IF($C51&gt;$AN$1,"",IFERROR(AVERAGEIFS(Data!$BF$4:$BF$375,Data!$A$4:$A$375,"&gt;="&amp;$C51,Data!$A$4:$A$375,"&lt;="&amp;($C51+6)),""))</f>
        <v/>
      </c>
      <c r="E51" s="261">
        <f>IF($C51&gt;$AN$1,"",IF(NOT(ISNUMBER(D51)),"—",IF(D51&gt;=Band1,"GREEN",IF(D51&gt;=Band2,"GOOD",IF(D51&gt;=Band3,"NEEDS ATTENTION","RESET")))))</f>
        <v/>
      </c>
      <c r="F51" s="262">
        <f>IF($C51&gt;$AN$1,"",IFERROR(AVERAGEIFS(Data!$AF$4:$AF$375,Data!$A$4:$A$375,"&gt;="&amp;$C51,Data!$A$4:$A$375,"&lt;="&amp;($C51+6),Data!$AF$4:$AF$375,"&gt;0"),""))</f>
        <v/>
      </c>
      <c r="G51" s="263">
        <f>IF($C51&gt;$AN$1,"",IF(AND(ISNUMBER(F51),ISNUMBER(F50)),F51-F50,""))</f>
        <v/>
      </c>
      <c r="H51" s="264">
        <f>IF($C51&gt;$AN$1,"",IF(NOT(ISNUMBER(G51)),"",IF(-G51&gt;LossMaxPct*F51,"too fast",IF(-G51&gt;=LossMin,IF(-G51&lt;=LossMax,"on target","fast end"),IF(-G51&gt;0,"slow","flat / up")))))</f>
        <v/>
      </c>
      <c r="I51" s="258">
        <f>IF($C51&gt;$AN$1,"",SUMIFS(Data!$O$4:$O$375,Data!$A$4:$A$375,"&gt;="&amp;$C51,Data!$A$4:$A$375,"&lt;="&amp;($C51+6)))</f>
        <v/>
      </c>
      <c r="J51" s="265">
        <f>IF($C51&gt;$AN$1,"",IF(I51=0,"",MIN(1,SUMIFS(Data!$P$4:$P$375,Data!$A$4:$A$375,"&gt;="&amp;$C51,Data!$A$4:$A$375,"&lt;="&amp;($C51+6))/I51)))</f>
        <v/>
      </c>
      <c r="K51" s="258">
        <f>IF($C51&gt;$AN$1,"",SUMIFS(Data!$Q$4:$Q$375,Data!$A$4:$A$375,"&gt;="&amp;$C51,Data!$A$4:$A$375,"&lt;="&amp;($C51+6)))</f>
        <v/>
      </c>
      <c r="L51" s="258">
        <f>IF($C51&gt;$AN$1,"",SUMIFS(Data!$R$4:$R$375,Data!$A$4:$A$375,"&gt;="&amp;$C51,Data!$A$4:$A$375,"&lt;="&amp;($C51+6)))</f>
        <v/>
      </c>
      <c r="M51" s="258">
        <f>IF($C51&gt;$AN$1,"",SUMIFS(Data!$S$4:$S$375,Data!$A$4:$A$375,"&gt;="&amp;$C51,Data!$A$4:$A$375,"&lt;="&amp;($C51+6))+SUMIFS(Data!$AC$4:$AC$375,Data!$A$4:$A$375,"&gt;="&amp;$C51,Data!$A$4:$A$375,"&lt;="&amp;($C51+6)))</f>
        <v/>
      </c>
      <c r="N51" s="266">
        <f>IF($C51&gt;$AN$1,"",IFERROR(AVERAGEIFS(Data!$AG$4:$AG$375,Data!$A$4:$A$375,"&gt;="&amp;$C51,Data!$A$4:$A$375,"&lt;="&amp;($C51+6),Data!$AG$4:$AG$375,"&gt;0"),""))</f>
        <v/>
      </c>
      <c r="O51" s="258">
        <f>IF($C51&gt;$AN$1,"",IFERROR(AVERAGEIFS(Data!$AH$4:$AH$375,Data!$A$4:$A$375,"&gt;="&amp;$C51,Data!$A$4:$A$375,"&lt;="&amp;($C51+6),Data!$AH$4:$AH$375,"&gt;0"),""))</f>
        <v/>
      </c>
      <c r="P51" s="262">
        <f>IF($C51&gt;$AN$1,"",IFERROR(AVERAGEIFS(Data!$AK$4:$AK$375,Data!$A$4:$A$375,"&gt;="&amp;$C51,Data!$A$4:$A$375,"&lt;="&amp;($C51+6),Data!$AK$4:$AK$375,"&gt;0"),""))</f>
        <v/>
      </c>
      <c r="Q51" s="262">
        <f>IF($C51&gt;$AN$1,"",IFERROR(AVERAGEIFS(Data!$AL$4:$AL$375,Data!$A$4:$A$375,"&gt;="&amp;$C51,Data!$A$4:$A$375,"&lt;="&amp;($C51+6),Data!$AL$4:$AL$375,"&gt;0"),""))</f>
        <v/>
      </c>
      <c r="R51" s="262">
        <f>IF($C51&gt;$AN$1,"",IFERROR(AVERAGEIFS(Data!$AM$4:$AM$375,Data!$A$4:$A$375,"&gt;="&amp;$C51,Data!$A$4:$A$375,"&lt;="&amp;($C51+6),Data!$AM$4:$AM$375,"&gt;0"),""))</f>
        <v/>
      </c>
      <c r="S51" s="258">
        <f>IF($C51&gt;$AN$1,"",SUMIFS(Data!$G$4:$G$375,Data!$A$4:$A$375,"&gt;="&amp;$C51,Data!$A$4:$A$375,"&lt;="&amp;($C51+6)))</f>
        <v/>
      </c>
      <c r="T51" s="258">
        <f>IF($C51&gt;$AN$1,"",SUMIFS(Data!$Z$4:$Z$375,Data!$A$4:$A$375,"&gt;="&amp;$C51,Data!$A$4:$A$375,"&lt;="&amp;($C51+6)))</f>
        <v/>
      </c>
      <c r="U51" s="258">
        <f>IF($C51&gt;$AN$1,"",SUMIFS(Data!$X$4:$X$375,Data!$A$4:$A$375,"&gt;="&amp;$C51,Data!$A$4:$A$375,"&lt;="&amp;($C51+6)))</f>
        <v/>
      </c>
      <c r="V51" s="258">
        <f>IF($C51&gt;$AN$1,"",SUMIFS(Data!$W$4:$W$375,Data!$A$4:$A$375,"&gt;="&amp;$C51,Data!$A$4:$A$375,"&lt;="&amp;($C51+6)))</f>
        <v/>
      </c>
      <c r="W51" s="258">
        <f>IF($C51&gt;$AN$1,"",SUMIFS(Data!$Y$4:$Y$375,Data!$A$4:$A$375,"&gt;="&amp;$C51,Data!$A$4:$A$375,"&lt;="&amp;($C51+6)))</f>
        <v/>
      </c>
      <c r="X51" s="258">
        <f>IF($C51&gt;$AN$1,"",SUMIFS(Data!$AA$4:$AA$375,Data!$A$4:$A$375,"&gt;="&amp;$C51,Data!$A$4:$A$375,"&lt;="&amp;($C51+6)))</f>
        <v/>
      </c>
      <c r="Y51" s="258">
        <f>IF($C51&gt;$AN$1,"",SUMIFS(Data!$T$4:$T$375,Data!$A$4:$A$375,"&gt;="&amp;$C51,Data!$A$4:$A$375,"&lt;="&amp;($C51+6)))</f>
        <v/>
      </c>
      <c r="Z51" s="258">
        <f>IF($C51&gt;$AN$1,"",IF(NOT(ISNUMBER(D51)),"",ROUND(100*(0.3*IF(ISNUMBER(P51),MIN(1,P51/SleepTarget),0.7)+0.2*IF(ISNUMBER(Q51),Q51/10,0.7)+0.2*IF(ISNUMBER(R51),(10-R51)/9,0.7)+0.15*IF(I51&lt;7,1,0)+0.15*IF(ISNUMBER(J51),MIN(1,J51/0.5),0.5)),0)))</f>
        <v/>
      </c>
      <c r="AA51" s="91" t="n"/>
      <c r="AB51" s="91" t="n"/>
      <c r="AC51" s="267" t="n"/>
      <c r="AD51" s="267" t="n"/>
      <c r="AE51" s="267" t="n"/>
      <c r="AF51" s="267" t="n"/>
      <c r="AG51" s="267" t="n"/>
      <c r="AH51" s="267" t="n"/>
      <c r="AI51" s="91" t="n"/>
      <c r="AJ51" s="1" t="n"/>
      <c r="AK51" s="1" t="n"/>
    </row>
    <row r="52" ht="20" customHeight="1">
      <c r="A52" s="1" t="n"/>
      <c r="B52" s="247" t="n">
        <v>45</v>
      </c>
      <c r="C52" s="248">
        <f>DATE(2026,9,28)+308</f>
        <v/>
      </c>
      <c r="D52" s="249">
        <f>IF($C52&gt;$AN$1,"",IFERROR(AVERAGEIFS(Data!$BF$4:$BF$375,Data!$A$4:$A$375,"&gt;="&amp;$C52,Data!$A$4:$A$375,"&lt;="&amp;($C52+6)),""))</f>
        <v/>
      </c>
      <c r="E52" s="250">
        <f>IF($C52&gt;$AN$1,"",IF(NOT(ISNUMBER(D52)),"—",IF(D52&gt;=Band1,"GREEN",IF(D52&gt;=Band2,"GOOD",IF(D52&gt;=Band3,"NEEDS ATTENTION","RESET")))))</f>
        <v/>
      </c>
      <c r="F52" s="251">
        <f>IF($C52&gt;$AN$1,"",IFERROR(AVERAGEIFS(Data!$AF$4:$AF$375,Data!$A$4:$A$375,"&gt;="&amp;$C52,Data!$A$4:$A$375,"&lt;="&amp;($C52+6),Data!$AF$4:$AF$375,"&gt;0"),""))</f>
        <v/>
      </c>
      <c r="G52" s="252">
        <f>IF($C52&gt;$AN$1,"",IF(AND(ISNUMBER(F52),ISNUMBER(F51)),F52-F51,""))</f>
        <v/>
      </c>
      <c r="H52" s="253">
        <f>IF($C52&gt;$AN$1,"",IF(NOT(ISNUMBER(G52)),"",IF(-G52&gt;LossMaxPct*F52,"too fast",IF(-G52&gt;=LossMin,IF(-G52&lt;=LossMax,"on target","fast end"),IF(-G52&gt;0,"slow","flat / up")))))</f>
        <v/>
      </c>
      <c r="I52" s="247">
        <f>IF($C52&gt;$AN$1,"",SUMIFS(Data!$O$4:$O$375,Data!$A$4:$A$375,"&gt;="&amp;$C52,Data!$A$4:$A$375,"&lt;="&amp;($C52+6)))</f>
        <v/>
      </c>
      <c r="J52" s="254">
        <f>IF($C52&gt;$AN$1,"",IF(I52=0,"",MIN(1,SUMIFS(Data!$P$4:$P$375,Data!$A$4:$A$375,"&gt;="&amp;$C52,Data!$A$4:$A$375,"&lt;="&amp;($C52+6))/I52)))</f>
        <v/>
      </c>
      <c r="K52" s="247">
        <f>IF($C52&gt;$AN$1,"",SUMIFS(Data!$Q$4:$Q$375,Data!$A$4:$A$375,"&gt;="&amp;$C52,Data!$A$4:$A$375,"&lt;="&amp;($C52+6)))</f>
        <v/>
      </c>
      <c r="L52" s="247">
        <f>IF($C52&gt;$AN$1,"",SUMIFS(Data!$R$4:$R$375,Data!$A$4:$A$375,"&gt;="&amp;$C52,Data!$A$4:$A$375,"&lt;="&amp;($C52+6)))</f>
        <v/>
      </c>
      <c r="M52" s="247">
        <f>IF($C52&gt;$AN$1,"",SUMIFS(Data!$S$4:$S$375,Data!$A$4:$A$375,"&gt;="&amp;$C52,Data!$A$4:$A$375,"&lt;="&amp;($C52+6))+SUMIFS(Data!$AC$4:$AC$375,Data!$A$4:$A$375,"&gt;="&amp;$C52,Data!$A$4:$A$375,"&lt;="&amp;($C52+6)))</f>
        <v/>
      </c>
      <c r="N52" s="255">
        <f>IF($C52&gt;$AN$1,"",IFERROR(AVERAGEIFS(Data!$AG$4:$AG$375,Data!$A$4:$A$375,"&gt;="&amp;$C52,Data!$A$4:$A$375,"&lt;="&amp;($C52+6),Data!$AG$4:$AG$375,"&gt;0"),""))</f>
        <v/>
      </c>
      <c r="O52" s="247">
        <f>IF($C52&gt;$AN$1,"",IFERROR(AVERAGEIFS(Data!$AH$4:$AH$375,Data!$A$4:$A$375,"&gt;="&amp;$C52,Data!$A$4:$A$375,"&lt;="&amp;($C52+6),Data!$AH$4:$AH$375,"&gt;0"),""))</f>
        <v/>
      </c>
      <c r="P52" s="251">
        <f>IF($C52&gt;$AN$1,"",IFERROR(AVERAGEIFS(Data!$AK$4:$AK$375,Data!$A$4:$A$375,"&gt;="&amp;$C52,Data!$A$4:$A$375,"&lt;="&amp;($C52+6),Data!$AK$4:$AK$375,"&gt;0"),""))</f>
        <v/>
      </c>
      <c r="Q52" s="251">
        <f>IF($C52&gt;$AN$1,"",IFERROR(AVERAGEIFS(Data!$AL$4:$AL$375,Data!$A$4:$A$375,"&gt;="&amp;$C52,Data!$A$4:$A$375,"&lt;="&amp;($C52+6),Data!$AL$4:$AL$375,"&gt;0"),""))</f>
        <v/>
      </c>
      <c r="R52" s="251">
        <f>IF($C52&gt;$AN$1,"",IFERROR(AVERAGEIFS(Data!$AM$4:$AM$375,Data!$A$4:$A$375,"&gt;="&amp;$C52,Data!$A$4:$A$375,"&lt;="&amp;($C52+6),Data!$AM$4:$AM$375,"&gt;0"),""))</f>
        <v/>
      </c>
      <c r="S52" s="247">
        <f>IF($C52&gt;$AN$1,"",SUMIFS(Data!$G$4:$G$375,Data!$A$4:$A$375,"&gt;="&amp;$C52,Data!$A$4:$A$375,"&lt;="&amp;($C52+6)))</f>
        <v/>
      </c>
      <c r="T52" s="247">
        <f>IF($C52&gt;$AN$1,"",SUMIFS(Data!$Z$4:$Z$375,Data!$A$4:$A$375,"&gt;="&amp;$C52,Data!$A$4:$A$375,"&lt;="&amp;($C52+6)))</f>
        <v/>
      </c>
      <c r="U52" s="247">
        <f>IF($C52&gt;$AN$1,"",SUMIFS(Data!$X$4:$X$375,Data!$A$4:$A$375,"&gt;="&amp;$C52,Data!$A$4:$A$375,"&lt;="&amp;($C52+6)))</f>
        <v/>
      </c>
      <c r="V52" s="247">
        <f>IF($C52&gt;$AN$1,"",SUMIFS(Data!$W$4:$W$375,Data!$A$4:$A$375,"&gt;="&amp;$C52,Data!$A$4:$A$375,"&lt;="&amp;($C52+6)))</f>
        <v/>
      </c>
      <c r="W52" s="247">
        <f>IF($C52&gt;$AN$1,"",SUMIFS(Data!$Y$4:$Y$375,Data!$A$4:$A$375,"&gt;="&amp;$C52,Data!$A$4:$A$375,"&lt;="&amp;($C52+6)))</f>
        <v/>
      </c>
      <c r="X52" s="247">
        <f>IF($C52&gt;$AN$1,"",SUMIFS(Data!$AA$4:$AA$375,Data!$A$4:$A$375,"&gt;="&amp;$C52,Data!$A$4:$A$375,"&lt;="&amp;($C52+6)))</f>
        <v/>
      </c>
      <c r="Y52" s="247">
        <f>IF($C52&gt;$AN$1,"",SUMIFS(Data!$T$4:$T$375,Data!$A$4:$A$375,"&gt;="&amp;$C52,Data!$A$4:$A$375,"&lt;="&amp;($C52+6)))</f>
        <v/>
      </c>
      <c r="Z52" s="247">
        <f>IF($C52&gt;$AN$1,"",IF(NOT(ISNUMBER(D52)),"",ROUND(100*(0.3*IF(ISNUMBER(P52),MIN(1,P52/SleepTarget),0.7)+0.2*IF(ISNUMBER(Q52),Q52/10,0.7)+0.2*IF(ISNUMBER(R52),(10-R52)/9,0.7)+0.15*IF(I52&lt;7,1,0)+0.15*IF(ISNUMBER(J52),MIN(1,J52/0.5),0.5)),0)))</f>
        <v/>
      </c>
      <c r="AA52" s="256" t="n"/>
      <c r="AB52" s="256" t="n"/>
      <c r="AC52" s="257" t="n"/>
      <c r="AD52" s="257" t="n"/>
      <c r="AE52" s="257" t="n"/>
      <c r="AF52" s="257" t="n"/>
      <c r="AG52" s="257" t="n"/>
      <c r="AH52" s="257" t="n"/>
      <c r="AI52" s="256" t="n"/>
      <c r="AJ52" s="1" t="n"/>
      <c r="AK52" s="1" t="n"/>
    </row>
    <row r="53" ht="20" customHeight="1">
      <c r="A53" s="1" t="n"/>
      <c r="B53" s="258" t="n">
        <v>46</v>
      </c>
      <c r="C53" s="259">
        <f>DATE(2026,9,28)+315</f>
        <v/>
      </c>
      <c r="D53" s="260">
        <f>IF($C53&gt;$AN$1,"",IFERROR(AVERAGEIFS(Data!$BF$4:$BF$375,Data!$A$4:$A$375,"&gt;="&amp;$C53,Data!$A$4:$A$375,"&lt;="&amp;($C53+6)),""))</f>
        <v/>
      </c>
      <c r="E53" s="261">
        <f>IF($C53&gt;$AN$1,"",IF(NOT(ISNUMBER(D53)),"—",IF(D53&gt;=Band1,"GREEN",IF(D53&gt;=Band2,"GOOD",IF(D53&gt;=Band3,"NEEDS ATTENTION","RESET")))))</f>
        <v/>
      </c>
      <c r="F53" s="262">
        <f>IF($C53&gt;$AN$1,"",IFERROR(AVERAGEIFS(Data!$AF$4:$AF$375,Data!$A$4:$A$375,"&gt;="&amp;$C53,Data!$A$4:$A$375,"&lt;="&amp;($C53+6),Data!$AF$4:$AF$375,"&gt;0"),""))</f>
        <v/>
      </c>
      <c r="G53" s="263">
        <f>IF($C53&gt;$AN$1,"",IF(AND(ISNUMBER(F53),ISNUMBER(F52)),F53-F52,""))</f>
        <v/>
      </c>
      <c r="H53" s="264">
        <f>IF($C53&gt;$AN$1,"",IF(NOT(ISNUMBER(G53)),"",IF(-G53&gt;LossMaxPct*F53,"too fast",IF(-G53&gt;=LossMin,IF(-G53&lt;=LossMax,"on target","fast end"),IF(-G53&gt;0,"slow","flat / up")))))</f>
        <v/>
      </c>
      <c r="I53" s="258">
        <f>IF($C53&gt;$AN$1,"",SUMIFS(Data!$O$4:$O$375,Data!$A$4:$A$375,"&gt;="&amp;$C53,Data!$A$4:$A$375,"&lt;="&amp;($C53+6)))</f>
        <v/>
      </c>
      <c r="J53" s="265">
        <f>IF($C53&gt;$AN$1,"",IF(I53=0,"",MIN(1,SUMIFS(Data!$P$4:$P$375,Data!$A$4:$A$375,"&gt;="&amp;$C53,Data!$A$4:$A$375,"&lt;="&amp;($C53+6))/I53)))</f>
        <v/>
      </c>
      <c r="K53" s="258">
        <f>IF($C53&gt;$AN$1,"",SUMIFS(Data!$Q$4:$Q$375,Data!$A$4:$A$375,"&gt;="&amp;$C53,Data!$A$4:$A$375,"&lt;="&amp;($C53+6)))</f>
        <v/>
      </c>
      <c r="L53" s="258">
        <f>IF($C53&gt;$AN$1,"",SUMIFS(Data!$R$4:$R$375,Data!$A$4:$A$375,"&gt;="&amp;$C53,Data!$A$4:$A$375,"&lt;="&amp;($C53+6)))</f>
        <v/>
      </c>
      <c r="M53" s="258">
        <f>IF($C53&gt;$AN$1,"",SUMIFS(Data!$S$4:$S$375,Data!$A$4:$A$375,"&gt;="&amp;$C53,Data!$A$4:$A$375,"&lt;="&amp;($C53+6))+SUMIFS(Data!$AC$4:$AC$375,Data!$A$4:$A$375,"&gt;="&amp;$C53,Data!$A$4:$A$375,"&lt;="&amp;($C53+6)))</f>
        <v/>
      </c>
      <c r="N53" s="266">
        <f>IF($C53&gt;$AN$1,"",IFERROR(AVERAGEIFS(Data!$AG$4:$AG$375,Data!$A$4:$A$375,"&gt;="&amp;$C53,Data!$A$4:$A$375,"&lt;="&amp;($C53+6),Data!$AG$4:$AG$375,"&gt;0"),""))</f>
        <v/>
      </c>
      <c r="O53" s="258">
        <f>IF($C53&gt;$AN$1,"",IFERROR(AVERAGEIFS(Data!$AH$4:$AH$375,Data!$A$4:$A$375,"&gt;="&amp;$C53,Data!$A$4:$A$375,"&lt;="&amp;($C53+6),Data!$AH$4:$AH$375,"&gt;0"),""))</f>
        <v/>
      </c>
      <c r="P53" s="262">
        <f>IF($C53&gt;$AN$1,"",IFERROR(AVERAGEIFS(Data!$AK$4:$AK$375,Data!$A$4:$A$375,"&gt;="&amp;$C53,Data!$A$4:$A$375,"&lt;="&amp;($C53+6),Data!$AK$4:$AK$375,"&gt;0"),""))</f>
        <v/>
      </c>
      <c r="Q53" s="262">
        <f>IF($C53&gt;$AN$1,"",IFERROR(AVERAGEIFS(Data!$AL$4:$AL$375,Data!$A$4:$A$375,"&gt;="&amp;$C53,Data!$A$4:$A$375,"&lt;="&amp;($C53+6),Data!$AL$4:$AL$375,"&gt;0"),""))</f>
        <v/>
      </c>
      <c r="R53" s="262">
        <f>IF($C53&gt;$AN$1,"",IFERROR(AVERAGEIFS(Data!$AM$4:$AM$375,Data!$A$4:$A$375,"&gt;="&amp;$C53,Data!$A$4:$A$375,"&lt;="&amp;($C53+6),Data!$AM$4:$AM$375,"&gt;0"),""))</f>
        <v/>
      </c>
      <c r="S53" s="258">
        <f>IF($C53&gt;$AN$1,"",SUMIFS(Data!$G$4:$G$375,Data!$A$4:$A$375,"&gt;="&amp;$C53,Data!$A$4:$A$375,"&lt;="&amp;($C53+6)))</f>
        <v/>
      </c>
      <c r="T53" s="258">
        <f>IF($C53&gt;$AN$1,"",SUMIFS(Data!$Z$4:$Z$375,Data!$A$4:$A$375,"&gt;="&amp;$C53,Data!$A$4:$A$375,"&lt;="&amp;($C53+6)))</f>
        <v/>
      </c>
      <c r="U53" s="258">
        <f>IF($C53&gt;$AN$1,"",SUMIFS(Data!$X$4:$X$375,Data!$A$4:$A$375,"&gt;="&amp;$C53,Data!$A$4:$A$375,"&lt;="&amp;($C53+6)))</f>
        <v/>
      </c>
      <c r="V53" s="258">
        <f>IF($C53&gt;$AN$1,"",SUMIFS(Data!$W$4:$W$375,Data!$A$4:$A$375,"&gt;="&amp;$C53,Data!$A$4:$A$375,"&lt;="&amp;($C53+6)))</f>
        <v/>
      </c>
      <c r="W53" s="258">
        <f>IF($C53&gt;$AN$1,"",SUMIFS(Data!$Y$4:$Y$375,Data!$A$4:$A$375,"&gt;="&amp;$C53,Data!$A$4:$A$375,"&lt;="&amp;($C53+6)))</f>
        <v/>
      </c>
      <c r="X53" s="258">
        <f>IF($C53&gt;$AN$1,"",SUMIFS(Data!$AA$4:$AA$375,Data!$A$4:$A$375,"&gt;="&amp;$C53,Data!$A$4:$A$375,"&lt;="&amp;($C53+6)))</f>
        <v/>
      </c>
      <c r="Y53" s="258">
        <f>IF($C53&gt;$AN$1,"",SUMIFS(Data!$T$4:$T$375,Data!$A$4:$A$375,"&gt;="&amp;$C53,Data!$A$4:$A$375,"&lt;="&amp;($C53+6)))</f>
        <v/>
      </c>
      <c r="Z53" s="258">
        <f>IF($C53&gt;$AN$1,"",IF(NOT(ISNUMBER(D53)),"",ROUND(100*(0.3*IF(ISNUMBER(P53),MIN(1,P53/SleepTarget),0.7)+0.2*IF(ISNUMBER(Q53),Q53/10,0.7)+0.2*IF(ISNUMBER(R53),(10-R53)/9,0.7)+0.15*IF(I53&lt;7,1,0)+0.15*IF(ISNUMBER(J53),MIN(1,J53/0.5),0.5)),0)))</f>
        <v/>
      </c>
      <c r="AA53" s="91" t="n"/>
      <c r="AB53" s="91" t="n"/>
      <c r="AC53" s="267" t="n"/>
      <c r="AD53" s="267" t="n"/>
      <c r="AE53" s="267" t="n"/>
      <c r="AF53" s="267" t="n"/>
      <c r="AG53" s="267" t="n"/>
      <c r="AH53" s="267" t="n"/>
      <c r="AI53" s="91" t="n"/>
      <c r="AJ53" s="1" t="n"/>
      <c r="AK53" s="1" t="n"/>
    </row>
    <row r="54" ht="20" customHeight="1">
      <c r="A54" s="1" t="n"/>
      <c r="B54" s="247" t="n">
        <v>47</v>
      </c>
      <c r="C54" s="248">
        <f>DATE(2026,9,28)+322</f>
        <v/>
      </c>
      <c r="D54" s="249">
        <f>IF($C54&gt;$AN$1,"",IFERROR(AVERAGEIFS(Data!$BF$4:$BF$375,Data!$A$4:$A$375,"&gt;="&amp;$C54,Data!$A$4:$A$375,"&lt;="&amp;($C54+6)),""))</f>
        <v/>
      </c>
      <c r="E54" s="250">
        <f>IF($C54&gt;$AN$1,"",IF(NOT(ISNUMBER(D54)),"—",IF(D54&gt;=Band1,"GREEN",IF(D54&gt;=Band2,"GOOD",IF(D54&gt;=Band3,"NEEDS ATTENTION","RESET")))))</f>
        <v/>
      </c>
      <c r="F54" s="251">
        <f>IF($C54&gt;$AN$1,"",IFERROR(AVERAGEIFS(Data!$AF$4:$AF$375,Data!$A$4:$A$375,"&gt;="&amp;$C54,Data!$A$4:$A$375,"&lt;="&amp;($C54+6),Data!$AF$4:$AF$375,"&gt;0"),""))</f>
        <v/>
      </c>
      <c r="G54" s="252">
        <f>IF($C54&gt;$AN$1,"",IF(AND(ISNUMBER(F54),ISNUMBER(F53)),F54-F53,""))</f>
        <v/>
      </c>
      <c r="H54" s="253">
        <f>IF($C54&gt;$AN$1,"",IF(NOT(ISNUMBER(G54)),"",IF(-G54&gt;LossMaxPct*F54,"too fast",IF(-G54&gt;=LossMin,IF(-G54&lt;=LossMax,"on target","fast end"),IF(-G54&gt;0,"slow","flat / up")))))</f>
        <v/>
      </c>
      <c r="I54" s="247">
        <f>IF($C54&gt;$AN$1,"",SUMIFS(Data!$O$4:$O$375,Data!$A$4:$A$375,"&gt;="&amp;$C54,Data!$A$4:$A$375,"&lt;="&amp;($C54+6)))</f>
        <v/>
      </c>
      <c r="J54" s="254">
        <f>IF($C54&gt;$AN$1,"",IF(I54=0,"",MIN(1,SUMIFS(Data!$P$4:$P$375,Data!$A$4:$A$375,"&gt;="&amp;$C54,Data!$A$4:$A$375,"&lt;="&amp;($C54+6))/I54)))</f>
        <v/>
      </c>
      <c r="K54" s="247">
        <f>IF($C54&gt;$AN$1,"",SUMIFS(Data!$Q$4:$Q$375,Data!$A$4:$A$375,"&gt;="&amp;$C54,Data!$A$4:$A$375,"&lt;="&amp;($C54+6)))</f>
        <v/>
      </c>
      <c r="L54" s="247">
        <f>IF($C54&gt;$AN$1,"",SUMIFS(Data!$R$4:$R$375,Data!$A$4:$A$375,"&gt;="&amp;$C54,Data!$A$4:$A$375,"&lt;="&amp;($C54+6)))</f>
        <v/>
      </c>
      <c r="M54" s="247">
        <f>IF($C54&gt;$AN$1,"",SUMIFS(Data!$S$4:$S$375,Data!$A$4:$A$375,"&gt;="&amp;$C54,Data!$A$4:$A$375,"&lt;="&amp;($C54+6))+SUMIFS(Data!$AC$4:$AC$375,Data!$A$4:$A$375,"&gt;="&amp;$C54,Data!$A$4:$A$375,"&lt;="&amp;($C54+6)))</f>
        <v/>
      </c>
      <c r="N54" s="255">
        <f>IF($C54&gt;$AN$1,"",IFERROR(AVERAGEIFS(Data!$AG$4:$AG$375,Data!$A$4:$A$375,"&gt;="&amp;$C54,Data!$A$4:$A$375,"&lt;="&amp;($C54+6),Data!$AG$4:$AG$375,"&gt;0"),""))</f>
        <v/>
      </c>
      <c r="O54" s="247">
        <f>IF($C54&gt;$AN$1,"",IFERROR(AVERAGEIFS(Data!$AH$4:$AH$375,Data!$A$4:$A$375,"&gt;="&amp;$C54,Data!$A$4:$A$375,"&lt;="&amp;($C54+6),Data!$AH$4:$AH$375,"&gt;0"),""))</f>
        <v/>
      </c>
      <c r="P54" s="251">
        <f>IF($C54&gt;$AN$1,"",IFERROR(AVERAGEIFS(Data!$AK$4:$AK$375,Data!$A$4:$A$375,"&gt;="&amp;$C54,Data!$A$4:$A$375,"&lt;="&amp;($C54+6),Data!$AK$4:$AK$375,"&gt;0"),""))</f>
        <v/>
      </c>
      <c r="Q54" s="251">
        <f>IF($C54&gt;$AN$1,"",IFERROR(AVERAGEIFS(Data!$AL$4:$AL$375,Data!$A$4:$A$375,"&gt;="&amp;$C54,Data!$A$4:$A$375,"&lt;="&amp;($C54+6),Data!$AL$4:$AL$375,"&gt;0"),""))</f>
        <v/>
      </c>
      <c r="R54" s="251">
        <f>IF($C54&gt;$AN$1,"",IFERROR(AVERAGEIFS(Data!$AM$4:$AM$375,Data!$A$4:$A$375,"&gt;="&amp;$C54,Data!$A$4:$A$375,"&lt;="&amp;($C54+6),Data!$AM$4:$AM$375,"&gt;0"),""))</f>
        <v/>
      </c>
      <c r="S54" s="247">
        <f>IF($C54&gt;$AN$1,"",SUMIFS(Data!$G$4:$G$375,Data!$A$4:$A$375,"&gt;="&amp;$C54,Data!$A$4:$A$375,"&lt;="&amp;($C54+6)))</f>
        <v/>
      </c>
      <c r="T54" s="247">
        <f>IF($C54&gt;$AN$1,"",SUMIFS(Data!$Z$4:$Z$375,Data!$A$4:$A$375,"&gt;="&amp;$C54,Data!$A$4:$A$375,"&lt;="&amp;($C54+6)))</f>
        <v/>
      </c>
      <c r="U54" s="247">
        <f>IF($C54&gt;$AN$1,"",SUMIFS(Data!$X$4:$X$375,Data!$A$4:$A$375,"&gt;="&amp;$C54,Data!$A$4:$A$375,"&lt;="&amp;($C54+6)))</f>
        <v/>
      </c>
      <c r="V54" s="247">
        <f>IF($C54&gt;$AN$1,"",SUMIFS(Data!$W$4:$W$375,Data!$A$4:$A$375,"&gt;="&amp;$C54,Data!$A$4:$A$375,"&lt;="&amp;($C54+6)))</f>
        <v/>
      </c>
      <c r="W54" s="247">
        <f>IF($C54&gt;$AN$1,"",SUMIFS(Data!$Y$4:$Y$375,Data!$A$4:$A$375,"&gt;="&amp;$C54,Data!$A$4:$A$375,"&lt;="&amp;($C54+6)))</f>
        <v/>
      </c>
      <c r="X54" s="247">
        <f>IF($C54&gt;$AN$1,"",SUMIFS(Data!$AA$4:$AA$375,Data!$A$4:$A$375,"&gt;="&amp;$C54,Data!$A$4:$A$375,"&lt;="&amp;($C54+6)))</f>
        <v/>
      </c>
      <c r="Y54" s="247">
        <f>IF($C54&gt;$AN$1,"",SUMIFS(Data!$T$4:$T$375,Data!$A$4:$A$375,"&gt;="&amp;$C54,Data!$A$4:$A$375,"&lt;="&amp;($C54+6)))</f>
        <v/>
      </c>
      <c r="Z54" s="247">
        <f>IF($C54&gt;$AN$1,"",IF(NOT(ISNUMBER(D54)),"",ROUND(100*(0.3*IF(ISNUMBER(P54),MIN(1,P54/SleepTarget),0.7)+0.2*IF(ISNUMBER(Q54),Q54/10,0.7)+0.2*IF(ISNUMBER(R54),(10-R54)/9,0.7)+0.15*IF(I54&lt;7,1,0)+0.15*IF(ISNUMBER(J54),MIN(1,J54/0.5),0.5)),0)))</f>
        <v/>
      </c>
      <c r="AA54" s="256" t="n"/>
      <c r="AB54" s="256" t="n"/>
      <c r="AC54" s="257" t="n"/>
      <c r="AD54" s="257" t="n"/>
      <c r="AE54" s="257" t="n"/>
      <c r="AF54" s="257" t="n"/>
      <c r="AG54" s="257" t="n"/>
      <c r="AH54" s="257" t="n"/>
      <c r="AI54" s="256" t="n"/>
      <c r="AJ54" s="1" t="n"/>
      <c r="AK54" s="1" t="n"/>
    </row>
    <row r="55" ht="20" customHeight="1">
      <c r="A55" s="1" t="n"/>
      <c r="B55" s="258" t="n">
        <v>48</v>
      </c>
      <c r="C55" s="259">
        <f>DATE(2026,9,28)+329</f>
        <v/>
      </c>
      <c r="D55" s="260">
        <f>IF($C55&gt;$AN$1,"",IFERROR(AVERAGEIFS(Data!$BF$4:$BF$375,Data!$A$4:$A$375,"&gt;="&amp;$C55,Data!$A$4:$A$375,"&lt;="&amp;($C55+6)),""))</f>
        <v/>
      </c>
      <c r="E55" s="261">
        <f>IF($C55&gt;$AN$1,"",IF(NOT(ISNUMBER(D55)),"—",IF(D55&gt;=Band1,"GREEN",IF(D55&gt;=Band2,"GOOD",IF(D55&gt;=Band3,"NEEDS ATTENTION","RESET")))))</f>
        <v/>
      </c>
      <c r="F55" s="262">
        <f>IF($C55&gt;$AN$1,"",IFERROR(AVERAGEIFS(Data!$AF$4:$AF$375,Data!$A$4:$A$375,"&gt;="&amp;$C55,Data!$A$4:$A$375,"&lt;="&amp;($C55+6),Data!$AF$4:$AF$375,"&gt;0"),""))</f>
        <v/>
      </c>
      <c r="G55" s="263">
        <f>IF($C55&gt;$AN$1,"",IF(AND(ISNUMBER(F55),ISNUMBER(F54)),F55-F54,""))</f>
        <v/>
      </c>
      <c r="H55" s="264">
        <f>IF($C55&gt;$AN$1,"",IF(NOT(ISNUMBER(G55)),"",IF(-G55&gt;LossMaxPct*F55,"too fast",IF(-G55&gt;=LossMin,IF(-G55&lt;=LossMax,"on target","fast end"),IF(-G55&gt;0,"slow","flat / up")))))</f>
        <v/>
      </c>
      <c r="I55" s="258">
        <f>IF($C55&gt;$AN$1,"",SUMIFS(Data!$O$4:$O$375,Data!$A$4:$A$375,"&gt;="&amp;$C55,Data!$A$4:$A$375,"&lt;="&amp;($C55+6)))</f>
        <v/>
      </c>
      <c r="J55" s="265">
        <f>IF($C55&gt;$AN$1,"",IF(I55=0,"",MIN(1,SUMIFS(Data!$P$4:$P$375,Data!$A$4:$A$375,"&gt;="&amp;$C55,Data!$A$4:$A$375,"&lt;="&amp;($C55+6))/I55)))</f>
        <v/>
      </c>
      <c r="K55" s="258">
        <f>IF($C55&gt;$AN$1,"",SUMIFS(Data!$Q$4:$Q$375,Data!$A$4:$A$375,"&gt;="&amp;$C55,Data!$A$4:$A$375,"&lt;="&amp;($C55+6)))</f>
        <v/>
      </c>
      <c r="L55" s="258">
        <f>IF($C55&gt;$AN$1,"",SUMIFS(Data!$R$4:$R$375,Data!$A$4:$A$375,"&gt;="&amp;$C55,Data!$A$4:$A$375,"&lt;="&amp;($C55+6)))</f>
        <v/>
      </c>
      <c r="M55" s="258">
        <f>IF($C55&gt;$AN$1,"",SUMIFS(Data!$S$4:$S$375,Data!$A$4:$A$375,"&gt;="&amp;$C55,Data!$A$4:$A$375,"&lt;="&amp;($C55+6))+SUMIFS(Data!$AC$4:$AC$375,Data!$A$4:$A$375,"&gt;="&amp;$C55,Data!$A$4:$A$375,"&lt;="&amp;($C55+6)))</f>
        <v/>
      </c>
      <c r="N55" s="266">
        <f>IF($C55&gt;$AN$1,"",IFERROR(AVERAGEIFS(Data!$AG$4:$AG$375,Data!$A$4:$A$375,"&gt;="&amp;$C55,Data!$A$4:$A$375,"&lt;="&amp;($C55+6),Data!$AG$4:$AG$375,"&gt;0"),""))</f>
        <v/>
      </c>
      <c r="O55" s="258">
        <f>IF($C55&gt;$AN$1,"",IFERROR(AVERAGEIFS(Data!$AH$4:$AH$375,Data!$A$4:$A$375,"&gt;="&amp;$C55,Data!$A$4:$A$375,"&lt;="&amp;($C55+6),Data!$AH$4:$AH$375,"&gt;0"),""))</f>
        <v/>
      </c>
      <c r="P55" s="262">
        <f>IF($C55&gt;$AN$1,"",IFERROR(AVERAGEIFS(Data!$AK$4:$AK$375,Data!$A$4:$A$375,"&gt;="&amp;$C55,Data!$A$4:$A$375,"&lt;="&amp;($C55+6),Data!$AK$4:$AK$375,"&gt;0"),""))</f>
        <v/>
      </c>
      <c r="Q55" s="262">
        <f>IF($C55&gt;$AN$1,"",IFERROR(AVERAGEIFS(Data!$AL$4:$AL$375,Data!$A$4:$A$375,"&gt;="&amp;$C55,Data!$A$4:$A$375,"&lt;="&amp;($C55+6),Data!$AL$4:$AL$375,"&gt;0"),""))</f>
        <v/>
      </c>
      <c r="R55" s="262">
        <f>IF($C55&gt;$AN$1,"",IFERROR(AVERAGEIFS(Data!$AM$4:$AM$375,Data!$A$4:$A$375,"&gt;="&amp;$C55,Data!$A$4:$A$375,"&lt;="&amp;($C55+6),Data!$AM$4:$AM$375,"&gt;0"),""))</f>
        <v/>
      </c>
      <c r="S55" s="258">
        <f>IF($C55&gt;$AN$1,"",SUMIFS(Data!$G$4:$G$375,Data!$A$4:$A$375,"&gt;="&amp;$C55,Data!$A$4:$A$375,"&lt;="&amp;($C55+6)))</f>
        <v/>
      </c>
      <c r="T55" s="258">
        <f>IF($C55&gt;$AN$1,"",SUMIFS(Data!$Z$4:$Z$375,Data!$A$4:$A$375,"&gt;="&amp;$C55,Data!$A$4:$A$375,"&lt;="&amp;($C55+6)))</f>
        <v/>
      </c>
      <c r="U55" s="258">
        <f>IF($C55&gt;$AN$1,"",SUMIFS(Data!$X$4:$X$375,Data!$A$4:$A$375,"&gt;="&amp;$C55,Data!$A$4:$A$375,"&lt;="&amp;($C55+6)))</f>
        <v/>
      </c>
      <c r="V55" s="258">
        <f>IF($C55&gt;$AN$1,"",SUMIFS(Data!$W$4:$W$375,Data!$A$4:$A$375,"&gt;="&amp;$C55,Data!$A$4:$A$375,"&lt;="&amp;($C55+6)))</f>
        <v/>
      </c>
      <c r="W55" s="258">
        <f>IF($C55&gt;$AN$1,"",SUMIFS(Data!$Y$4:$Y$375,Data!$A$4:$A$375,"&gt;="&amp;$C55,Data!$A$4:$A$375,"&lt;="&amp;($C55+6)))</f>
        <v/>
      </c>
      <c r="X55" s="258">
        <f>IF($C55&gt;$AN$1,"",SUMIFS(Data!$AA$4:$AA$375,Data!$A$4:$A$375,"&gt;="&amp;$C55,Data!$A$4:$A$375,"&lt;="&amp;($C55+6)))</f>
        <v/>
      </c>
      <c r="Y55" s="258">
        <f>IF($C55&gt;$AN$1,"",SUMIFS(Data!$T$4:$T$375,Data!$A$4:$A$375,"&gt;="&amp;$C55,Data!$A$4:$A$375,"&lt;="&amp;($C55+6)))</f>
        <v/>
      </c>
      <c r="Z55" s="258">
        <f>IF($C55&gt;$AN$1,"",IF(NOT(ISNUMBER(D55)),"",ROUND(100*(0.3*IF(ISNUMBER(P55),MIN(1,P55/SleepTarget),0.7)+0.2*IF(ISNUMBER(Q55),Q55/10,0.7)+0.2*IF(ISNUMBER(R55),(10-R55)/9,0.7)+0.15*IF(I55&lt;7,1,0)+0.15*IF(ISNUMBER(J55),MIN(1,J55/0.5),0.5)),0)))</f>
        <v/>
      </c>
      <c r="AA55" s="91" t="n"/>
      <c r="AB55" s="91" t="n"/>
      <c r="AC55" s="267" t="n"/>
      <c r="AD55" s="267" t="n"/>
      <c r="AE55" s="267" t="n"/>
      <c r="AF55" s="267" t="n"/>
      <c r="AG55" s="267" t="n"/>
      <c r="AH55" s="267" t="n"/>
      <c r="AI55" s="91" t="n"/>
      <c r="AJ55" s="1" t="n"/>
      <c r="AK55" s="1" t="n"/>
    </row>
    <row r="56" ht="20" customHeight="1">
      <c r="A56" s="1" t="n"/>
      <c r="B56" s="247" t="n">
        <v>49</v>
      </c>
      <c r="C56" s="248">
        <f>DATE(2026,9,28)+336</f>
        <v/>
      </c>
      <c r="D56" s="249">
        <f>IF($C56&gt;$AN$1,"",IFERROR(AVERAGEIFS(Data!$BF$4:$BF$375,Data!$A$4:$A$375,"&gt;="&amp;$C56,Data!$A$4:$A$375,"&lt;="&amp;($C56+6)),""))</f>
        <v/>
      </c>
      <c r="E56" s="250">
        <f>IF($C56&gt;$AN$1,"",IF(NOT(ISNUMBER(D56)),"—",IF(D56&gt;=Band1,"GREEN",IF(D56&gt;=Band2,"GOOD",IF(D56&gt;=Band3,"NEEDS ATTENTION","RESET")))))</f>
        <v/>
      </c>
      <c r="F56" s="251">
        <f>IF($C56&gt;$AN$1,"",IFERROR(AVERAGEIFS(Data!$AF$4:$AF$375,Data!$A$4:$A$375,"&gt;="&amp;$C56,Data!$A$4:$A$375,"&lt;="&amp;($C56+6),Data!$AF$4:$AF$375,"&gt;0"),""))</f>
        <v/>
      </c>
      <c r="G56" s="252">
        <f>IF($C56&gt;$AN$1,"",IF(AND(ISNUMBER(F56),ISNUMBER(F55)),F56-F55,""))</f>
        <v/>
      </c>
      <c r="H56" s="253">
        <f>IF($C56&gt;$AN$1,"",IF(NOT(ISNUMBER(G56)),"",IF(-G56&gt;LossMaxPct*F56,"too fast",IF(-G56&gt;=LossMin,IF(-G56&lt;=LossMax,"on target","fast end"),IF(-G56&gt;0,"slow","flat / up")))))</f>
        <v/>
      </c>
      <c r="I56" s="247">
        <f>IF($C56&gt;$AN$1,"",SUMIFS(Data!$O$4:$O$375,Data!$A$4:$A$375,"&gt;="&amp;$C56,Data!$A$4:$A$375,"&lt;="&amp;($C56+6)))</f>
        <v/>
      </c>
      <c r="J56" s="254">
        <f>IF($C56&gt;$AN$1,"",IF(I56=0,"",MIN(1,SUMIFS(Data!$P$4:$P$375,Data!$A$4:$A$375,"&gt;="&amp;$C56,Data!$A$4:$A$375,"&lt;="&amp;($C56+6))/I56)))</f>
        <v/>
      </c>
      <c r="K56" s="247">
        <f>IF($C56&gt;$AN$1,"",SUMIFS(Data!$Q$4:$Q$375,Data!$A$4:$A$375,"&gt;="&amp;$C56,Data!$A$4:$A$375,"&lt;="&amp;($C56+6)))</f>
        <v/>
      </c>
      <c r="L56" s="247">
        <f>IF($C56&gt;$AN$1,"",SUMIFS(Data!$R$4:$R$375,Data!$A$4:$A$375,"&gt;="&amp;$C56,Data!$A$4:$A$375,"&lt;="&amp;($C56+6)))</f>
        <v/>
      </c>
      <c r="M56" s="247">
        <f>IF($C56&gt;$AN$1,"",SUMIFS(Data!$S$4:$S$375,Data!$A$4:$A$375,"&gt;="&amp;$C56,Data!$A$4:$A$375,"&lt;="&amp;($C56+6))+SUMIFS(Data!$AC$4:$AC$375,Data!$A$4:$A$375,"&gt;="&amp;$C56,Data!$A$4:$A$375,"&lt;="&amp;($C56+6)))</f>
        <v/>
      </c>
      <c r="N56" s="255">
        <f>IF($C56&gt;$AN$1,"",IFERROR(AVERAGEIFS(Data!$AG$4:$AG$375,Data!$A$4:$A$375,"&gt;="&amp;$C56,Data!$A$4:$A$375,"&lt;="&amp;($C56+6),Data!$AG$4:$AG$375,"&gt;0"),""))</f>
        <v/>
      </c>
      <c r="O56" s="247">
        <f>IF($C56&gt;$AN$1,"",IFERROR(AVERAGEIFS(Data!$AH$4:$AH$375,Data!$A$4:$A$375,"&gt;="&amp;$C56,Data!$A$4:$A$375,"&lt;="&amp;($C56+6),Data!$AH$4:$AH$375,"&gt;0"),""))</f>
        <v/>
      </c>
      <c r="P56" s="251">
        <f>IF($C56&gt;$AN$1,"",IFERROR(AVERAGEIFS(Data!$AK$4:$AK$375,Data!$A$4:$A$375,"&gt;="&amp;$C56,Data!$A$4:$A$375,"&lt;="&amp;($C56+6),Data!$AK$4:$AK$375,"&gt;0"),""))</f>
        <v/>
      </c>
      <c r="Q56" s="251">
        <f>IF($C56&gt;$AN$1,"",IFERROR(AVERAGEIFS(Data!$AL$4:$AL$375,Data!$A$4:$A$375,"&gt;="&amp;$C56,Data!$A$4:$A$375,"&lt;="&amp;($C56+6),Data!$AL$4:$AL$375,"&gt;0"),""))</f>
        <v/>
      </c>
      <c r="R56" s="251">
        <f>IF($C56&gt;$AN$1,"",IFERROR(AVERAGEIFS(Data!$AM$4:$AM$375,Data!$A$4:$A$375,"&gt;="&amp;$C56,Data!$A$4:$A$375,"&lt;="&amp;($C56+6),Data!$AM$4:$AM$375,"&gt;0"),""))</f>
        <v/>
      </c>
      <c r="S56" s="247">
        <f>IF($C56&gt;$AN$1,"",SUMIFS(Data!$G$4:$G$375,Data!$A$4:$A$375,"&gt;="&amp;$C56,Data!$A$4:$A$375,"&lt;="&amp;($C56+6)))</f>
        <v/>
      </c>
      <c r="T56" s="247">
        <f>IF($C56&gt;$AN$1,"",SUMIFS(Data!$Z$4:$Z$375,Data!$A$4:$A$375,"&gt;="&amp;$C56,Data!$A$4:$A$375,"&lt;="&amp;($C56+6)))</f>
        <v/>
      </c>
      <c r="U56" s="247">
        <f>IF($C56&gt;$AN$1,"",SUMIFS(Data!$X$4:$X$375,Data!$A$4:$A$375,"&gt;="&amp;$C56,Data!$A$4:$A$375,"&lt;="&amp;($C56+6)))</f>
        <v/>
      </c>
      <c r="V56" s="247">
        <f>IF($C56&gt;$AN$1,"",SUMIFS(Data!$W$4:$W$375,Data!$A$4:$A$375,"&gt;="&amp;$C56,Data!$A$4:$A$375,"&lt;="&amp;($C56+6)))</f>
        <v/>
      </c>
      <c r="W56" s="247">
        <f>IF($C56&gt;$AN$1,"",SUMIFS(Data!$Y$4:$Y$375,Data!$A$4:$A$375,"&gt;="&amp;$C56,Data!$A$4:$A$375,"&lt;="&amp;($C56+6)))</f>
        <v/>
      </c>
      <c r="X56" s="247">
        <f>IF($C56&gt;$AN$1,"",SUMIFS(Data!$AA$4:$AA$375,Data!$A$4:$A$375,"&gt;="&amp;$C56,Data!$A$4:$A$375,"&lt;="&amp;($C56+6)))</f>
        <v/>
      </c>
      <c r="Y56" s="247">
        <f>IF($C56&gt;$AN$1,"",SUMIFS(Data!$T$4:$T$375,Data!$A$4:$A$375,"&gt;="&amp;$C56,Data!$A$4:$A$375,"&lt;="&amp;($C56+6)))</f>
        <v/>
      </c>
      <c r="Z56" s="247">
        <f>IF($C56&gt;$AN$1,"",IF(NOT(ISNUMBER(D56)),"",ROUND(100*(0.3*IF(ISNUMBER(P56),MIN(1,P56/SleepTarget),0.7)+0.2*IF(ISNUMBER(Q56),Q56/10,0.7)+0.2*IF(ISNUMBER(R56),(10-R56)/9,0.7)+0.15*IF(I56&lt;7,1,0)+0.15*IF(ISNUMBER(J56),MIN(1,J56/0.5),0.5)),0)))</f>
        <v/>
      </c>
      <c r="AA56" s="256" t="n"/>
      <c r="AB56" s="256" t="n"/>
      <c r="AC56" s="257" t="n"/>
      <c r="AD56" s="257" t="n"/>
      <c r="AE56" s="257" t="n"/>
      <c r="AF56" s="257" t="n"/>
      <c r="AG56" s="257" t="n"/>
      <c r="AH56" s="257" t="n"/>
      <c r="AI56" s="256" t="n"/>
      <c r="AJ56" s="1" t="n"/>
      <c r="AK56" s="1" t="n"/>
    </row>
    <row r="57" ht="20" customHeight="1">
      <c r="A57" s="1" t="n"/>
      <c r="B57" s="258" t="n">
        <v>50</v>
      </c>
      <c r="C57" s="259">
        <f>DATE(2026,9,28)+343</f>
        <v/>
      </c>
      <c r="D57" s="260">
        <f>IF($C57&gt;$AN$1,"",IFERROR(AVERAGEIFS(Data!$BF$4:$BF$375,Data!$A$4:$A$375,"&gt;="&amp;$C57,Data!$A$4:$A$375,"&lt;="&amp;($C57+6)),""))</f>
        <v/>
      </c>
      <c r="E57" s="261">
        <f>IF($C57&gt;$AN$1,"",IF(NOT(ISNUMBER(D57)),"—",IF(D57&gt;=Band1,"GREEN",IF(D57&gt;=Band2,"GOOD",IF(D57&gt;=Band3,"NEEDS ATTENTION","RESET")))))</f>
        <v/>
      </c>
      <c r="F57" s="262">
        <f>IF($C57&gt;$AN$1,"",IFERROR(AVERAGEIFS(Data!$AF$4:$AF$375,Data!$A$4:$A$375,"&gt;="&amp;$C57,Data!$A$4:$A$375,"&lt;="&amp;($C57+6),Data!$AF$4:$AF$375,"&gt;0"),""))</f>
        <v/>
      </c>
      <c r="G57" s="263">
        <f>IF($C57&gt;$AN$1,"",IF(AND(ISNUMBER(F57),ISNUMBER(F56)),F57-F56,""))</f>
        <v/>
      </c>
      <c r="H57" s="264">
        <f>IF($C57&gt;$AN$1,"",IF(NOT(ISNUMBER(G57)),"",IF(-G57&gt;LossMaxPct*F57,"too fast",IF(-G57&gt;=LossMin,IF(-G57&lt;=LossMax,"on target","fast end"),IF(-G57&gt;0,"slow","flat / up")))))</f>
        <v/>
      </c>
      <c r="I57" s="258">
        <f>IF($C57&gt;$AN$1,"",SUMIFS(Data!$O$4:$O$375,Data!$A$4:$A$375,"&gt;="&amp;$C57,Data!$A$4:$A$375,"&lt;="&amp;($C57+6)))</f>
        <v/>
      </c>
      <c r="J57" s="265">
        <f>IF($C57&gt;$AN$1,"",IF(I57=0,"",MIN(1,SUMIFS(Data!$P$4:$P$375,Data!$A$4:$A$375,"&gt;="&amp;$C57,Data!$A$4:$A$375,"&lt;="&amp;($C57+6))/I57)))</f>
        <v/>
      </c>
      <c r="K57" s="258">
        <f>IF($C57&gt;$AN$1,"",SUMIFS(Data!$Q$4:$Q$375,Data!$A$4:$A$375,"&gt;="&amp;$C57,Data!$A$4:$A$375,"&lt;="&amp;($C57+6)))</f>
        <v/>
      </c>
      <c r="L57" s="258">
        <f>IF($C57&gt;$AN$1,"",SUMIFS(Data!$R$4:$R$375,Data!$A$4:$A$375,"&gt;="&amp;$C57,Data!$A$4:$A$375,"&lt;="&amp;($C57+6)))</f>
        <v/>
      </c>
      <c r="M57" s="258">
        <f>IF($C57&gt;$AN$1,"",SUMIFS(Data!$S$4:$S$375,Data!$A$4:$A$375,"&gt;="&amp;$C57,Data!$A$4:$A$375,"&lt;="&amp;($C57+6))+SUMIFS(Data!$AC$4:$AC$375,Data!$A$4:$A$375,"&gt;="&amp;$C57,Data!$A$4:$A$375,"&lt;="&amp;($C57+6)))</f>
        <v/>
      </c>
      <c r="N57" s="266">
        <f>IF($C57&gt;$AN$1,"",IFERROR(AVERAGEIFS(Data!$AG$4:$AG$375,Data!$A$4:$A$375,"&gt;="&amp;$C57,Data!$A$4:$A$375,"&lt;="&amp;($C57+6),Data!$AG$4:$AG$375,"&gt;0"),""))</f>
        <v/>
      </c>
      <c r="O57" s="258">
        <f>IF($C57&gt;$AN$1,"",IFERROR(AVERAGEIFS(Data!$AH$4:$AH$375,Data!$A$4:$A$375,"&gt;="&amp;$C57,Data!$A$4:$A$375,"&lt;="&amp;($C57+6),Data!$AH$4:$AH$375,"&gt;0"),""))</f>
        <v/>
      </c>
      <c r="P57" s="262">
        <f>IF($C57&gt;$AN$1,"",IFERROR(AVERAGEIFS(Data!$AK$4:$AK$375,Data!$A$4:$A$375,"&gt;="&amp;$C57,Data!$A$4:$A$375,"&lt;="&amp;($C57+6),Data!$AK$4:$AK$375,"&gt;0"),""))</f>
        <v/>
      </c>
      <c r="Q57" s="262">
        <f>IF($C57&gt;$AN$1,"",IFERROR(AVERAGEIFS(Data!$AL$4:$AL$375,Data!$A$4:$A$375,"&gt;="&amp;$C57,Data!$A$4:$A$375,"&lt;="&amp;($C57+6),Data!$AL$4:$AL$375,"&gt;0"),""))</f>
        <v/>
      </c>
      <c r="R57" s="262">
        <f>IF($C57&gt;$AN$1,"",IFERROR(AVERAGEIFS(Data!$AM$4:$AM$375,Data!$A$4:$A$375,"&gt;="&amp;$C57,Data!$A$4:$A$375,"&lt;="&amp;($C57+6),Data!$AM$4:$AM$375,"&gt;0"),""))</f>
        <v/>
      </c>
      <c r="S57" s="258">
        <f>IF($C57&gt;$AN$1,"",SUMIFS(Data!$G$4:$G$375,Data!$A$4:$A$375,"&gt;="&amp;$C57,Data!$A$4:$A$375,"&lt;="&amp;($C57+6)))</f>
        <v/>
      </c>
      <c r="T57" s="258">
        <f>IF($C57&gt;$AN$1,"",SUMIFS(Data!$Z$4:$Z$375,Data!$A$4:$A$375,"&gt;="&amp;$C57,Data!$A$4:$A$375,"&lt;="&amp;($C57+6)))</f>
        <v/>
      </c>
      <c r="U57" s="258">
        <f>IF($C57&gt;$AN$1,"",SUMIFS(Data!$X$4:$X$375,Data!$A$4:$A$375,"&gt;="&amp;$C57,Data!$A$4:$A$375,"&lt;="&amp;($C57+6)))</f>
        <v/>
      </c>
      <c r="V57" s="258">
        <f>IF($C57&gt;$AN$1,"",SUMIFS(Data!$W$4:$W$375,Data!$A$4:$A$375,"&gt;="&amp;$C57,Data!$A$4:$A$375,"&lt;="&amp;($C57+6)))</f>
        <v/>
      </c>
      <c r="W57" s="258">
        <f>IF($C57&gt;$AN$1,"",SUMIFS(Data!$Y$4:$Y$375,Data!$A$4:$A$375,"&gt;="&amp;$C57,Data!$A$4:$A$375,"&lt;="&amp;($C57+6)))</f>
        <v/>
      </c>
      <c r="X57" s="258">
        <f>IF($C57&gt;$AN$1,"",SUMIFS(Data!$AA$4:$AA$375,Data!$A$4:$A$375,"&gt;="&amp;$C57,Data!$A$4:$A$375,"&lt;="&amp;($C57+6)))</f>
        <v/>
      </c>
      <c r="Y57" s="258">
        <f>IF($C57&gt;$AN$1,"",SUMIFS(Data!$T$4:$T$375,Data!$A$4:$A$375,"&gt;="&amp;$C57,Data!$A$4:$A$375,"&lt;="&amp;($C57+6)))</f>
        <v/>
      </c>
      <c r="Z57" s="258">
        <f>IF($C57&gt;$AN$1,"",IF(NOT(ISNUMBER(D57)),"",ROUND(100*(0.3*IF(ISNUMBER(P57),MIN(1,P57/SleepTarget),0.7)+0.2*IF(ISNUMBER(Q57),Q57/10,0.7)+0.2*IF(ISNUMBER(R57),(10-R57)/9,0.7)+0.15*IF(I57&lt;7,1,0)+0.15*IF(ISNUMBER(J57),MIN(1,J57/0.5),0.5)),0)))</f>
        <v/>
      </c>
      <c r="AA57" s="91" t="n"/>
      <c r="AB57" s="91" t="n"/>
      <c r="AC57" s="267" t="n"/>
      <c r="AD57" s="267" t="n"/>
      <c r="AE57" s="267" t="n"/>
      <c r="AF57" s="267" t="n"/>
      <c r="AG57" s="267" t="n"/>
      <c r="AH57" s="267" t="n"/>
      <c r="AI57" s="91" t="n"/>
      <c r="AJ57" s="1" t="n"/>
      <c r="AK57" s="1" t="n"/>
    </row>
    <row r="58" ht="20" customHeight="1">
      <c r="A58" s="1" t="n"/>
      <c r="B58" s="247" t="n">
        <v>51</v>
      </c>
      <c r="C58" s="248">
        <f>DATE(2026,9,28)+350</f>
        <v/>
      </c>
      <c r="D58" s="249">
        <f>IF($C58&gt;$AN$1,"",IFERROR(AVERAGEIFS(Data!$BF$4:$BF$375,Data!$A$4:$A$375,"&gt;="&amp;$C58,Data!$A$4:$A$375,"&lt;="&amp;($C58+6)),""))</f>
        <v/>
      </c>
      <c r="E58" s="250">
        <f>IF($C58&gt;$AN$1,"",IF(NOT(ISNUMBER(D58)),"—",IF(D58&gt;=Band1,"GREEN",IF(D58&gt;=Band2,"GOOD",IF(D58&gt;=Band3,"NEEDS ATTENTION","RESET")))))</f>
        <v/>
      </c>
      <c r="F58" s="251">
        <f>IF($C58&gt;$AN$1,"",IFERROR(AVERAGEIFS(Data!$AF$4:$AF$375,Data!$A$4:$A$375,"&gt;="&amp;$C58,Data!$A$4:$A$375,"&lt;="&amp;($C58+6),Data!$AF$4:$AF$375,"&gt;0"),""))</f>
        <v/>
      </c>
      <c r="G58" s="252">
        <f>IF($C58&gt;$AN$1,"",IF(AND(ISNUMBER(F58),ISNUMBER(F57)),F58-F57,""))</f>
        <v/>
      </c>
      <c r="H58" s="253">
        <f>IF($C58&gt;$AN$1,"",IF(NOT(ISNUMBER(G58)),"",IF(-G58&gt;LossMaxPct*F58,"too fast",IF(-G58&gt;=LossMin,IF(-G58&lt;=LossMax,"on target","fast end"),IF(-G58&gt;0,"slow","flat / up")))))</f>
        <v/>
      </c>
      <c r="I58" s="247">
        <f>IF($C58&gt;$AN$1,"",SUMIFS(Data!$O$4:$O$375,Data!$A$4:$A$375,"&gt;="&amp;$C58,Data!$A$4:$A$375,"&lt;="&amp;($C58+6)))</f>
        <v/>
      </c>
      <c r="J58" s="254">
        <f>IF($C58&gt;$AN$1,"",IF(I58=0,"",MIN(1,SUMIFS(Data!$P$4:$P$375,Data!$A$4:$A$375,"&gt;="&amp;$C58,Data!$A$4:$A$375,"&lt;="&amp;($C58+6))/I58)))</f>
        <v/>
      </c>
      <c r="K58" s="247">
        <f>IF($C58&gt;$AN$1,"",SUMIFS(Data!$Q$4:$Q$375,Data!$A$4:$A$375,"&gt;="&amp;$C58,Data!$A$4:$A$375,"&lt;="&amp;($C58+6)))</f>
        <v/>
      </c>
      <c r="L58" s="247">
        <f>IF($C58&gt;$AN$1,"",SUMIFS(Data!$R$4:$R$375,Data!$A$4:$A$375,"&gt;="&amp;$C58,Data!$A$4:$A$375,"&lt;="&amp;($C58+6)))</f>
        <v/>
      </c>
      <c r="M58" s="247">
        <f>IF($C58&gt;$AN$1,"",SUMIFS(Data!$S$4:$S$375,Data!$A$4:$A$375,"&gt;="&amp;$C58,Data!$A$4:$A$375,"&lt;="&amp;($C58+6))+SUMIFS(Data!$AC$4:$AC$375,Data!$A$4:$A$375,"&gt;="&amp;$C58,Data!$A$4:$A$375,"&lt;="&amp;($C58+6)))</f>
        <v/>
      </c>
      <c r="N58" s="255">
        <f>IF($C58&gt;$AN$1,"",IFERROR(AVERAGEIFS(Data!$AG$4:$AG$375,Data!$A$4:$A$375,"&gt;="&amp;$C58,Data!$A$4:$A$375,"&lt;="&amp;($C58+6),Data!$AG$4:$AG$375,"&gt;0"),""))</f>
        <v/>
      </c>
      <c r="O58" s="247">
        <f>IF($C58&gt;$AN$1,"",IFERROR(AVERAGEIFS(Data!$AH$4:$AH$375,Data!$A$4:$A$375,"&gt;="&amp;$C58,Data!$A$4:$A$375,"&lt;="&amp;($C58+6),Data!$AH$4:$AH$375,"&gt;0"),""))</f>
        <v/>
      </c>
      <c r="P58" s="251">
        <f>IF($C58&gt;$AN$1,"",IFERROR(AVERAGEIFS(Data!$AK$4:$AK$375,Data!$A$4:$A$375,"&gt;="&amp;$C58,Data!$A$4:$A$375,"&lt;="&amp;($C58+6),Data!$AK$4:$AK$375,"&gt;0"),""))</f>
        <v/>
      </c>
      <c r="Q58" s="251">
        <f>IF($C58&gt;$AN$1,"",IFERROR(AVERAGEIFS(Data!$AL$4:$AL$375,Data!$A$4:$A$375,"&gt;="&amp;$C58,Data!$A$4:$A$375,"&lt;="&amp;($C58+6),Data!$AL$4:$AL$375,"&gt;0"),""))</f>
        <v/>
      </c>
      <c r="R58" s="251">
        <f>IF($C58&gt;$AN$1,"",IFERROR(AVERAGEIFS(Data!$AM$4:$AM$375,Data!$A$4:$A$375,"&gt;="&amp;$C58,Data!$A$4:$A$375,"&lt;="&amp;($C58+6),Data!$AM$4:$AM$375,"&gt;0"),""))</f>
        <v/>
      </c>
      <c r="S58" s="247">
        <f>IF($C58&gt;$AN$1,"",SUMIFS(Data!$G$4:$G$375,Data!$A$4:$A$375,"&gt;="&amp;$C58,Data!$A$4:$A$375,"&lt;="&amp;($C58+6)))</f>
        <v/>
      </c>
      <c r="T58" s="247">
        <f>IF($C58&gt;$AN$1,"",SUMIFS(Data!$Z$4:$Z$375,Data!$A$4:$A$375,"&gt;="&amp;$C58,Data!$A$4:$A$375,"&lt;="&amp;($C58+6)))</f>
        <v/>
      </c>
      <c r="U58" s="247">
        <f>IF($C58&gt;$AN$1,"",SUMIFS(Data!$X$4:$X$375,Data!$A$4:$A$375,"&gt;="&amp;$C58,Data!$A$4:$A$375,"&lt;="&amp;($C58+6)))</f>
        <v/>
      </c>
      <c r="V58" s="247">
        <f>IF($C58&gt;$AN$1,"",SUMIFS(Data!$W$4:$W$375,Data!$A$4:$A$375,"&gt;="&amp;$C58,Data!$A$4:$A$375,"&lt;="&amp;($C58+6)))</f>
        <v/>
      </c>
      <c r="W58" s="247">
        <f>IF($C58&gt;$AN$1,"",SUMIFS(Data!$Y$4:$Y$375,Data!$A$4:$A$375,"&gt;="&amp;$C58,Data!$A$4:$A$375,"&lt;="&amp;($C58+6)))</f>
        <v/>
      </c>
      <c r="X58" s="247">
        <f>IF($C58&gt;$AN$1,"",SUMIFS(Data!$AA$4:$AA$375,Data!$A$4:$A$375,"&gt;="&amp;$C58,Data!$A$4:$A$375,"&lt;="&amp;($C58+6)))</f>
        <v/>
      </c>
      <c r="Y58" s="247">
        <f>IF($C58&gt;$AN$1,"",SUMIFS(Data!$T$4:$T$375,Data!$A$4:$A$375,"&gt;="&amp;$C58,Data!$A$4:$A$375,"&lt;="&amp;($C58+6)))</f>
        <v/>
      </c>
      <c r="Z58" s="247">
        <f>IF($C58&gt;$AN$1,"",IF(NOT(ISNUMBER(D58)),"",ROUND(100*(0.3*IF(ISNUMBER(P58),MIN(1,P58/SleepTarget),0.7)+0.2*IF(ISNUMBER(Q58),Q58/10,0.7)+0.2*IF(ISNUMBER(R58),(10-R58)/9,0.7)+0.15*IF(I58&lt;7,1,0)+0.15*IF(ISNUMBER(J58),MIN(1,J58/0.5),0.5)),0)))</f>
        <v/>
      </c>
      <c r="AA58" s="256" t="n"/>
      <c r="AB58" s="256" t="n"/>
      <c r="AC58" s="257" t="n"/>
      <c r="AD58" s="257" t="n"/>
      <c r="AE58" s="257" t="n"/>
      <c r="AF58" s="257" t="n"/>
      <c r="AG58" s="257" t="n"/>
      <c r="AH58" s="257" t="n"/>
      <c r="AI58" s="256" t="n"/>
      <c r="AJ58" s="1" t="n"/>
      <c r="AK58" s="1" t="n"/>
    </row>
    <row r="59" ht="20" customHeight="1">
      <c r="A59" s="1" t="n"/>
      <c r="B59" s="258" t="n">
        <v>52</v>
      </c>
      <c r="C59" s="259">
        <f>DATE(2026,9,28)+357</f>
        <v/>
      </c>
      <c r="D59" s="260">
        <f>IF($C59&gt;$AN$1,"",IFERROR(AVERAGEIFS(Data!$BF$4:$BF$375,Data!$A$4:$A$375,"&gt;="&amp;$C59,Data!$A$4:$A$375,"&lt;="&amp;($C59+6)),""))</f>
        <v/>
      </c>
      <c r="E59" s="261">
        <f>IF($C59&gt;$AN$1,"",IF(NOT(ISNUMBER(D59)),"—",IF(D59&gt;=Band1,"GREEN",IF(D59&gt;=Band2,"GOOD",IF(D59&gt;=Band3,"NEEDS ATTENTION","RESET")))))</f>
        <v/>
      </c>
      <c r="F59" s="262">
        <f>IF($C59&gt;$AN$1,"",IFERROR(AVERAGEIFS(Data!$AF$4:$AF$375,Data!$A$4:$A$375,"&gt;="&amp;$C59,Data!$A$4:$A$375,"&lt;="&amp;($C59+6),Data!$AF$4:$AF$375,"&gt;0"),""))</f>
        <v/>
      </c>
      <c r="G59" s="263">
        <f>IF($C59&gt;$AN$1,"",IF(AND(ISNUMBER(F59),ISNUMBER(F58)),F59-F58,""))</f>
        <v/>
      </c>
      <c r="H59" s="264">
        <f>IF($C59&gt;$AN$1,"",IF(NOT(ISNUMBER(G59)),"",IF(-G59&gt;LossMaxPct*F59,"too fast",IF(-G59&gt;=LossMin,IF(-G59&lt;=LossMax,"on target","fast end"),IF(-G59&gt;0,"slow","flat / up")))))</f>
        <v/>
      </c>
      <c r="I59" s="258">
        <f>IF($C59&gt;$AN$1,"",SUMIFS(Data!$O$4:$O$375,Data!$A$4:$A$375,"&gt;="&amp;$C59,Data!$A$4:$A$375,"&lt;="&amp;($C59+6)))</f>
        <v/>
      </c>
      <c r="J59" s="265">
        <f>IF($C59&gt;$AN$1,"",IF(I59=0,"",MIN(1,SUMIFS(Data!$P$4:$P$375,Data!$A$4:$A$375,"&gt;="&amp;$C59,Data!$A$4:$A$375,"&lt;="&amp;($C59+6))/I59)))</f>
        <v/>
      </c>
      <c r="K59" s="258">
        <f>IF($C59&gt;$AN$1,"",SUMIFS(Data!$Q$4:$Q$375,Data!$A$4:$A$375,"&gt;="&amp;$C59,Data!$A$4:$A$375,"&lt;="&amp;($C59+6)))</f>
        <v/>
      </c>
      <c r="L59" s="258">
        <f>IF($C59&gt;$AN$1,"",SUMIFS(Data!$R$4:$R$375,Data!$A$4:$A$375,"&gt;="&amp;$C59,Data!$A$4:$A$375,"&lt;="&amp;($C59+6)))</f>
        <v/>
      </c>
      <c r="M59" s="258">
        <f>IF($C59&gt;$AN$1,"",SUMIFS(Data!$S$4:$S$375,Data!$A$4:$A$375,"&gt;="&amp;$C59,Data!$A$4:$A$375,"&lt;="&amp;($C59+6))+SUMIFS(Data!$AC$4:$AC$375,Data!$A$4:$A$375,"&gt;="&amp;$C59,Data!$A$4:$A$375,"&lt;="&amp;($C59+6)))</f>
        <v/>
      </c>
      <c r="N59" s="266">
        <f>IF($C59&gt;$AN$1,"",IFERROR(AVERAGEIFS(Data!$AG$4:$AG$375,Data!$A$4:$A$375,"&gt;="&amp;$C59,Data!$A$4:$A$375,"&lt;="&amp;($C59+6),Data!$AG$4:$AG$375,"&gt;0"),""))</f>
        <v/>
      </c>
      <c r="O59" s="258">
        <f>IF($C59&gt;$AN$1,"",IFERROR(AVERAGEIFS(Data!$AH$4:$AH$375,Data!$A$4:$A$375,"&gt;="&amp;$C59,Data!$A$4:$A$375,"&lt;="&amp;($C59+6),Data!$AH$4:$AH$375,"&gt;0"),""))</f>
        <v/>
      </c>
      <c r="P59" s="262">
        <f>IF($C59&gt;$AN$1,"",IFERROR(AVERAGEIFS(Data!$AK$4:$AK$375,Data!$A$4:$A$375,"&gt;="&amp;$C59,Data!$A$4:$A$375,"&lt;="&amp;($C59+6),Data!$AK$4:$AK$375,"&gt;0"),""))</f>
        <v/>
      </c>
      <c r="Q59" s="262">
        <f>IF($C59&gt;$AN$1,"",IFERROR(AVERAGEIFS(Data!$AL$4:$AL$375,Data!$A$4:$A$375,"&gt;="&amp;$C59,Data!$A$4:$A$375,"&lt;="&amp;($C59+6),Data!$AL$4:$AL$375,"&gt;0"),""))</f>
        <v/>
      </c>
      <c r="R59" s="262">
        <f>IF($C59&gt;$AN$1,"",IFERROR(AVERAGEIFS(Data!$AM$4:$AM$375,Data!$A$4:$A$375,"&gt;="&amp;$C59,Data!$A$4:$A$375,"&lt;="&amp;($C59+6),Data!$AM$4:$AM$375,"&gt;0"),""))</f>
        <v/>
      </c>
      <c r="S59" s="258">
        <f>IF($C59&gt;$AN$1,"",SUMIFS(Data!$G$4:$G$375,Data!$A$4:$A$375,"&gt;="&amp;$C59,Data!$A$4:$A$375,"&lt;="&amp;($C59+6)))</f>
        <v/>
      </c>
      <c r="T59" s="258">
        <f>IF($C59&gt;$AN$1,"",SUMIFS(Data!$Z$4:$Z$375,Data!$A$4:$A$375,"&gt;="&amp;$C59,Data!$A$4:$A$375,"&lt;="&amp;($C59+6)))</f>
        <v/>
      </c>
      <c r="U59" s="258">
        <f>IF($C59&gt;$AN$1,"",SUMIFS(Data!$X$4:$X$375,Data!$A$4:$A$375,"&gt;="&amp;$C59,Data!$A$4:$A$375,"&lt;="&amp;($C59+6)))</f>
        <v/>
      </c>
      <c r="V59" s="258">
        <f>IF($C59&gt;$AN$1,"",SUMIFS(Data!$W$4:$W$375,Data!$A$4:$A$375,"&gt;="&amp;$C59,Data!$A$4:$A$375,"&lt;="&amp;($C59+6)))</f>
        <v/>
      </c>
      <c r="W59" s="258">
        <f>IF($C59&gt;$AN$1,"",SUMIFS(Data!$Y$4:$Y$375,Data!$A$4:$A$375,"&gt;="&amp;$C59,Data!$A$4:$A$375,"&lt;="&amp;($C59+6)))</f>
        <v/>
      </c>
      <c r="X59" s="258">
        <f>IF($C59&gt;$AN$1,"",SUMIFS(Data!$AA$4:$AA$375,Data!$A$4:$A$375,"&gt;="&amp;$C59,Data!$A$4:$A$375,"&lt;="&amp;($C59+6)))</f>
        <v/>
      </c>
      <c r="Y59" s="258">
        <f>IF($C59&gt;$AN$1,"",SUMIFS(Data!$T$4:$T$375,Data!$A$4:$A$375,"&gt;="&amp;$C59,Data!$A$4:$A$375,"&lt;="&amp;($C59+6)))</f>
        <v/>
      </c>
      <c r="Z59" s="258">
        <f>IF($C59&gt;$AN$1,"",IF(NOT(ISNUMBER(D59)),"",ROUND(100*(0.3*IF(ISNUMBER(P59),MIN(1,P59/SleepTarget),0.7)+0.2*IF(ISNUMBER(Q59),Q59/10,0.7)+0.2*IF(ISNUMBER(R59),(10-R59)/9,0.7)+0.15*IF(I59&lt;7,1,0)+0.15*IF(ISNUMBER(J59),MIN(1,J59/0.5),0.5)),0)))</f>
        <v/>
      </c>
      <c r="AA59" s="91" t="n"/>
      <c r="AB59" s="91" t="n"/>
      <c r="AC59" s="267" t="n"/>
      <c r="AD59" s="267" t="n"/>
      <c r="AE59" s="267" t="n"/>
      <c r="AF59" s="267" t="n"/>
      <c r="AG59" s="267" t="n"/>
      <c r="AH59" s="267" t="n"/>
      <c r="AI59" s="91" t="n"/>
      <c r="AJ59" s="1" t="n"/>
      <c r="AK59" s="1" t="n"/>
    </row>
    <row r="60" ht="20" customHeight="1">
      <c r="A60" s="1" t="n"/>
      <c r="B60" s="247" t="n">
        <v>53</v>
      </c>
      <c r="C60" s="248">
        <f>DATE(2026,9,28)+364</f>
        <v/>
      </c>
      <c r="D60" s="249">
        <f>IF($C60&gt;$AN$1,"",IFERROR(AVERAGEIFS(Data!$BF$4:$BF$375,Data!$A$4:$A$375,"&gt;="&amp;$C60,Data!$A$4:$A$375,"&lt;="&amp;($C60+6)),""))</f>
        <v/>
      </c>
      <c r="E60" s="250">
        <f>IF($C60&gt;$AN$1,"",IF(NOT(ISNUMBER(D60)),"—",IF(D60&gt;=Band1,"GREEN",IF(D60&gt;=Band2,"GOOD",IF(D60&gt;=Band3,"NEEDS ATTENTION","RESET")))))</f>
        <v/>
      </c>
      <c r="F60" s="251">
        <f>IF($C60&gt;$AN$1,"",IFERROR(AVERAGEIFS(Data!$AF$4:$AF$375,Data!$A$4:$A$375,"&gt;="&amp;$C60,Data!$A$4:$A$375,"&lt;="&amp;($C60+6),Data!$AF$4:$AF$375,"&gt;0"),""))</f>
        <v/>
      </c>
      <c r="G60" s="252">
        <f>IF($C60&gt;$AN$1,"",IF(AND(ISNUMBER(F60),ISNUMBER(F59)),F60-F59,""))</f>
        <v/>
      </c>
      <c r="H60" s="253">
        <f>IF($C60&gt;$AN$1,"",IF(NOT(ISNUMBER(G60)),"",IF(-G60&gt;LossMaxPct*F60,"too fast",IF(-G60&gt;=LossMin,IF(-G60&lt;=LossMax,"on target","fast end"),IF(-G60&gt;0,"slow","flat / up")))))</f>
        <v/>
      </c>
      <c r="I60" s="247">
        <f>IF($C60&gt;$AN$1,"",SUMIFS(Data!$O$4:$O$375,Data!$A$4:$A$375,"&gt;="&amp;$C60,Data!$A$4:$A$375,"&lt;="&amp;($C60+6)))</f>
        <v/>
      </c>
      <c r="J60" s="254">
        <f>IF($C60&gt;$AN$1,"",IF(I60=0,"",MIN(1,SUMIFS(Data!$P$4:$P$375,Data!$A$4:$A$375,"&gt;="&amp;$C60,Data!$A$4:$A$375,"&lt;="&amp;($C60+6))/I60)))</f>
        <v/>
      </c>
      <c r="K60" s="247">
        <f>IF($C60&gt;$AN$1,"",SUMIFS(Data!$Q$4:$Q$375,Data!$A$4:$A$375,"&gt;="&amp;$C60,Data!$A$4:$A$375,"&lt;="&amp;($C60+6)))</f>
        <v/>
      </c>
      <c r="L60" s="247">
        <f>IF($C60&gt;$AN$1,"",SUMIFS(Data!$R$4:$R$375,Data!$A$4:$A$375,"&gt;="&amp;$C60,Data!$A$4:$A$375,"&lt;="&amp;($C60+6)))</f>
        <v/>
      </c>
      <c r="M60" s="247">
        <f>IF($C60&gt;$AN$1,"",SUMIFS(Data!$S$4:$S$375,Data!$A$4:$A$375,"&gt;="&amp;$C60,Data!$A$4:$A$375,"&lt;="&amp;($C60+6))+SUMIFS(Data!$AC$4:$AC$375,Data!$A$4:$A$375,"&gt;="&amp;$C60,Data!$A$4:$A$375,"&lt;="&amp;($C60+6)))</f>
        <v/>
      </c>
      <c r="N60" s="255">
        <f>IF($C60&gt;$AN$1,"",IFERROR(AVERAGEIFS(Data!$AG$4:$AG$375,Data!$A$4:$A$375,"&gt;="&amp;$C60,Data!$A$4:$A$375,"&lt;="&amp;($C60+6),Data!$AG$4:$AG$375,"&gt;0"),""))</f>
        <v/>
      </c>
      <c r="O60" s="247">
        <f>IF($C60&gt;$AN$1,"",IFERROR(AVERAGEIFS(Data!$AH$4:$AH$375,Data!$A$4:$A$375,"&gt;="&amp;$C60,Data!$A$4:$A$375,"&lt;="&amp;($C60+6),Data!$AH$4:$AH$375,"&gt;0"),""))</f>
        <v/>
      </c>
      <c r="P60" s="251">
        <f>IF($C60&gt;$AN$1,"",IFERROR(AVERAGEIFS(Data!$AK$4:$AK$375,Data!$A$4:$A$375,"&gt;="&amp;$C60,Data!$A$4:$A$375,"&lt;="&amp;($C60+6),Data!$AK$4:$AK$375,"&gt;0"),""))</f>
        <v/>
      </c>
      <c r="Q60" s="251">
        <f>IF($C60&gt;$AN$1,"",IFERROR(AVERAGEIFS(Data!$AL$4:$AL$375,Data!$A$4:$A$375,"&gt;="&amp;$C60,Data!$A$4:$A$375,"&lt;="&amp;($C60+6),Data!$AL$4:$AL$375,"&gt;0"),""))</f>
        <v/>
      </c>
      <c r="R60" s="251">
        <f>IF($C60&gt;$AN$1,"",IFERROR(AVERAGEIFS(Data!$AM$4:$AM$375,Data!$A$4:$A$375,"&gt;="&amp;$C60,Data!$A$4:$A$375,"&lt;="&amp;($C60+6),Data!$AM$4:$AM$375,"&gt;0"),""))</f>
        <v/>
      </c>
      <c r="S60" s="247">
        <f>IF($C60&gt;$AN$1,"",SUMIFS(Data!$G$4:$G$375,Data!$A$4:$A$375,"&gt;="&amp;$C60,Data!$A$4:$A$375,"&lt;="&amp;($C60+6)))</f>
        <v/>
      </c>
      <c r="T60" s="247">
        <f>IF($C60&gt;$AN$1,"",SUMIFS(Data!$Z$4:$Z$375,Data!$A$4:$A$375,"&gt;="&amp;$C60,Data!$A$4:$A$375,"&lt;="&amp;($C60+6)))</f>
        <v/>
      </c>
      <c r="U60" s="247">
        <f>IF($C60&gt;$AN$1,"",SUMIFS(Data!$X$4:$X$375,Data!$A$4:$A$375,"&gt;="&amp;$C60,Data!$A$4:$A$375,"&lt;="&amp;($C60+6)))</f>
        <v/>
      </c>
      <c r="V60" s="247">
        <f>IF($C60&gt;$AN$1,"",SUMIFS(Data!$W$4:$W$375,Data!$A$4:$A$375,"&gt;="&amp;$C60,Data!$A$4:$A$375,"&lt;="&amp;($C60+6)))</f>
        <v/>
      </c>
      <c r="W60" s="247">
        <f>IF($C60&gt;$AN$1,"",SUMIFS(Data!$Y$4:$Y$375,Data!$A$4:$A$375,"&gt;="&amp;$C60,Data!$A$4:$A$375,"&lt;="&amp;($C60+6)))</f>
        <v/>
      </c>
      <c r="X60" s="247">
        <f>IF($C60&gt;$AN$1,"",SUMIFS(Data!$AA$4:$AA$375,Data!$A$4:$A$375,"&gt;="&amp;$C60,Data!$A$4:$A$375,"&lt;="&amp;($C60+6)))</f>
        <v/>
      </c>
      <c r="Y60" s="247">
        <f>IF($C60&gt;$AN$1,"",SUMIFS(Data!$T$4:$T$375,Data!$A$4:$A$375,"&gt;="&amp;$C60,Data!$A$4:$A$375,"&lt;="&amp;($C60+6)))</f>
        <v/>
      </c>
      <c r="Z60" s="247">
        <f>IF($C60&gt;$AN$1,"",IF(NOT(ISNUMBER(D60)),"",ROUND(100*(0.3*IF(ISNUMBER(P60),MIN(1,P60/SleepTarget),0.7)+0.2*IF(ISNUMBER(Q60),Q60/10,0.7)+0.2*IF(ISNUMBER(R60),(10-R60)/9,0.7)+0.15*IF(I60&lt;7,1,0)+0.15*IF(ISNUMBER(J60),MIN(1,J60/0.5),0.5)),0)))</f>
        <v/>
      </c>
      <c r="AA60" s="256" t="n"/>
      <c r="AB60" s="256" t="n"/>
      <c r="AC60" s="257" t="n"/>
      <c r="AD60" s="257" t="n"/>
      <c r="AE60" s="257" t="n"/>
      <c r="AF60" s="257" t="n"/>
      <c r="AG60" s="257" t="n"/>
      <c r="AH60" s="257" t="n"/>
      <c r="AI60" s="256" t="n"/>
      <c r="AJ60" s="1" t="n"/>
      <c r="AK60" s="1" t="n"/>
    </row>
    <row r="61" ht="20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20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20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</sheetData>
  <mergeCells count="2">
    <mergeCell ref="AA6:AI6"/>
    <mergeCell ref="D6:Z6"/>
  </mergeCells>
  <conditionalFormatting sqref="D8:D60">
    <cfRule type="expression" priority="1" dxfId="0" stopIfTrue="1">
      <formula>AND(ISNUMBER(D8),D8&gt;=0.85)</formula>
    </cfRule>
    <cfRule type="expression" priority="2" dxfId="1" stopIfTrue="1">
      <formula>AND(ISNUMBER(D8),D8&gt;=0.7)</formula>
    </cfRule>
    <cfRule type="expression" priority="3" dxfId="2" stopIfTrue="1">
      <formula>AND(ISNUMBER(D8),D8&gt;=0.5)</formula>
    </cfRule>
    <cfRule type="expression" priority="4" dxfId="3" stopIfTrue="1">
      <formula>AND(ISNUMBER(D8),D8&lt;0.5)</formula>
    </cfRule>
  </conditionalFormatting>
  <conditionalFormatting sqref="E8:E60">
    <cfRule type="expression" priority="5" dxfId="0" stopIfTrue="1">
      <formula>E8="GREEN"</formula>
    </cfRule>
    <cfRule type="expression" priority="6" dxfId="1" stopIfTrue="1">
      <formula>E8="GOOD"</formula>
    </cfRule>
    <cfRule type="expression" priority="7" dxfId="2" stopIfTrue="1">
      <formula>E8="NEEDS ATTENTION"</formula>
    </cfRule>
    <cfRule type="expression" priority="8" dxfId="3" stopIfTrue="1">
      <formula>E8="RESET"</formula>
    </cfRule>
  </conditionalFormatting>
  <conditionalFormatting sqref="H8:H60">
    <cfRule type="expression" priority="9" dxfId="0" stopIfTrue="1">
      <formula>H8="on target"</formula>
    </cfRule>
    <cfRule type="expression" priority="10" dxfId="3" stopIfTrue="1">
      <formula>OR(H8="too fast",H8="flat / up")</formula>
    </cfRule>
    <cfRule type="expression" priority="11" dxfId="2" stopIfTrue="1">
      <formula>OR(H8="slow",H8="fast end")</formula>
    </cfRule>
  </conditionalFormatting>
  <conditionalFormatting sqref="B8:AI60">
    <cfRule type="expression" priority="12" dxfId="19" stopIfTrue="0">
      <formula>AND($C8&lt;=$AN$1,$C8+6&gt;=$AN$1)</formula>
    </cfRule>
  </conditionalFormatting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F59E42"/>
    <outlinePr summaryBelow="1" summaryRight="1"/>
    <pageSetUpPr fitToPage="1"/>
  </sheetPr>
  <dimension ref="A1:AN24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11" customWidth="1" min="4" max="4"/>
    <col width="8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8" customWidth="1" min="21" max="21"/>
    <col width="16" customWidth="1" min="22" max="22"/>
    <col width="18" customWidth="1" min="23" max="23"/>
    <col width="10" customWidth="1" min="24" max="24"/>
    <col width="10" customWidth="1" min="25" max="25"/>
    <col width="10" customWidth="1" min="26" max="26"/>
    <col width="8" customWidth="1" min="27" max="27"/>
    <col width="9" customWidth="1" min="28" max="28"/>
    <col width="22" customWidth="1" min="29" max="29"/>
    <col width="22" customWidth="1" min="30" max="30"/>
    <col width="20" customWidth="1" min="31" max="31"/>
    <col width="20" customWidth="1" min="32" max="32"/>
    <col width="16" customWidth="1" min="33" max="33"/>
    <col width="16" customWidth="1" min="34" max="34"/>
    <col width="16" customWidth="1" min="35" max="35"/>
    <col width="28" customWidth="1" min="36" max="36"/>
    <col width="22" customWidth="1" min="37" max="37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0" customHeight="1">
      <c r="A2" s="1" t="n"/>
      <c r="B2" s="2" t="inlineStr">
        <is>
          <t>MONTHLY REVIEW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 ht="18" customHeight="1">
      <c r="A3" s="1" t="n"/>
      <c r="B3" s="3" t="inlineStr">
        <is>
          <t>Once a month. Numbers fill themselves; you write the reflection. Stop · start · continue, then one focus for next month.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 ht="3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 ht="3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18" customHeight="1">
      <c r="A6" s="1" t="n"/>
      <c r="B6" s="9" t="n"/>
      <c r="C6" s="244" t="inlineStr">
        <is>
          <t>AUTO · from your daily log and Body tab</t>
        </is>
      </c>
      <c r="T6" s="245" t="inlineStr">
        <is>
          <t>YOUR REVIEW</t>
        </is>
      </c>
      <c r="AL6" s="1" t="n"/>
      <c r="AM6" s="1" t="n"/>
      <c r="AN6" s="1" t="n"/>
    </row>
    <row r="7" ht="34" customHeight="1">
      <c r="A7" s="1" t="n"/>
      <c r="B7" s="246" t="inlineStr">
        <is>
          <t>Month</t>
        </is>
      </c>
      <c r="C7" s="246" t="inlineStr">
        <is>
          <t>Foundation</t>
        </is>
      </c>
      <c r="D7" s="246" t="inlineStr">
        <is>
          <t>Status</t>
        </is>
      </c>
      <c r="E7" s="246" t="inlineStr">
        <is>
          <t>Weight start</t>
        </is>
      </c>
      <c r="F7" s="246" t="inlineStr">
        <is>
          <t>Weight end</t>
        </is>
      </c>
      <c r="G7" s="246" t="inlineStr">
        <is>
          <t>Change</t>
        </is>
      </c>
      <c r="H7" s="246" t="inlineStr">
        <is>
          <t>Waist</t>
        </is>
      </c>
      <c r="I7" s="246" t="inlineStr">
        <is>
          <t>Strength</t>
        </is>
      </c>
      <c r="J7" s="246" t="inlineStr">
        <is>
          <t>Progress %</t>
        </is>
      </c>
      <c r="K7" s="246" t="inlineStr">
        <is>
          <t>Sleep avg</t>
        </is>
      </c>
      <c r="L7" s="246" t="inlineStr">
        <is>
          <t>Energy</t>
        </is>
      </c>
      <c r="M7" s="246" t="inlineStr">
        <is>
          <t>Steps avg</t>
        </is>
      </c>
      <c r="N7" s="246" t="inlineStr">
        <is>
          <t>Protein avg</t>
        </is>
      </c>
      <c r="O7" s="246" t="inlineStr">
        <is>
          <t>Prayer days</t>
        </is>
      </c>
      <c r="P7" s="246" t="inlineStr">
        <is>
          <t>Church</t>
        </is>
      </c>
      <c r="Q7" s="246" t="inlineStr">
        <is>
          <t>Couple</t>
        </is>
      </c>
      <c r="R7" s="246" t="inlineStr">
        <is>
          <t>Son</t>
        </is>
      </c>
      <c r="S7" s="246" t="inlineStr">
        <is>
          <t>Read days</t>
        </is>
      </c>
      <c r="T7" s="246" t="inlineStr">
        <is>
          <t>Photos ✓</t>
        </is>
      </c>
      <c r="U7" s="246" t="inlineStr">
        <is>
          <t>Body fat est.</t>
        </is>
      </c>
      <c r="V7" s="246" t="inlineStr">
        <is>
          <t>Books done</t>
        </is>
      </c>
      <c r="W7" s="246" t="inlineStr">
        <is>
          <t>Skills learned</t>
        </is>
      </c>
      <c r="X7" s="246" t="inlineStr">
        <is>
          <t>Revenue</t>
        </is>
      </c>
      <c r="Y7" s="246" t="inlineStr">
        <is>
          <t>Profit</t>
        </is>
      </c>
      <c r="Z7" s="246" t="inlineStr">
        <is>
          <t>Expenses</t>
        </is>
      </c>
      <c r="AA7" s="246" t="inlineStr">
        <is>
          <t>New clients</t>
        </is>
      </c>
      <c r="AB7" s="246" t="inlineStr">
        <is>
          <t>Retention</t>
        </is>
      </c>
      <c r="AC7" s="246" t="inlineStr">
        <is>
          <t>Major wins</t>
        </is>
      </c>
      <c r="AD7" s="246" t="inlineStr">
        <is>
          <t>Major failures</t>
        </is>
      </c>
      <c r="AE7" s="246" t="inlineStr">
        <is>
          <t>What worked</t>
        </is>
      </c>
      <c r="AF7" s="246" t="inlineStr">
        <is>
          <t>What didn't</t>
        </is>
      </c>
      <c r="AG7" s="246" t="inlineStr">
        <is>
          <t>Stop</t>
        </is>
      </c>
      <c r="AH7" s="246" t="inlineStr">
        <is>
          <t>Start</t>
        </is>
      </c>
      <c r="AI7" s="246" t="inlineStr">
        <is>
          <t>Continue</t>
        </is>
      </c>
      <c r="AJ7" s="246" t="inlineStr">
        <is>
          <t>More disciplined, loving, truthful, patient, useful?</t>
        </is>
      </c>
      <c r="AK7" s="246" t="inlineStr">
        <is>
          <t>Next month's focus</t>
        </is>
      </c>
      <c r="AL7" s="1" t="n"/>
      <c r="AM7" s="1" t="n"/>
      <c r="AN7" s="1" t="n"/>
    </row>
    <row r="8" ht="30" customHeight="1">
      <c r="A8" s="1" t="n"/>
      <c r="B8" s="268">
        <f>DATE(2026,10,1)</f>
        <v/>
      </c>
      <c r="C8" s="249">
        <f>IF(DATE(2026,10,1)&gt;AsOf,"",IFERROR(AVERAGEIFS(Data!$BF$4:$BF$375,Data!$B$4:$B$375,1),""))</f>
        <v/>
      </c>
      <c r="D8" s="250">
        <f>IF(DATE(2026,10,1)&gt;AsOf,"",IF(NOT(ISNUMBER(C8)),"—",IF(C8&gt;=Band1,"GREEN",IF(C8&gt;=Band2,"GOOD",IF(C8&gt;=Band3,"NEEDS ATTENTION","RESET")))))</f>
        <v/>
      </c>
      <c r="E8" s="251">
        <f>IF(DATE(2026,10,1)&gt;AsOf,"",IFERROR(AVERAGEIFS(Data!$AF$4:$AF$375,Data!$A$4:$A$375,"&gt;="&amp;DATE(2026,10,1),Data!$A$4:$A$375,"&lt;="&amp;(DATE(2026,10,1)+6),Data!$AF$4:$AF$375,"&gt;0"),""))</f>
        <v/>
      </c>
      <c r="F8" s="251">
        <f>IF(DATE(2026,10,1)&gt;AsOf,"",IFERROR(AVERAGEIFS(Data!$AF$4:$AF$375,Data!$A$4:$A$375,"&gt;="&amp;(EOMONTH(DATE(2026,10,1),0)-6),Data!$A$4:$A$375,"&lt;="&amp;EOMONTH(DATE(2026,10,1),0),Data!$AF$4:$AF$375,"&gt;0"),""))</f>
        <v/>
      </c>
      <c r="G8" s="252">
        <f>IF(DATE(2026,10,1)&gt;AsOf,"",IF(AND(ISNUMBER(E8),ISNUMBER(F8)),F8-E8,""))</f>
        <v/>
      </c>
      <c r="H8" s="251">
        <f>IF(DATE(2026,10,1)&gt;AsOf,"",IF(_xlfn.MAXIFS(Body!$B$17:$B$43,Body!$B$17:$B$43,"&gt;="&amp;DATE(2026,10,1),Body!$B$17:$B$43,"&lt;="&amp;EOMONTH(DATE(2026,10,1),0),Body!$D$17:$D$43,"&gt;0")=0,"",INDEX(Body!$D$17:$D$43,MATCH(_xlfn.MAXIFS(Body!$B$17:$B$43,Body!$B$17:$B$43,"&gt;="&amp;DATE(2026,10,1),Body!$B$17:$B$43,"&lt;="&amp;EOMONTH(DATE(2026,10,1),0),Body!$D$17:$D$43,"&gt;0"),Body!$B$17:$B$43,0))))</f>
        <v/>
      </c>
      <c r="I8" s="247">
        <f>IF(DATE(2026,10,1)&gt;AsOf,"",SUMIFS(Data!$O$4:$O$375,Data!$B$4:$B$375,1))</f>
        <v/>
      </c>
      <c r="J8" s="254">
        <f>IF(DATE(2026,10,1)&gt;AsOf,"",IF(I8=0,"",MIN(1,SUMIFS(Data!$P$4:$P$375,Data!$B$4:$B$375,1)/I8)))</f>
        <v/>
      </c>
      <c r="K8" s="251">
        <f>IF(DATE(2026,10,1)&gt;AsOf,"",IFERROR(AVERAGEIFS(Data!$AK$4:$AK$375,Data!$B$4:$B$375,1,Data!$AK$4:$AK$375,"&gt;0"),""))</f>
        <v/>
      </c>
      <c r="L8" s="251">
        <f>IF(DATE(2026,10,1)&gt;AsOf,"",IFERROR(AVERAGEIFS(Data!$AL$4:$AL$375,Data!$B$4:$B$375,1,Data!$AL$4:$AL$375,"&gt;0"),""))</f>
        <v/>
      </c>
      <c r="M8" s="255">
        <f>IF(DATE(2026,10,1)&gt;AsOf,"",IFERROR(AVERAGEIFS(Data!$AG$4:$AG$375,Data!$B$4:$B$375,1,Data!$AG$4:$AG$375,"&gt;0"),""))</f>
        <v/>
      </c>
      <c r="N8" s="247">
        <f>IF(DATE(2026,10,1)&gt;AsOf,"",IFERROR(AVERAGEIFS(Data!$AH$4:$AH$375,Data!$B$4:$B$375,1,Data!$AH$4:$AH$375,"&gt;0"),""))</f>
        <v/>
      </c>
      <c r="O8" s="247">
        <f>IF(DATE(2026,10,1)&gt;AsOf,"",SUMIFS(Data!$G$4:$G$375,Data!$B$4:$B$375,1))</f>
        <v/>
      </c>
      <c r="P8" s="247">
        <f>IF(DATE(2026,10,1)&gt;AsOf,"",SUMIFS(Data!$Z$4:$Z$375,Data!$B$4:$B$375,1))</f>
        <v/>
      </c>
      <c r="Q8" s="247">
        <f>IF(DATE(2026,10,1)&gt;AsOf,"",SUMIFS(Data!$X$4:$X$375,Data!$B$4:$B$375,1))</f>
        <v/>
      </c>
      <c r="R8" s="247">
        <f>IF(DATE(2026,10,1)&gt;AsOf,"",SUMIFS(Data!$W$4:$W$375,Data!$B$4:$B$375,1))</f>
        <v/>
      </c>
      <c r="S8" s="247">
        <f>IF(DATE(2026,10,1)&gt;AsOf,"",SUMIFS(Data!$BC$4:$BC$375,Data!$B$4:$B$375,1))</f>
        <v/>
      </c>
      <c r="T8" s="256" t="n"/>
      <c r="U8" s="269" t="n"/>
      <c r="V8" s="257" t="n"/>
      <c r="W8" s="257" t="n"/>
      <c r="X8" s="270" t="n"/>
      <c r="Y8" s="270" t="n"/>
      <c r="Z8" s="270" t="n"/>
      <c r="AA8" s="257" t="n"/>
      <c r="AB8" s="257" t="n"/>
      <c r="AC8" s="257" t="n"/>
      <c r="AD8" s="257" t="n"/>
      <c r="AE8" s="257" t="n"/>
      <c r="AF8" s="257" t="n"/>
      <c r="AG8" s="257" t="n"/>
      <c r="AH8" s="257" t="n"/>
      <c r="AI8" s="257" t="n"/>
      <c r="AJ8" s="257" t="n"/>
      <c r="AK8" s="257" t="n"/>
      <c r="AL8" s="1" t="n"/>
      <c r="AM8" s="1" t="n"/>
      <c r="AN8" s="1" t="n"/>
    </row>
    <row r="9" ht="30" customHeight="1">
      <c r="A9" s="1" t="n"/>
      <c r="B9" s="271">
        <f>DATE(2026,11,1)</f>
        <v/>
      </c>
      <c r="C9" s="260">
        <f>IF(DATE(2026,11,1)&gt;AsOf,"",IFERROR(AVERAGEIFS(Data!$BF$4:$BF$375,Data!$B$4:$B$375,2),""))</f>
        <v/>
      </c>
      <c r="D9" s="261">
        <f>IF(DATE(2026,11,1)&gt;AsOf,"",IF(NOT(ISNUMBER(C9)),"—",IF(C9&gt;=Band1,"GREEN",IF(C9&gt;=Band2,"GOOD",IF(C9&gt;=Band3,"NEEDS ATTENTION","RESET")))))</f>
        <v/>
      </c>
      <c r="E9" s="262">
        <f>IF(DATE(2026,11,1)&gt;AsOf,"",IFERROR(AVERAGEIFS(Data!$AF$4:$AF$375,Data!$A$4:$A$375,"&gt;="&amp;DATE(2026,11,1),Data!$A$4:$A$375,"&lt;="&amp;(DATE(2026,11,1)+6),Data!$AF$4:$AF$375,"&gt;0"),""))</f>
        <v/>
      </c>
      <c r="F9" s="262">
        <f>IF(DATE(2026,11,1)&gt;AsOf,"",IFERROR(AVERAGEIFS(Data!$AF$4:$AF$375,Data!$A$4:$A$375,"&gt;="&amp;(EOMONTH(DATE(2026,11,1),0)-6),Data!$A$4:$A$375,"&lt;="&amp;EOMONTH(DATE(2026,11,1),0),Data!$AF$4:$AF$375,"&gt;0"),""))</f>
        <v/>
      </c>
      <c r="G9" s="263">
        <f>IF(DATE(2026,11,1)&gt;AsOf,"",IF(AND(ISNUMBER(E9),ISNUMBER(F9)),F9-E9,""))</f>
        <v/>
      </c>
      <c r="H9" s="262">
        <f>IF(DATE(2026,11,1)&gt;AsOf,"",IF(_xlfn.MAXIFS(Body!$B$17:$B$43,Body!$B$17:$B$43,"&gt;="&amp;DATE(2026,11,1),Body!$B$17:$B$43,"&lt;="&amp;EOMONTH(DATE(2026,11,1),0),Body!$D$17:$D$43,"&gt;0")=0,"",INDEX(Body!$D$17:$D$43,MATCH(_xlfn.MAXIFS(Body!$B$17:$B$43,Body!$B$17:$B$43,"&gt;="&amp;DATE(2026,11,1),Body!$B$17:$B$43,"&lt;="&amp;EOMONTH(DATE(2026,11,1),0),Body!$D$17:$D$43,"&gt;0"),Body!$B$17:$B$43,0))))</f>
        <v/>
      </c>
      <c r="I9" s="258">
        <f>IF(DATE(2026,11,1)&gt;AsOf,"",SUMIFS(Data!$O$4:$O$375,Data!$B$4:$B$375,2))</f>
        <v/>
      </c>
      <c r="J9" s="265">
        <f>IF(DATE(2026,11,1)&gt;AsOf,"",IF(I9=0,"",MIN(1,SUMIFS(Data!$P$4:$P$375,Data!$B$4:$B$375,2)/I9)))</f>
        <v/>
      </c>
      <c r="K9" s="262">
        <f>IF(DATE(2026,11,1)&gt;AsOf,"",IFERROR(AVERAGEIFS(Data!$AK$4:$AK$375,Data!$B$4:$B$375,2,Data!$AK$4:$AK$375,"&gt;0"),""))</f>
        <v/>
      </c>
      <c r="L9" s="262">
        <f>IF(DATE(2026,11,1)&gt;AsOf,"",IFERROR(AVERAGEIFS(Data!$AL$4:$AL$375,Data!$B$4:$B$375,2,Data!$AL$4:$AL$375,"&gt;0"),""))</f>
        <v/>
      </c>
      <c r="M9" s="266">
        <f>IF(DATE(2026,11,1)&gt;AsOf,"",IFERROR(AVERAGEIFS(Data!$AG$4:$AG$375,Data!$B$4:$B$375,2,Data!$AG$4:$AG$375,"&gt;0"),""))</f>
        <v/>
      </c>
      <c r="N9" s="258">
        <f>IF(DATE(2026,11,1)&gt;AsOf,"",IFERROR(AVERAGEIFS(Data!$AH$4:$AH$375,Data!$B$4:$B$375,2,Data!$AH$4:$AH$375,"&gt;0"),""))</f>
        <v/>
      </c>
      <c r="O9" s="258">
        <f>IF(DATE(2026,11,1)&gt;AsOf,"",SUMIFS(Data!$G$4:$G$375,Data!$B$4:$B$375,2))</f>
        <v/>
      </c>
      <c r="P9" s="258">
        <f>IF(DATE(2026,11,1)&gt;AsOf,"",SUMIFS(Data!$Z$4:$Z$375,Data!$B$4:$B$375,2))</f>
        <v/>
      </c>
      <c r="Q9" s="258">
        <f>IF(DATE(2026,11,1)&gt;AsOf,"",SUMIFS(Data!$X$4:$X$375,Data!$B$4:$B$375,2))</f>
        <v/>
      </c>
      <c r="R9" s="258">
        <f>IF(DATE(2026,11,1)&gt;AsOf,"",SUMIFS(Data!$W$4:$W$375,Data!$B$4:$B$375,2))</f>
        <v/>
      </c>
      <c r="S9" s="258">
        <f>IF(DATE(2026,11,1)&gt;AsOf,"",SUMIFS(Data!$BC$4:$BC$375,Data!$B$4:$B$375,2))</f>
        <v/>
      </c>
      <c r="T9" s="91" t="n"/>
      <c r="U9" s="272" t="n"/>
      <c r="V9" s="267" t="n"/>
      <c r="W9" s="267" t="n"/>
      <c r="X9" s="273" t="n"/>
      <c r="Y9" s="273" t="n"/>
      <c r="Z9" s="273" t="n"/>
      <c r="AA9" s="267" t="n"/>
      <c r="AB9" s="267" t="n"/>
      <c r="AC9" s="267" t="n"/>
      <c r="AD9" s="267" t="n"/>
      <c r="AE9" s="267" t="n"/>
      <c r="AF9" s="267" t="n"/>
      <c r="AG9" s="267" t="n"/>
      <c r="AH9" s="267" t="n"/>
      <c r="AI9" s="267" t="n"/>
      <c r="AJ9" s="267" t="n"/>
      <c r="AK9" s="267" t="n"/>
      <c r="AL9" s="1" t="n"/>
      <c r="AM9" s="1" t="n"/>
      <c r="AN9" s="1" t="n"/>
    </row>
    <row r="10" ht="30" customHeight="1">
      <c r="A10" s="1" t="n"/>
      <c r="B10" s="268">
        <f>DATE(2026,12,1)</f>
        <v/>
      </c>
      <c r="C10" s="249">
        <f>IF(DATE(2026,12,1)&gt;AsOf,"",IFERROR(AVERAGEIFS(Data!$BF$4:$BF$375,Data!$B$4:$B$375,3),""))</f>
        <v/>
      </c>
      <c r="D10" s="250">
        <f>IF(DATE(2026,12,1)&gt;AsOf,"",IF(NOT(ISNUMBER(C10)),"—",IF(C10&gt;=Band1,"GREEN",IF(C10&gt;=Band2,"GOOD",IF(C10&gt;=Band3,"NEEDS ATTENTION","RESET")))))</f>
        <v/>
      </c>
      <c r="E10" s="251">
        <f>IF(DATE(2026,12,1)&gt;AsOf,"",IFERROR(AVERAGEIFS(Data!$AF$4:$AF$375,Data!$A$4:$A$375,"&gt;="&amp;DATE(2026,12,1),Data!$A$4:$A$375,"&lt;="&amp;(DATE(2026,12,1)+6),Data!$AF$4:$AF$375,"&gt;0"),""))</f>
        <v/>
      </c>
      <c r="F10" s="251">
        <f>IF(DATE(2026,12,1)&gt;AsOf,"",IFERROR(AVERAGEIFS(Data!$AF$4:$AF$375,Data!$A$4:$A$375,"&gt;="&amp;(EOMONTH(DATE(2026,12,1),0)-6),Data!$A$4:$A$375,"&lt;="&amp;EOMONTH(DATE(2026,12,1),0),Data!$AF$4:$AF$375,"&gt;0"),""))</f>
        <v/>
      </c>
      <c r="G10" s="252">
        <f>IF(DATE(2026,12,1)&gt;AsOf,"",IF(AND(ISNUMBER(E10),ISNUMBER(F10)),F10-E10,""))</f>
        <v/>
      </c>
      <c r="H10" s="251">
        <f>IF(DATE(2026,12,1)&gt;AsOf,"",IF(_xlfn.MAXIFS(Body!$B$17:$B$43,Body!$B$17:$B$43,"&gt;="&amp;DATE(2026,12,1),Body!$B$17:$B$43,"&lt;="&amp;EOMONTH(DATE(2026,12,1),0),Body!$D$17:$D$43,"&gt;0")=0,"",INDEX(Body!$D$17:$D$43,MATCH(_xlfn.MAXIFS(Body!$B$17:$B$43,Body!$B$17:$B$43,"&gt;="&amp;DATE(2026,12,1),Body!$B$17:$B$43,"&lt;="&amp;EOMONTH(DATE(2026,12,1),0),Body!$D$17:$D$43,"&gt;0"),Body!$B$17:$B$43,0))))</f>
        <v/>
      </c>
      <c r="I10" s="247">
        <f>IF(DATE(2026,12,1)&gt;AsOf,"",SUMIFS(Data!$O$4:$O$375,Data!$B$4:$B$375,3))</f>
        <v/>
      </c>
      <c r="J10" s="254">
        <f>IF(DATE(2026,12,1)&gt;AsOf,"",IF(I10=0,"",MIN(1,SUMIFS(Data!$P$4:$P$375,Data!$B$4:$B$375,3)/I10)))</f>
        <v/>
      </c>
      <c r="K10" s="251">
        <f>IF(DATE(2026,12,1)&gt;AsOf,"",IFERROR(AVERAGEIFS(Data!$AK$4:$AK$375,Data!$B$4:$B$375,3,Data!$AK$4:$AK$375,"&gt;0"),""))</f>
        <v/>
      </c>
      <c r="L10" s="251">
        <f>IF(DATE(2026,12,1)&gt;AsOf,"",IFERROR(AVERAGEIFS(Data!$AL$4:$AL$375,Data!$B$4:$B$375,3,Data!$AL$4:$AL$375,"&gt;0"),""))</f>
        <v/>
      </c>
      <c r="M10" s="255">
        <f>IF(DATE(2026,12,1)&gt;AsOf,"",IFERROR(AVERAGEIFS(Data!$AG$4:$AG$375,Data!$B$4:$B$375,3,Data!$AG$4:$AG$375,"&gt;0"),""))</f>
        <v/>
      </c>
      <c r="N10" s="247">
        <f>IF(DATE(2026,12,1)&gt;AsOf,"",IFERROR(AVERAGEIFS(Data!$AH$4:$AH$375,Data!$B$4:$B$375,3,Data!$AH$4:$AH$375,"&gt;0"),""))</f>
        <v/>
      </c>
      <c r="O10" s="247">
        <f>IF(DATE(2026,12,1)&gt;AsOf,"",SUMIFS(Data!$G$4:$G$375,Data!$B$4:$B$375,3))</f>
        <v/>
      </c>
      <c r="P10" s="247">
        <f>IF(DATE(2026,12,1)&gt;AsOf,"",SUMIFS(Data!$Z$4:$Z$375,Data!$B$4:$B$375,3))</f>
        <v/>
      </c>
      <c r="Q10" s="247">
        <f>IF(DATE(2026,12,1)&gt;AsOf,"",SUMIFS(Data!$X$4:$X$375,Data!$B$4:$B$375,3))</f>
        <v/>
      </c>
      <c r="R10" s="247">
        <f>IF(DATE(2026,12,1)&gt;AsOf,"",SUMIFS(Data!$W$4:$W$375,Data!$B$4:$B$375,3))</f>
        <v/>
      </c>
      <c r="S10" s="247">
        <f>IF(DATE(2026,12,1)&gt;AsOf,"",SUMIFS(Data!$BC$4:$BC$375,Data!$B$4:$B$375,3))</f>
        <v/>
      </c>
      <c r="T10" s="256" t="n"/>
      <c r="U10" s="269" t="n"/>
      <c r="V10" s="257" t="n"/>
      <c r="W10" s="257" t="n"/>
      <c r="X10" s="270" t="n"/>
      <c r="Y10" s="270" t="n"/>
      <c r="Z10" s="270" t="n"/>
      <c r="AA10" s="257" t="n"/>
      <c r="AB10" s="257" t="n"/>
      <c r="AC10" s="257" t="n"/>
      <c r="AD10" s="257" t="n"/>
      <c r="AE10" s="257" t="n"/>
      <c r="AF10" s="257" t="n"/>
      <c r="AG10" s="257" t="n"/>
      <c r="AH10" s="257" t="n"/>
      <c r="AI10" s="257" t="n"/>
      <c r="AJ10" s="257" t="n"/>
      <c r="AK10" s="257" t="n"/>
      <c r="AL10" s="1" t="n"/>
      <c r="AM10" s="1" t="n"/>
      <c r="AN10" s="1" t="n"/>
    </row>
    <row r="11" ht="30" customHeight="1">
      <c r="A11" s="1" t="n"/>
      <c r="B11" s="271">
        <f>DATE(2027,1,1)</f>
        <v/>
      </c>
      <c r="C11" s="260">
        <f>IF(DATE(2027,1,1)&gt;AsOf,"",IFERROR(AVERAGEIFS(Data!$BF$4:$BF$375,Data!$B$4:$B$375,4),""))</f>
        <v/>
      </c>
      <c r="D11" s="261">
        <f>IF(DATE(2027,1,1)&gt;AsOf,"",IF(NOT(ISNUMBER(C11)),"—",IF(C11&gt;=Band1,"GREEN",IF(C11&gt;=Band2,"GOOD",IF(C11&gt;=Band3,"NEEDS ATTENTION","RESET")))))</f>
        <v/>
      </c>
      <c r="E11" s="262">
        <f>IF(DATE(2027,1,1)&gt;AsOf,"",IFERROR(AVERAGEIFS(Data!$AF$4:$AF$375,Data!$A$4:$A$375,"&gt;="&amp;DATE(2027,1,1),Data!$A$4:$A$375,"&lt;="&amp;(DATE(2027,1,1)+6),Data!$AF$4:$AF$375,"&gt;0"),""))</f>
        <v/>
      </c>
      <c r="F11" s="262">
        <f>IF(DATE(2027,1,1)&gt;AsOf,"",IFERROR(AVERAGEIFS(Data!$AF$4:$AF$375,Data!$A$4:$A$375,"&gt;="&amp;(EOMONTH(DATE(2027,1,1),0)-6),Data!$A$4:$A$375,"&lt;="&amp;EOMONTH(DATE(2027,1,1),0),Data!$AF$4:$AF$375,"&gt;0"),""))</f>
        <v/>
      </c>
      <c r="G11" s="263">
        <f>IF(DATE(2027,1,1)&gt;AsOf,"",IF(AND(ISNUMBER(E11),ISNUMBER(F11)),F11-E11,""))</f>
        <v/>
      </c>
      <c r="H11" s="262">
        <f>IF(DATE(2027,1,1)&gt;AsOf,"",IF(_xlfn.MAXIFS(Body!$B$17:$B$43,Body!$B$17:$B$43,"&gt;="&amp;DATE(2027,1,1),Body!$B$17:$B$43,"&lt;="&amp;EOMONTH(DATE(2027,1,1),0),Body!$D$17:$D$43,"&gt;0")=0,"",INDEX(Body!$D$17:$D$43,MATCH(_xlfn.MAXIFS(Body!$B$17:$B$43,Body!$B$17:$B$43,"&gt;="&amp;DATE(2027,1,1),Body!$B$17:$B$43,"&lt;="&amp;EOMONTH(DATE(2027,1,1),0),Body!$D$17:$D$43,"&gt;0"),Body!$B$17:$B$43,0))))</f>
        <v/>
      </c>
      <c r="I11" s="258">
        <f>IF(DATE(2027,1,1)&gt;AsOf,"",SUMIFS(Data!$O$4:$O$375,Data!$B$4:$B$375,4))</f>
        <v/>
      </c>
      <c r="J11" s="265">
        <f>IF(DATE(2027,1,1)&gt;AsOf,"",IF(I11=0,"",MIN(1,SUMIFS(Data!$P$4:$P$375,Data!$B$4:$B$375,4)/I11)))</f>
        <v/>
      </c>
      <c r="K11" s="262">
        <f>IF(DATE(2027,1,1)&gt;AsOf,"",IFERROR(AVERAGEIFS(Data!$AK$4:$AK$375,Data!$B$4:$B$375,4,Data!$AK$4:$AK$375,"&gt;0"),""))</f>
        <v/>
      </c>
      <c r="L11" s="262">
        <f>IF(DATE(2027,1,1)&gt;AsOf,"",IFERROR(AVERAGEIFS(Data!$AL$4:$AL$375,Data!$B$4:$B$375,4,Data!$AL$4:$AL$375,"&gt;0"),""))</f>
        <v/>
      </c>
      <c r="M11" s="266">
        <f>IF(DATE(2027,1,1)&gt;AsOf,"",IFERROR(AVERAGEIFS(Data!$AG$4:$AG$375,Data!$B$4:$B$375,4,Data!$AG$4:$AG$375,"&gt;0"),""))</f>
        <v/>
      </c>
      <c r="N11" s="258">
        <f>IF(DATE(2027,1,1)&gt;AsOf,"",IFERROR(AVERAGEIFS(Data!$AH$4:$AH$375,Data!$B$4:$B$375,4,Data!$AH$4:$AH$375,"&gt;0"),""))</f>
        <v/>
      </c>
      <c r="O11" s="258">
        <f>IF(DATE(2027,1,1)&gt;AsOf,"",SUMIFS(Data!$G$4:$G$375,Data!$B$4:$B$375,4))</f>
        <v/>
      </c>
      <c r="P11" s="258">
        <f>IF(DATE(2027,1,1)&gt;AsOf,"",SUMIFS(Data!$Z$4:$Z$375,Data!$B$4:$B$375,4))</f>
        <v/>
      </c>
      <c r="Q11" s="258">
        <f>IF(DATE(2027,1,1)&gt;AsOf,"",SUMIFS(Data!$X$4:$X$375,Data!$B$4:$B$375,4))</f>
        <v/>
      </c>
      <c r="R11" s="258">
        <f>IF(DATE(2027,1,1)&gt;AsOf,"",SUMIFS(Data!$W$4:$W$375,Data!$B$4:$B$375,4))</f>
        <v/>
      </c>
      <c r="S11" s="258">
        <f>IF(DATE(2027,1,1)&gt;AsOf,"",SUMIFS(Data!$BC$4:$BC$375,Data!$B$4:$B$375,4))</f>
        <v/>
      </c>
      <c r="T11" s="91" t="n"/>
      <c r="U11" s="272" t="n"/>
      <c r="V11" s="267" t="n"/>
      <c r="W11" s="267" t="n"/>
      <c r="X11" s="273" t="n"/>
      <c r="Y11" s="273" t="n"/>
      <c r="Z11" s="273" t="n"/>
      <c r="AA11" s="267" t="n"/>
      <c r="AB11" s="267" t="n"/>
      <c r="AC11" s="267" t="n"/>
      <c r="AD11" s="267" t="n"/>
      <c r="AE11" s="267" t="n"/>
      <c r="AF11" s="267" t="n"/>
      <c r="AG11" s="267" t="n"/>
      <c r="AH11" s="267" t="n"/>
      <c r="AI11" s="267" t="n"/>
      <c r="AJ11" s="267" t="n"/>
      <c r="AK11" s="267" t="n"/>
      <c r="AL11" s="1" t="n"/>
      <c r="AM11" s="1" t="n"/>
      <c r="AN11" s="1" t="n"/>
    </row>
    <row r="12" ht="30" customHeight="1">
      <c r="A12" s="1" t="n"/>
      <c r="B12" s="268">
        <f>DATE(2027,2,1)</f>
        <v/>
      </c>
      <c r="C12" s="249">
        <f>IF(DATE(2027,2,1)&gt;AsOf,"",IFERROR(AVERAGEIFS(Data!$BF$4:$BF$375,Data!$B$4:$B$375,5),""))</f>
        <v/>
      </c>
      <c r="D12" s="250">
        <f>IF(DATE(2027,2,1)&gt;AsOf,"",IF(NOT(ISNUMBER(C12)),"—",IF(C12&gt;=Band1,"GREEN",IF(C12&gt;=Band2,"GOOD",IF(C12&gt;=Band3,"NEEDS ATTENTION","RESET")))))</f>
        <v/>
      </c>
      <c r="E12" s="251">
        <f>IF(DATE(2027,2,1)&gt;AsOf,"",IFERROR(AVERAGEIFS(Data!$AF$4:$AF$375,Data!$A$4:$A$375,"&gt;="&amp;DATE(2027,2,1),Data!$A$4:$A$375,"&lt;="&amp;(DATE(2027,2,1)+6),Data!$AF$4:$AF$375,"&gt;0"),""))</f>
        <v/>
      </c>
      <c r="F12" s="251">
        <f>IF(DATE(2027,2,1)&gt;AsOf,"",IFERROR(AVERAGEIFS(Data!$AF$4:$AF$375,Data!$A$4:$A$375,"&gt;="&amp;(EOMONTH(DATE(2027,2,1),0)-6),Data!$A$4:$A$375,"&lt;="&amp;EOMONTH(DATE(2027,2,1),0),Data!$AF$4:$AF$375,"&gt;0"),""))</f>
        <v/>
      </c>
      <c r="G12" s="252">
        <f>IF(DATE(2027,2,1)&gt;AsOf,"",IF(AND(ISNUMBER(E12),ISNUMBER(F12)),F12-E12,""))</f>
        <v/>
      </c>
      <c r="H12" s="251">
        <f>IF(DATE(2027,2,1)&gt;AsOf,"",IF(_xlfn.MAXIFS(Body!$B$17:$B$43,Body!$B$17:$B$43,"&gt;="&amp;DATE(2027,2,1),Body!$B$17:$B$43,"&lt;="&amp;EOMONTH(DATE(2027,2,1),0),Body!$D$17:$D$43,"&gt;0")=0,"",INDEX(Body!$D$17:$D$43,MATCH(_xlfn.MAXIFS(Body!$B$17:$B$43,Body!$B$17:$B$43,"&gt;="&amp;DATE(2027,2,1),Body!$B$17:$B$43,"&lt;="&amp;EOMONTH(DATE(2027,2,1),0),Body!$D$17:$D$43,"&gt;0"),Body!$B$17:$B$43,0))))</f>
        <v/>
      </c>
      <c r="I12" s="247">
        <f>IF(DATE(2027,2,1)&gt;AsOf,"",SUMIFS(Data!$O$4:$O$375,Data!$B$4:$B$375,5))</f>
        <v/>
      </c>
      <c r="J12" s="254">
        <f>IF(DATE(2027,2,1)&gt;AsOf,"",IF(I12=0,"",MIN(1,SUMIFS(Data!$P$4:$P$375,Data!$B$4:$B$375,5)/I12)))</f>
        <v/>
      </c>
      <c r="K12" s="251">
        <f>IF(DATE(2027,2,1)&gt;AsOf,"",IFERROR(AVERAGEIFS(Data!$AK$4:$AK$375,Data!$B$4:$B$375,5,Data!$AK$4:$AK$375,"&gt;0"),""))</f>
        <v/>
      </c>
      <c r="L12" s="251">
        <f>IF(DATE(2027,2,1)&gt;AsOf,"",IFERROR(AVERAGEIFS(Data!$AL$4:$AL$375,Data!$B$4:$B$375,5,Data!$AL$4:$AL$375,"&gt;0"),""))</f>
        <v/>
      </c>
      <c r="M12" s="255">
        <f>IF(DATE(2027,2,1)&gt;AsOf,"",IFERROR(AVERAGEIFS(Data!$AG$4:$AG$375,Data!$B$4:$B$375,5,Data!$AG$4:$AG$375,"&gt;0"),""))</f>
        <v/>
      </c>
      <c r="N12" s="247">
        <f>IF(DATE(2027,2,1)&gt;AsOf,"",IFERROR(AVERAGEIFS(Data!$AH$4:$AH$375,Data!$B$4:$B$375,5,Data!$AH$4:$AH$375,"&gt;0"),""))</f>
        <v/>
      </c>
      <c r="O12" s="247">
        <f>IF(DATE(2027,2,1)&gt;AsOf,"",SUMIFS(Data!$G$4:$G$375,Data!$B$4:$B$375,5))</f>
        <v/>
      </c>
      <c r="P12" s="247">
        <f>IF(DATE(2027,2,1)&gt;AsOf,"",SUMIFS(Data!$Z$4:$Z$375,Data!$B$4:$B$375,5))</f>
        <v/>
      </c>
      <c r="Q12" s="247">
        <f>IF(DATE(2027,2,1)&gt;AsOf,"",SUMIFS(Data!$X$4:$X$375,Data!$B$4:$B$375,5))</f>
        <v/>
      </c>
      <c r="R12" s="247">
        <f>IF(DATE(2027,2,1)&gt;AsOf,"",SUMIFS(Data!$W$4:$W$375,Data!$B$4:$B$375,5))</f>
        <v/>
      </c>
      <c r="S12" s="247">
        <f>IF(DATE(2027,2,1)&gt;AsOf,"",SUMIFS(Data!$BC$4:$BC$375,Data!$B$4:$B$375,5))</f>
        <v/>
      </c>
      <c r="T12" s="256" t="n"/>
      <c r="U12" s="269" t="n"/>
      <c r="V12" s="257" t="n"/>
      <c r="W12" s="257" t="n"/>
      <c r="X12" s="270" t="n"/>
      <c r="Y12" s="270" t="n"/>
      <c r="Z12" s="270" t="n"/>
      <c r="AA12" s="257" t="n"/>
      <c r="AB12" s="257" t="n"/>
      <c r="AC12" s="257" t="n"/>
      <c r="AD12" s="257" t="n"/>
      <c r="AE12" s="257" t="n"/>
      <c r="AF12" s="257" t="n"/>
      <c r="AG12" s="257" t="n"/>
      <c r="AH12" s="257" t="n"/>
      <c r="AI12" s="257" t="n"/>
      <c r="AJ12" s="257" t="n"/>
      <c r="AK12" s="257" t="n"/>
      <c r="AL12" s="1" t="n"/>
      <c r="AM12" s="1" t="n"/>
      <c r="AN12" s="1" t="n"/>
    </row>
    <row r="13" ht="30" customHeight="1">
      <c r="A13" s="1" t="n"/>
      <c r="B13" s="271">
        <f>DATE(2027,3,1)</f>
        <v/>
      </c>
      <c r="C13" s="260">
        <f>IF(DATE(2027,3,1)&gt;AsOf,"",IFERROR(AVERAGEIFS(Data!$BF$4:$BF$375,Data!$B$4:$B$375,6),""))</f>
        <v/>
      </c>
      <c r="D13" s="261">
        <f>IF(DATE(2027,3,1)&gt;AsOf,"",IF(NOT(ISNUMBER(C13)),"—",IF(C13&gt;=Band1,"GREEN",IF(C13&gt;=Band2,"GOOD",IF(C13&gt;=Band3,"NEEDS ATTENTION","RESET")))))</f>
        <v/>
      </c>
      <c r="E13" s="262">
        <f>IF(DATE(2027,3,1)&gt;AsOf,"",IFERROR(AVERAGEIFS(Data!$AF$4:$AF$375,Data!$A$4:$A$375,"&gt;="&amp;DATE(2027,3,1),Data!$A$4:$A$375,"&lt;="&amp;(DATE(2027,3,1)+6),Data!$AF$4:$AF$375,"&gt;0"),""))</f>
        <v/>
      </c>
      <c r="F13" s="262">
        <f>IF(DATE(2027,3,1)&gt;AsOf,"",IFERROR(AVERAGEIFS(Data!$AF$4:$AF$375,Data!$A$4:$A$375,"&gt;="&amp;(EOMONTH(DATE(2027,3,1),0)-6),Data!$A$4:$A$375,"&lt;="&amp;EOMONTH(DATE(2027,3,1),0),Data!$AF$4:$AF$375,"&gt;0"),""))</f>
        <v/>
      </c>
      <c r="G13" s="263">
        <f>IF(DATE(2027,3,1)&gt;AsOf,"",IF(AND(ISNUMBER(E13),ISNUMBER(F13)),F13-E13,""))</f>
        <v/>
      </c>
      <c r="H13" s="262">
        <f>IF(DATE(2027,3,1)&gt;AsOf,"",IF(_xlfn.MAXIFS(Body!$B$17:$B$43,Body!$B$17:$B$43,"&gt;="&amp;DATE(2027,3,1),Body!$B$17:$B$43,"&lt;="&amp;EOMONTH(DATE(2027,3,1),0),Body!$D$17:$D$43,"&gt;0")=0,"",INDEX(Body!$D$17:$D$43,MATCH(_xlfn.MAXIFS(Body!$B$17:$B$43,Body!$B$17:$B$43,"&gt;="&amp;DATE(2027,3,1),Body!$B$17:$B$43,"&lt;="&amp;EOMONTH(DATE(2027,3,1),0),Body!$D$17:$D$43,"&gt;0"),Body!$B$17:$B$43,0))))</f>
        <v/>
      </c>
      <c r="I13" s="258">
        <f>IF(DATE(2027,3,1)&gt;AsOf,"",SUMIFS(Data!$O$4:$O$375,Data!$B$4:$B$375,6))</f>
        <v/>
      </c>
      <c r="J13" s="265">
        <f>IF(DATE(2027,3,1)&gt;AsOf,"",IF(I13=0,"",MIN(1,SUMIFS(Data!$P$4:$P$375,Data!$B$4:$B$375,6)/I13)))</f>
        <v/>
      </c>
      <c r="K13" s="262">
        <f>IF(DATE(2027,3,1)&gt;AsOf,"",IFERROR(AVERAGEIFS(Data!$AK$4:$AK$375,Data!$B$4:$B$375,6,Data!$AK$4:$AK$375,"&gt;0"),""))</f>
        <v/>
      </c>
      <c r="L13" s="262">
        <f>IF(DATE(2027,3,1)&gt;AsOf,"",IFERROR(AVERAGEIFS(Data!$AL$4:$AL$375,Data!$B$4:$B$375,6,Data!$AL$4:$AL$375,"&gt;0"),""))</f>
        <v/>
      </c>
      <c r="M13" s="266">
        <f>IF(DATE(2027,3,1)&gt;AsOf,"",IFERROR(AVERAGEIFS(Data!$AG$4:$AG$375,Data!$B$4:$B$375,6,Data!$AG$4:$AG$375,"&gt;0"),""))</f>
        <v/>
      </c>
      <c r="N13" s="258">
        <f>IF(DATE(2027,3,1)&gt;AsOf,"",IFERROR(AVERAGEIFS(Data!$AH$4:$AH$375,Data!$B$4:$B$375,6,Data!$AH$4:$AH$375,"&gt;0"),""))</f>
        <v/>
      </c>
      <c r="O13" s="258">
        <f>IF(DATE(2027,3,1)&gt;AsOf,"",SUMIFS(Data!$G$4:$G$375,Data!$B$4:$B$375,6))</f>
        <v/>
      </c>
      <c r="P13" s="258">
        <f>IF(DATE(2027,3,1)&gt;AsOf,"",SUMIFS(Data!$Z$4:$Z$375,Data!$B$4:$B$375,6))</f>
        <v/>
      </c>
      <c r="Q13" s="258">
        <f>IF(DATE(2027,3,1)&gt;AsOf,"",SUMIFS(Data!$X$4:$X$375,Data!$B$4:$B$375,6))</f>
        <v/>
      </c>
      <c r="R13" s="258">
        <f>IF(DATE(2027,3,1)&gt;AsOf,"",SUMIFS(Data!$W$4:$W$375,Data!$B$4:$B$375,6))</f>
        <v/>
      </c>
      <c r="S13" s="258">
        <f>IF(DATE(2027,3,1)&gt;AsOf,"",SUMIFS(Data!$BC$4:$BC$375,Data!$B$4:$B$375,6))</f>
        <v/>
      </c>
      <c r="T13" s="91" t="n"/>
      <c r="U13" s="272" t="n"/>
      <c r="V13" s="267" t="n"/>
      <c r="W13" s="267" t="n"/>
      <c r="X13" s="273" t="n"/>
      <c r="Y13" s="273" t="n"/>
      <c r="Z13" s="273" t="n"/>
      <c r="AA13" s="267" t="n"/>
      <c r="AB13" s="267" t="n"/>
      <c r="AC13" s="267" t="n"/>
      <c r="AD13" s="267" t="n"/>
      <c r="AE13" s="267" t="n"/>
      <c r="AF13" s="267" t="n"/>
      <c r="AG13" s="267" t="n"/>
      <c r="AH13" s="267" t="n"/>
      <c r="AI13" s="267" t="n"/>
      <c r="AJ13" s="267" t="n"/>
      <c r="AK13" s="267" t="n"/>
      <c r="AL13" s="1" t="n"/>
      <c r="AM13" s="1" t="n"/>
      <c r="AN13" s="1" t="n"/>
    </row>
    <row r="14" ht="30" customHeight="1">
      <c r="A14" s="1" t="n"/>
      <c r="B14" s="268">
        <f>DATE(2027,4,1)</f>
        <v/>
      </c>
      <c r="C14" s="249">
        <f>IF(DATE(2027,4,1)&gt;AsOf,"",IFERROR(AVERAGEIFS(Data!$BF$4:$BF$375,Data!$B$4:$B$375,7),""))</f>
        <v/>
      </c>
      <c r="D14" s="250">
        <f>IF(DATE(2027,4,1)&gt;AsOf,"",IF(NOT(ISNUMBER(C14)),"—",IF(C14&gt;=Band1,"GREEN",IF(C14&gt;=Band2,"GOOD",IF(C14&gt;=Band3,"NEEDS ATTENTION","RESET")))))</f>
        <v/>
      </c>
      <c r="E14" s="251">
        <f>IF(DATE(2027,4,1)&gt;AsOf,"",IFERROR(AVERAGEIFS(Data!$AF$4:$AF$375,Data!$A$4:$A$375,"&gt;="&amp;DATE(2027,4,1),Data!$A$4:$A$375,"&lt;="&amp;(DATE(2027,4,1)+6),Data!$AF$4:$AF$375,"&gt;0"),""))</f>
        <v/>
      </c>
      <c r="F14" s="251">
        <f>IF(DATE(2027,4,1)&gt;AsOf,"",IFERROR(AVERAGEIFS(Data!$AF$4:$AF$375,Data!$A$4:$A$375,"&gt;="&amp;(EOMONTH(DATE(2027,4,1),0)-6),Data!$A$4:$A$375,"&lt;="&amp;EOMONTH(DATE(2027,4,1),0),Data!$AF$4:$AF$375,"&gt;0"),""))</f>
        <v/>
      </c>
      <c r="G14" s="252">
        <f>IF(DATE(2027,4,1)&gt;AsOf,"",IF(AND(ISNUMBER(E14),ISNUMBER(F14)),F14-E14,""))</f>
        <v/>
      </c>
      <c r="H14" s="251">
        <f>IF(DATE(2027,4,1)&gt;AsOf,"",IF(_xlfn.MAXIFS(Body!$B$17:$B$43,Body!$B$17:$B$43,"&gt;="&amp;DATE(2027,4,1),Body!$B$17:$B$43,"&lt;="&amp;EOMONTH(DATE(2027,4,1),0),Body!$D$17:$D$43,"&gt;0")=0,"",INDEX(Body!$D$17:$D$43,MATCH(_xlfn.MAXIFS(Body!$B$17:$B$43,Body!$B$17:$B$43,"&gt;="&amp;DATE(2027,4,1),Body!$B$17:$B$43,"&lt;="&amp;EOMONTH(DATE(2027,4,1),0),Body!$D$17:$D$43,"&gt;0"),Body!$B$17:$B$43,0))))</f>
        <v/>
      </c>
      <c r="I14" s="247">
        <f>IF(DATE(2027,4,1)&gt;AsOf,"",SUMIFS(Data!$O$4:$O$375,Data!$B$4:$B$375,7))</f>
        <v/>
      </c>
      <c r="J14" s="254">
        <f>IF(DATE(2027,4,1)&gt;AsOf,"",IF(I14=0,"",MIN(1,SUMIFS(Data!$P$4:$P$375,Data!$B$4:$B$375,7)/I14)))</f>
        <v/>
      </c>
      <c r="K14" s="251">
        <f>IF(DATE(2027,4,1)&gt;AsOf,"",IFERROR(AVERAGEIFS(Data!$AK$4:$AK$375,Data!$B$4:$B$375,7,Data!$AK$4:$AK$375,"&gt;0"),""))</f>
        <v/>
      </c>
      <c r="L14" s="251">
        <f>IF(DATE(2027,4,1)&gt;AsOf,"",IFERROR(AVERAGEIFS(Data!$AL$4:$AL$375,Data!$B$4:$B$375,7,Data!$AL$4:$AL$375,"&gt;0"),""))</f>
        <v/>
      </c>
      <c r="M14" s="255">
        <f>IF(DATE(2027,4,1)&gt;AsOf,"",IFERROR(AVERAGEIFS(Data!$AG$4:$AG$375,Data!$B$4:$B$375,7,Data!$AG$4:$AG$375,"&gt;0"),""))</f>
        <v/>
      </c>
      <c r="N14" s="247">
        <f>IF(DATE(2027,4,1)&gt;AsOf,"",IFERROR(AVERAGEIFS(Data!$AH$4:$AH$375,Data!$B$4:$B$375,7,Data!$AH$4:$AH$375,"&gt;0"),""))</f>
        <v/>
      </c>
      <c r="O14" s="247">
        <f>IF(DATE(2027,4,1)&gt;AsOf,"",SUMIFS(Data!$G$4:$G$375,Data!$B$4:$B$375,7))</f>
        <v/>
      </c>
      <c r="P14" s="247">
        <f>IF(DATE(2027,4,1)&gt;AsOf,"",SUMIFS(Data!$Z$4:$Z$375,Data!$B$4:$B$375,7))</f>
        <v/>
      </c>
      <c r="Q14" s="247">
        <f>IF(DATE(2027,4,1)&gt;AsOf,"",SUMIFS(Data!$X$4:$X$375,Data!$B$4:$B$375,7))</f>
        <v/>
      </c>
      <c r="R14" s="247">
        <f>IF(DATE(2027,4,1)&gt;AsOf,"",SUMIFS(Data!$W$4:$W$375,Data!$B$4:$B$375,7))</f>
        <v/>
      </c>
      <c r="S14" s="247">
        <f>IF(DATE(2027,4,1)&gt;AsOf,"",SUMIFS(Data!$BC$4:$BC$375,Data!$B$4:$B$375,7))</f>
        <v/>
      </c>
      <c r="T14" s="256" t="n"/>
      <c r="U14" s="269" t="n"/>
      <c r="V14" s="257" t="n"/>
      <c r="W14" s="257" t="n"/>
      <c r="X14" s="270" t="n"/>
      <c r="Y14" s="270" t="n"/>
      <c r="Z14" s="270" t="n"/>
      <c r="AA14" s="257" t="n"/>
      <c r="AB14" s="257" t="n"/>
      <c r="AC14" s="257" t="n"/>
      <c r="AD14" s="257" t="n"/>
      <c r="AE14" s="257" t="n"/>
      <c r="AF14" s="257" t="n"/>
      <c r="AG14" s="257" t="n"/>
      <c r="AH14" s="257" t="n"/>
      <c r="AI14" s="257" t="n"/>
      <c r="AJ14" s="257" t="n"/>
      <c r="AK14" s="257" t="n"/>
      <c r="AL14" s="1" t="n"/>
      <c r="AM14" s="1" t="n"/>
      <c r="AN14" s="1" t="n"/>
    </row>
    <row r="15" ht="30" customHeight="1">
      <c r="A15" s="1" t="n"/>
      <c r="B15" s="271">
        <f>DATE(2027,5,1)</f>
        <v/>
      </c>
      <c r="C15" s="260">
        <f>IF(DATE(2027,5,1)&gt;AsOf,"",IFERROR(AVERAGEIFS(Data!$BF$4:$BF$375,Data!$B$4:$B$375,8),""))</f>
        <v/>
      </c>
      <c r="D15" s="261">
        <f>IF(DATE(2027,5,1)&gt;AsOf,"",IF(NOT(ISNUMBER(C15)),"—",IF(C15&gt;=Band1,"GREEN",IF(C15&gt;=Band2,"GOOD",IF(C15&gt;=Band3,"NEEDS ATTENTION","RESET")))))</f>
        <v/>
      </c>
      <c r="E15" s="262">
        <f>IF(DATE(2027,5,1)&gt;AsOf,"",IFERROR(AVERAGEIFS(Data!$AF$4:$AF$375,Data!$A$4:$A$375,"&gt;="&amp;DATE(2027,5,1),Data!$A$4:$A$375,"&lt;="&amp;(DATE(2027,5,1)+6),Data!$AF$4:$AF$375,"&gt;0"),""))</f>
        <v/>
      </c>
      <c r="F15" s="262">
        <f>IF(DATE(2027,5,1)&gt;AsOf,"",IFERROR(AVERAGEIFS(Data!$AF$4:$AF$375,Data!$A$4:$A$375,"&gt;="&amp;(EOMONTH(DATE(2027,5,1),0)-6),Data!$A$4:$A$375,"&lt;="&amp;EOMONTH(DATE(2027,5,1),0),Data!$AF$4:$AF$375,"&gt;0"),""))</f>
        <v/>
      </c>
      <c r="G15" s="263">
        <f>IF(DATE(2027,5,1)&gt;AsOf,"",IF(AND(ISNUMBER(E15),ISNUMBER(F15)),F15-E15,""))</f>
        <v/>
      </c>
      <c r="H15" s="262">
        <f>IF(DATE(2027,5,1)&gt;AsOf,"",IF(_xlfn.MAXIFS(Body!$B$17:$B$43,Body!$B$17:$B$43,"&gt;="&amp;DATE(2027,5,1),Body!$B$17:$B$43,"&lt;="&amp;EOMONTH(DATE(2027,5,1),0),Body!$D$17:$D$43,"&gt;0")=0,"",INDEX(Body!$D$17:$D$43,MATCH(_xlfn.MAXIFS(Body!$B$17:$B$43,Body!$B$17:$B$43,"&gt;="&amp;DATE(2027,5,1),Body!$B$17:$B$43,"&lt;="&amp;EOMONTH(DATE(2027,5,1),0),Body!$D$17:$D$43,"&gt;0"),Body!$B$17:$B$43,0))))</f>
        <v/>
      </c>
      <c r="I15" s="258">
        <f>IF(DATE(2027,5,1)&gt;AsOf,"",SUMIFS(Data!$O$4:$O$375,Data!$B$4:$B$375,8))</f>
        <v/>
      </c>
      <c r="J15" s="265">
        <f>IF(DATE(2027,5,1)&gt;AsOf,"",IF(I15=0,"",MIN(1,SUMIFS(Data!$P$4:$P$375,Data!$B$4:$B$375,8)/I15)))</f>
        <v/>
      </c>
      <c r="K15" s="262">
        <f>IF(DATE(2027,5,1)&gt;AsOf,"",IFERROR(AVERAGEIFS(Data!$AK$4:$AK$375,Data!$B$4:$B$375,8,Data!$AK$4:$AK$375,"&gt;0"),""))</f>
        <v/>
      </c>
      <c r="L15" s="262">
        <f>IF(DATE(2027,5,1)&gt;AsOf,"",IFERROR(AVERAGEIFS(Data!$AL$4:$AL$375,Data!$B$4:$B$375,8,Data!$AL$4:$AL$375,"&gt;0"),""))</f>
        <v/>
      </c>
      <c r="M15" s="266">
        <f>IF(DATE(2027,5,1)&gt;AsOf,"",IFERROR(AVERAGEIFS(Data!$AG$4:$AG$375,Data!$B$4:$B$375,8,Data!$AG$4:$AG$375,"&gt;0"),""))</f>
        <v/>
      </c>
      <c r="N15" s="258">
        <f>IF(DATE(2027,5,1)&gt;AsOf,"",IFERROR(AVERAGEIFS(Data!$AH$4:$AH$375,Data!$B$4:$B$375,8,Data!$AH$4:$AH$375,"&gt;0"),""))</f>
        <v/>
      </c>
      <c r="O15" s="258">
        <f>IF(DATE(2027,5,1)&gt;AsOf,"",SUMIFS(Data!$G$4:$G$375,Data!$B$4:$B$375,8))</f>
        <v/>
      </c>
      <c r="P15" s="258">
        <f>IF(DATE(2027,5,1)&gt;AsOf,"",SUMIFS(Data!$Z$4:$Z$375,Data!$B$4:$B$375,8))</f>
        <v/>
      </c>
      <c r="Q15" s="258">
        <f>IF(DATE(2027,5,1)&gt;AsOf,"",SUMIFS(Data!$X$4:$X$375,Data!$B$4:$B$375,8))</f>
        <v/>
      </c>
      <c r="R15" s="258">
        <f>IF(DATE(2027,5,1)&gt;AsOf,"",SUMIFS(Data!$W$4:$W$375,Data!$B$4:$B$375,8))</f>
        <v/>
      </c>
      <c r="S15" s="258">
        <f>IF(DATE(2027,5,1)&gt;AsOf,"",SUMIFS(Data!$BC$4:$BC$375,Data!$B$4:$B$375,8))</f>
        <v/>
      </c>
      <c r="T15" s="91" t="n"/>
      <c r="U15" s="272" t="n"/>
      <c r="V15" s="267" t="n"/>
      <c r="W15" s="267" t="n"/>
      <c r="X15" s="273" t="n"/>
      <c r="Y15" s="273" t="n"/>
      <c r="Z15" s="273" t="n"/>
      <c r="AA15" s="267" t="n"/>
      <c r="AB15" s="267" t="n"/>
      <c r="AC15" s="267" t="n"/>
      <c r="AD15" s="267" t="n"/>
      <c r="AE15" s="267" t="n"/>
      <c r="AF15" s="267" t="n"/>
      <c r="AG15" s="267" t="n"/>
      <c r="AH15" s="267" t="n"/>
      <c r="AI15" s="267" t="n"/>
      <c r="AJ15" s="267" t="n"/>
      <c r="AK15" s="267" t="n"/>
      <c r="AL15" s="1" t="n"/>
      <c r="AM15" s="1" t="n"/>
      <c r="AN15" s="1" t="n"/>
    </row>
    <row r="16" ht="30" customHeight="1">
      <c r="A16" s="1" t="n"/>
      <c r="B16" s="268">
        <f>DATE(2027,6,1)</f>
        <v/>
      </c>
      <c r="C16" s="249">
        <f>IF(DATE(2027,6,1)&gt;AsOf,"",IFERROR(AVERAGEIFS(Data!$BF$4:$BF$375,Data!$B$4:$B$375,9),""))</f>
        <v/>
      </c>
      <c r="D16" s="250">
        <f>IF(DATE(2027,6,1)&gt;AsOf,"",IF(NOT(ISNUMBER(C16)),"—",IF(C16&gt;=Band1,"GREEN",IF(C16&gt;=Band2,"GOOD",IF(C16&gt;=Band3,"NEEDS ATTENTION","RESET")))))</f>
        <v/>
      </c>
      <c r="E16" s="251">
        <f>IF(DATE(2027,6,1)&gt;AsOf,"",IFERROR(AVERAGEIFS(Data!$AF$4:$AF$375,Data!$A$4:$A$375,"&gt;="&amp;DATE(2027,6,1),Data!$A$4:$A$375,"&lt;="&amp;(DATE(2027,6,1)+6),Data!$AF$4:$AF$375,"&gt;0"),""))</f>
        <v/>
      </c>
      <c r="F16" s="251">
        <f>IF(DATE(2027,6,1)&gt;AsOf,"",IFERROR(AVERAGEIFS(Data!$AF$4:$AF$375,Data!$A$4:$A$375,"&gt;="&amp;(EOMONTH(DATE(2027,6,1),0)-6),Data!$A$4:$A$375,"&lt;="&amp;EOMONTH(DATE(2027,6,1),0),Data!$AF$4:$AF$375,"&gt;0"),""))</f>
        <v/>
      </c>
      <c r="G16" s="252">
        <f>IF(DATE(2027,6,1)&gt;AsOf,"",IF(AND(ISNUMBER(E16),ISNUMBER(F16)),F16-E16,""))</f>
        <v/>
      </c>
      <c r="H16" s="251">
        <f>IF(DATE(2027,6,1)&gt;AsOf,"",IF(_xlfn.MAXIFS(Body!$B$17:$B$43,Body!$B$17:$B$43,"&gt;="&amp;DATE(2027,6,1),Body!$B$17:$B$43,"&lt;="&amp;EOMONTH(DATE(2027,6,1),0),Body!$D$17:$D$43,"&gt;0")=0,"",INDEX(Body!$D$17:$D$43,MATCH(_xlfn.MAXIFS(Body!$B$17:$B$43,Body!$B$17:$B$43,"&gt;="&amp;DATE(2027,6,1),Body!$B$17:$B$43,"&lt;="&amp;EOMONTH(DATE(2027,6,1),0),Body!$D$17:$D$43,"&gt;0"),Body!$B$17:$B$43,0))))</f>
        <v/>
      </c>
      <c r="I16" s="247">
        <f>IF(DATE(2027,6,1)&gt;AsOf,"",SUMIFS(Data!$O$4:$O$375,Data!$B$4:$B$375,9))</f>
        <v/>
      </c>
      <c r="J16" s="254">
        <f>IF(DATE(2027,6,1)&gt;AsOf,"",IF(I16=0,"",MIN(1,SUMIFS(Data!$P$4:$P$375,Data!$B$4:$B$375,9)/I16)))</f>
        <v/>
      </c>
      <c r="K16" s="251">
        <f>IF(DATE(2027,6,1)&gt;AsOf,"",IFERROR(AVERAGEIFS(Data!$AK$4:$AK$375,Data!$B$4:$B$375,9,Data!$AK$4:$AK$375,"&gt;0"),""))</f>
        <v/>
      </c>
      <c r="L16" s="251">
        <f>IF(DATE(2027,6,1)&gt;AsOf,"",IFERROR(AVERAGEIFS(Data!$AL$4:$AL$375,Data!$B$4:$B$375,9,Data!$AL$4:$AL$375,"&gt;0"),""))</f>
        <v/>
      </c>
      <c r="M16" s="255">
        <f>IF(DATE(2027,6,1)&gt;AsOf,"",IFERROR(AVERAGEIFS(Data!$AG$4:$AG$375,Data!$B$4:$B$375,9,Data!$AG$4:$AG$375,"&gt;0"),""))</f>
        <v/>
      </c>
      <c r="N16" s="247">
        <f>IF(DATE(2027,6,1)&gt;AsOf,"",IFERROR(AVERAGEIFS(Data!$AH$4:$AH$375,Data!$B$4:$B$375,9,Data!$AH$4:$AH$375,"&gt;0"),""))</f>
        <v/>
      </c>
      <c r="O16" s="247">
        <f>IF(DATE(2027,6,1)&gt;AsOf,"",SUMIFS(Data!$G$4:$G$375,Data!$B$4:$B$375,9))</f>
        <v/>
      </c>
      <c r="P16" s="247">
        <f>IF(DATE(2027,6,1)&gt;AsOf,"",SUMIFS(Data!$Z$4:$Z$375,Data!$B$4:$B$375,9))</f>
        <v/>
      </c>
      <c r="Q16" s="247">
        <f>IF(DATE(2027,6,1)&gt;AsOf,"",SUMIFS(Data!$X$4:$X$375,Data!$B$4:$B$375,9))</f>
        <v/>
      </c>
      <c r="R16" s="247">
        <f>IF(DATE(2027,6,1)&gt;AsOf,"",SUMIFS(Data!$W$4:$W$375,Data!$B$4:$B$375,9))</f>
        <v/>
      </c>
      <c r="S16" s="247">
        <f>IF(DATE(2027,6,1)&gt;AsOf,"",SUMIFS(Data!$BC$4:$BC$375,Data!$B$4:$B$375,9))</f>
        <v/>
      </c>
      <c r="T16" s="256" t="n"/>
      <c r="U16" s="269" t="n"/>
      <c r="V16" s="257" t="n"/>
      <c r="W16" s="257" t="n"/>
      <c r="X16" s="270" t="n"/>
      <c r="Y16" s="270" t="n"/>
      <c r="Z16" s="270" t="n"/>
      <c r="AA16" s="257" t="n"/>
      <c r="AB16" s="257" t="n"/>
      <c r="AC16" s="257" t="n"/>
      <c r="AD16" s="257" t="n"/>
      <c r="AE16" s="257" t="n"/>
      <c r="AF16" s="257" t="n"/>
      <c r="AG16" s="257" t="n"/>
      <c r="AH16" s="257" t="n"/>
      <c r="AI16" s="257" t="n"/>
      <c r="AJ16" s="257" t="n"/>
      <c r="AK16" s="257" t="n"/>
      <c r="AL16" s="1" t="n"/>
      <c r="AM16" s="1" t="n"/>
      <c r="AN16" s="1" t="n"/>
    </row>
    <row r="17" ht="30" customHeight="1">
      <c r="A17" s="1" t="n"/>
      <c r="B17" s="271">
        <f>DATE(2027,7,1)</f>
        <v/>
      </c>
      <c r="C17" s="260">
        <f>IF(DATE(2027,7,1)&gt;AsOf,"",IFERROR(AVERAGEIFS(Data!$BF$4:$BF$375,Data!$B$4:$B$375,10),""))</f>
        <v/>
      </c>
      <c r="D17" s="261">
        <f>IF(DATE(2027,7,1)&gt;AsOf,"",IF(NOT(ISNUMBER(C17)),"—",IF(C17&gt;=Band1,"GREEN",IF(C17&gt;=Band2,"GOOD",IF(C17&gt;=Band3,"NEEDS ATTENTION","RESET")))))</f>
        <v/>
      </c>
      <c r="E17" s="262">
        <f>IF(DATE(2027,7,1)&gt;AsOf,"",IFERROR(AVERAGEIFS(Data!$AF$4:$AF$375,Data!$A$4:$A$375,"&gt;="&amp;DATE(2027,7,1),Data!$A$4:$A$375,"&lt;="&amp;(DATE(2027,7,1)+6),Data!$AF$4:$AF$375,"&gt;0"),""))</f>
        <v/>
      </c>
      <c r="F17" s="262">
        <f>IF(DATE(2027,7,1)&gt;AsOf,"",IFERROR(AVERAGEIFS(Data!$AF$4:$AF$375,Data!$A$4:$A$375,"&gt;="&amp;(EOMONTH(DATE(2027,7,1),0)-6),Data!$A$4:$A$375,"&lt;="&amp;EOMONTH(DATE(2027,7,1),0),Data!$AF$4:$AF$375,"&gt;0"),""))</f>
        <v/>
      </c>
      <c r="G17" s="263">
        <f>IF(DATE(2027,7,1)&gt;AsOf,"",IF(AND(ISNUMBER(E17),ISNUMBER(F17)),F17-E17,""))</f>
        <v/>
      </c>
      <c r="H17" s="262">
        <f>IF(DATE(2027,7,1)&gt;AsOf,"",IF(_xlfn.MAXIFS(Body!$B$17:$B$43,Body!$B$17:$B$43,"&gt;="&amp;DATE(2027,7,1),Body!$B$17:$B$43,"&lt;="&amp;EOMONTH(DATE(2027,7,1),0),Body!$D$17:$D$43,"&gt;0")=0,"",INDEX(Body!$D$17:$D$43,MATCH(_xlfn.MAXIFS(Body!$B$17:$B$43,Body!$B$17:$B$43,"&gt;="&amp;DATE(2027,7,1),Body!$B$17:$B$43,"&lt;="&amp;EOMONTH(DATE(2027,7,1),0),Body!$D$17:$D$43,"&gt;0"),Body!$B$17:$B$43,0))))</f>
        <v/>
      </c>
      <c r="I17" s="258">
        <f>IF(DATE(2027,7,1)&gt;AsOf,"",SUMIFS(Data!$O$4:$O$375,Data!$B$4:$B$375,10))</f>
        <v/>
      </c>
      <c r="J17" s="265">
        <f>IF(DATE(2027,7,1)&gt;AsOf,"",IF(I17=0,"",MIN(1,SUMIFS(Data!$P$4:$P$375,Data!$B$4:$B$375,10)/I17)))</f>
        <v/>
      </c>
      <c r="K17" s="262">
        <f>IF(DATE(2027,7,1)&gt;AsOf,"",IFERROR(AVERAGEIFS(Data!$AK$4:$AK$375,Data!$B$4:$B$375,10,Data!$AK$4:$AK$375,"&gt;0"),""))</f>
        <v/>
      </c>
      <c r="L17" s="262">
        <f>IF(DATE(2027,7,1)&gt;AsOf,"",IFERROR(AVERAGEIFS(Data!$AL$4:$AL$375,Data!$B$4:$B$375,10,Data!$AL$4:$AL$375,"&gt;0"),""))</f>
        <v/>
      </c>
      <c r="M17" s="266">
        <f>IF(DATE(2027,7,1)&gt;AsOf,"",IFERROR(AVERAGEIFS(Data!$AG$4:$AG$375,Data!$B$4:$B$375,10,Data!$AG$4:$AG$375,"&gt;0"),""))</f>
        <v/>
      </c>
      <c r="N17" s="258">
        <f>IF(DATE(2027,7,1)&gt;AsOf,"",IFERROR(AVERAGEIFS(Data!$AH$4:$AH$375,Data!$B$4:$B$375,10,Data!$AH$4:$AH$375,"&gt;0"),""))</f>
        <v/>
      </c>
      <c r="O17" s="258">
        <f>IF(DATE(2027,7,1)&gt;AsOf,"",SUMIFS(Data!$G$4:$G$375,Data!$B$4:$B$375,10))</f>
        <v/>
      </c>
      <c r="P17" s="258">
        <f>IF(DATE(2027,7,1)&gt;AsOf,"",SUMIFS(Data!$Z$4:$Z$375,Data!$B$4:$B$375,10))</f>
        <v/>
      </c>
      <c r="Q17" s="258">
        <f>IF(DATE(2027,7,1)&gt;AsOf,"",SUMIFS(Data!$X$4:$X$375,Data!$B$4:$B$375,10))</f>
        <v/>
      </c>
      <c r="R17" s="258">
        <f>IF(DATE(2027,7,1)&gt;AsOf,"",SUMIFS(Data!$W$4:$W$375,Data!$B$4:$B$375,10))</f>
        <v/>
      </c>
      <c r="S17" s="258">
        <f>IF(DATE(2027,7,1)&gt;AsOf,"",SUMIFS(Data!$BC$4:$BC$375,Data!$B$4:$B$375,10))</f>
        <v/>
      </c>
      <c r="T17" s="91" t="n"/>
      <c r="U17" s="272" t="n"/>
      <c r="V17" s="267" t="n"/>
      <c r="W17" s="267" t="n"/>
      <c r="X17" s="273" t="n"/>
      <c r="Y17" s="273" t="n"/>
      <c r="Z17" s="273" t="n"/>
      <c r="AA17" s="267" t="n"/>
      <c r="AB17" s="267" t="n"/>
      <c r="AC17" s="267" t="n"/>
      <c r="AD17" s="267" t="n"/>
      <c r="AE17" s="267" t="n"/>
      <c r="AF17" s="267" t="n"/>
      <c r="AG17" s="267" t="n"/>
      <c r="AH17" s="267" t="n"/>
      <c r="AI17" s="267" t="n"/>
      <c r="AJ17" s="267" t="n"/>
      <c r="AK17" s="267" t="n"/>
      <c r="AL17" s="1" t="n"/>
      <c r="AM17" s="1" t="n"/>
      <c r="AN17" s="1" t="n"/>
    </row>
    <row r="18" ht="30" customHeight="1">
      <c r="A18" s="1" t="n"/>
      <c r="B18" s="268">
        <f>DATE(2027,8,1)</f>
        <v/>
      </c>
      <c r="C18" s="249">
        <f>IF(DATE(2027,8,1)&gt;AsOf,"",IFERROR(AVERAGEIFS(Data!$BF$4:$BF$375,Data!$B$4:$B$375,11),""))</f>
        <v/>
      </c>
      <c r="D18" s="250">
        <f>IF(DATE(2027,8,1)&gt;AsOf,"",IF(NOT(ISNUMBER(C18)),"—",IF(C18&gt;=Band1,"GREEN",IF(C18&gt;=Band2,"GOOD",IF(C18&gt;=Band3,"NEEDS ATTENTION","RESET")))))</f>
        <v/>
      </c>
      <c r="E18" s="251">
        <f>IF(DATE(2027,8,1)&gt;AsOf,"",IFERROR(AVERAGEIFS(Data!$AF$4:$AF$375,Data!$A$4:$A$375,"&gt;="&amp;DATE(2027,8,1),Data!$A$4:$A$375,"&lt;="&amp;(DATE(2027,8,1)+6),Data!$AF$4:$AF$375,"&gt;0"),""))</f>
        <v/>
      </c>
      <c r="F18" s="251">
        <f>IF(DATE(2027,8,1)&gt;AsOf,"",IFERROR(AVERAGEIFS(Data!$AF$4:$AF$375,Data!$A$4:$A$375,"&gt;="&amp;(EOMONTH(DATE(2027,8,1),0)-6),Data!$A$4:$A$375,"&lt;="&amp;EOMONTH(DATE(2027,8,1),0),Data!$AF$4:$AF$375,"&gt;0"),""))</f>
        <v/>
      </c>
      <c r="G18" s="252">
        <f>IF(DATE(2027,8,1)&gt;AsOf,"",IF(AND(ISNUMBER(E18),ISNUMBER(F18)),F18-E18,""))</f>
        <v/>
      </c>
      <c r="H18" s="251">
        <f>IF(DATE(2027,8,1)&gt;AsOf,"",IF(_xlfn.MAXIFS(Body!$B$17:$B$43,Body!$B$17:$B$43,"&gt;="&amp;DATE(2027,8,1),Body!$B$17:$B$43,"&lt;="&amp;EOMONTH(DATE(2027,8,1),0),Body!$D$17:$D$43,"&gt;0")=0,"",INDEX(Body!$D$17:$D$43,MATCH(_xlfn.MAXIFS(Body!$B$17:$B$43,Body!$B$17:$B$43,"&gt;="&amp;DATE(2027,8,1),Body!$B$17:$B$43,"&lt;="&amp;EOMONTH(DATE(2027,8,1),0),Body!$D$17:$D$43,"&gt;0"),Body!$B$17:$B$43,0))))</f>
        <v/>
      </c>
      <c r="I18" s="247">
        <f>IF(DATE(2027,8,1)&gt;AsOf,"",SUMIFS(Data!$O$4:$O$375,Data!$B$4:$B$375,11))</f>
        <v/>
      </c>
      <c r="J18" s="254">
        <f>IF(DATE(2027,8,1)&gt;AsOf,"",IF(I18=0,"",MIN(1,SUMIFS(Data!$P$4:$P$375,Data!$B$4:$B$375,11)/I18)))</f>
        <v/>
      </c>
      <c r="K18" s="251">
        <f>IF(DATE(2027,8,1)&gt;AsOf,"",IFERROR(AVERAGEIFS(Data!$AK$4:$AK$375,Data!$B$4:$B$375,11,Data!$AK$4:$AK$375,"&gt;0"),""))</f>
        <v/>
      </c>
      <c r="L18" s="251">
        <f>IF(DATE(2027,8,1)&gt;AsOf,"",IFERROR(AVERAGEIFS(Data!$AL$4:$AL$375,Data!$B$4:$B$375,11,Data!$AL$4:$AL$375,"&gt;0"),""))</f>
        <v/>
      </c>
      <c r="M18" s="255">
        <f>IF(DATE(2027,8,1)&gt;AsOf,"",IFERROR(AVERAGEIFS(Data!$AG$4:$AG$375,Data!$B$4:$B$375,11,Data!$AG$4:$AG$375,"&gt;0"),""))</f>
        <v/>
      </c>
      <c r="N18" s="247">
        <f>IF(DATE(2027,8,1)&gt;AsOf,"",IFERROR(AVERAGEIFS(Data!$AH$4:$AH$375,Data!$B$4:$B$375,11,Data!$AH$4:$AH$375,"&gt;0"),""))</f>
        <v/>
      </c>
      <c r="O18" s="247">
        <f>IF(DATE(2027,8,1)&gt;AsOf,"",SUMIFS(Data!$G$4:$G$375,Data!$B$4:$B$375,11))</f>
        <v/>
      </c>
      <c r="P18" s="247">
        <f>IF(DATE(2027,8,1)&gt;AsOf,"",SUMIFS(Data!$Z$4:$Z$375,Data!$B$4:$B$375,11))</f>
        <v/>
      </c>
      <c r="Q18" s="247">
        <f>IF(DATE(2027,8,1)&gt;AsOf,"",SUMIFS(Data!$X$4:$X$375,Data!$B$4:$B$375,11))</f>
        <v/>
      </c>
      <c r="R18" s="247">
        <f>IF(DATE(2027,8,1)&gt;AsOf,"",SUMIFS(Data!$W$4:$W$375,Data!$B$4:$B$375,11))</f>
        <v/>
      </c>
      <c r="S18" s="247">
        <f>IF(DATE(2027,8,1)&gt;AsOf,"",SUMIFS(Data!$BC$4:$BC$375,Data!$B$4:$B$375,11))</f>
        <v/>
      </c>
      <c r="T18" s="256" t="n"/>
      <c r="U18" s="269" t="n"/>
      <c r="V18" s="257" t="n"/>
      <c r="W18" s="257" t="n"/>
      <c r="X18" s="270" t="n"/>
      <c r="Y18" s="270" t="n"/>
      <c r="Z18" s="270" t="n"/>
      <c r="AA18" s="257" t="n"/>
      <c r="AB18" s="257" t="n"/>
      <c r="AC18" s="257" t="n"/>
      <c r="AD18" s="257" t="n"/>
      <c r="AE18" s="257" t="n"/>
      <c r="AF18" s="257" t="n"/>
      <c r="AG18" s="257" t="n"/>
      <c r="AH18" s="257" t="n"/>
      <c r="AI18" s="257" t="n"/>
      <c r="AJ18" s="257" t="n"/>
      <c r="AK18" s="257" t="n"/>
      <c r="AL18" s="1" t="n"/>
      <c r="AM18" s="1" t="n"/>
      <c r="AN18" s="1" t="n"/>
    </row>
    <row r="19" ht="30" customHeight="1">
      <c r="A19" s="1" t="n"/>
      <c r="B19" s="271">
        <f>DATE(2027,9,1)</f>
        <v/>
      </c>
      <c r="C19" s="260">
        <f>IF(DATE(2027,9,1)&gt;AsOf,"",IFERROR(AVERAGEIFS(Data!$BF$4:$BF$375,Data!$B$4:$B$375,12),""))</f>
        <v/>
      </c>
      <c r="D19" s="261">
        <f>IF(DATE(2027,9,1)&gt;AsOf,"",IF(NOT(ISNUMBER(C19)),"—",IF(C19&gt;=Band1,"GREEN",IF(C19&gt;=Band2,"GOOD",IF(C19&gt;=Band3,"NEEDS ATTENTION","RESET")))))</f>
        <v/>
      </c>
      <c r="E19" s="262">
        <f>IF(DATE(2027,9,1)&gt;AsOf,"",IFERROR(AVERAGEIFS(Data!$AF$4:$AF$375,Data!$A$4:$A$375,"&gt;="&amp;DATE(2027,9,1),Data!$A$4:$A$375,"&lt;="&amp;(DATE(2027,9,1)+6),Data!$AF$4:$AF$375,"&gt;0"),""))</f>
        <v/>
      </c>
      <c r="F19" s="262">
        <f>IF(DATE(2027,9,1)&gt;AsOf,"",IFERROR(AVERAGEIFS(Data!$AF$4:$AF$375,Data!$A$4:$A$375,"&gt;="&amp;(EOMONTH(DATE(2027,9,1),0)-6),Data!$A$4:$A$375,"&lt;="&amp;EOMONTH(DATE(2027,9,1),0),Data!$AF$4:$AF$375,"&gt;0"),""))</f>
        <v/>
      </c>
      <c r="G19" s="263">
        <f>IF(DATE(2027,9,1)&gt;AsOf,"",IF(AND(ISNUMBER(E19),ISNUMBER(F19)),F19-E19,""))</f>
        <v/>
      </c>
      <c r="H19" s="262">
        <f>IF(DATE(2027,9,1)&gt;AsOf,"",IF(_xlfn.MAXIFS(Body!$B$17:$B$43,Body!$B$17:$B$43,"&gt;="&amp;DATE(2027,9,1),Body!$B$17:$B$43,"&lt;="&amp;EOMONTH(DATE(2027,9,1),0),Body!$D$17:$D$43,"&gt;0")=0,"",INDEX(Body!$D$17:$D$43,MATCH(_xlfn.MAXIFS(Body!$B$17:$B$43,Body!$B$17:$B$43,"&gt;="&amp;DATE(2027,9,1),Body!$B$17:$B$43,"&lt;="&amp;EOMONTH(DATE(2027,9,1),0),Body!$D$17:$D$43,"&gt;0"),Body!$B$17:$B$43,0))))</f>
        <v/>
      </c>
      <c r="I19" s="258">
        <f>IF(DATE(2027,9,1)&gt;AsOf,"",SUMIFS(Data!$O$4:$O$375,Data!$B$4:$B$375,12))</f>
        <v/>
      </c>
      <c r="J19" s="265">
        <f>IF(DATE(2027,9,1)&gt;AsOf,"",IF(I19=0,"",MIN(1,SUMIFS(Data!$P$4:$P$375,Data!$B$4:$B$375,12)/I19)))</f>
        <v/>
      </c>
      <c r="K19" s="262">
        <f>IF(DATE(2027,9,1)&gt;AsOf,"",IFERROR(AVERAGEIFS(Data!$AK$4:$AK$375,Data!$B$4:$B$375,12,Data!$AK$4:$AK$375,"&gt;0"),""))</f>
        <v/>
      </c>
      <c r="L19" s="262">
        <f>IF(DATE(2027,9,1)&gt;AsOf,"",IFERROR(AVERAGEIFS(Data!$AL$4:$AL$375,Data!$B$4:$B$375,12,Data!$AL$4:$AL$375,"&gt;0"),""))</f>
        <v/>
      </c>
      <c r="M19" s="266">
        <f>IF(DATE(2027,9,1)&gt;AsOf,"",IFERROR(AVERAGEIFS(Data!$AG$4:$AG$375,Data!$B$4:$B$375,12,Data!$AG$4:$AG$375,"&gt;0"),""))</f>
        <v/>
      </c>
      <c r="N19" s="258">
        <f>IF(DATE(2027,9,1)&gt;AsOf,"",IFERROR(AVERAGEIFS(Data!$AH$4:$AH$375,Data!$B$4:$B$375,12,Data!$AH$4:$AH$375,"&gt;0"),""))</f>
        <v/>
      </c>
      <c r="O19" s="258">
        <f>IF(DATE(2027,9,1)&gt;AsOf,"",SUMIFS(Data!$G$4:$G$375,Data!$B$4:$B$375,12))</f>
        <v/>
      </c>
      <c r="P19" s="258">
        <f>IF(DATE(2027,9,1)&gt;AsOf,"",SUMIFS(Data!$Z$4:$Z$375,Data!$B$4:$B$375,12))</f>
        <v/>
      </c>
      <c r="Q19" s="258">
        <f>IF(DATE(2027,9,1)&gt;AsOf,"",SUMIFS(Data!$X$4:$X$375,Data!$B$4:$B$375,12))</f>
        <v/>
      </c>
      <c r="R19" s="258">
        <f>IF(DATE(2027,9,1)&gt;AsOf,"",SUMIFS(Data!$W$4:$W$375,Data!$B$4:$B$375,12))</f>
        <v/>
      </c>
      <c r="S19" s="258">
        <f>IF(DATE(2027,9,1)&gt;AsOf,"",SUMIFS(Data!$BC$4:$BC$375,Data!$B$4:$B$375,12))</f>
        <v/>
      </c>
      <c r="T19" s="91" t="n"/>
      <c r="U19" s="272" t="n"/>
      <c r="V19" s="267" t="n"/>
      <c r="W19" s="267" t="n"/>
      <c r="X19" s="273" t="n"/>
      <c r="Y19" s="273" t="n"/>
      <c r="Z19" s="273" t="n"/>
      <c r="AA19" s="267" t="n"/>
      <c r="AB19" s="267" t="n"/>
      <c r="AC19" s="267" t="n"/>
      <c r="AD19" s="267" t="n"/>
      <c r="AE19" s="267" t="n"/>
      <c r="AF19" s="267" t="n"/>
      <c r="AG19" s="267" t="n"/>
      <c r="AH19" s="267" t="n"/>
      <c r="AI19" s="267" t="n"/>
      <c r="AJ19" s="267" t="n"/>
      <c r="AK19" s="267" t="n"/>
      <c r="AL19" s="1" t="n"/>
      <c r="AM19" s="1" t="n"/>
      <c r="AN19" s="1" t="n"/>
    </row>
    <row r="20" ht="30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 ht="30" customHeight="1">
      <c r="A21" s="1" t="n"/>
      <c r="B21" s="1" t="n"/>
      <c r="C21" s="240" t="inlineStr">
        <is>
          <t>Faith reflection: the tracker measures practice, not faith. Use the question column honestly, then pick one next step. Business numbers: revenue, profit, expenses, new clients, retention.</t>
        </is>
      </c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 ht="30" customHeight="1">
      <c r="A22" s="1" t="n"/>
      <c r="B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 ht="3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 ht="3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</sheetData>
  <mergeCells count="3">
    <mergeCell ref="C21:Z22"/>
    <mergeCell ref="C6:S6"/>
    <mergeCell ref="T6:AK6"/>
  </mergeCells>
  <conditionalFormatting sqref="C8:C19">
    <cfRule type="expression" priority="1" dxfId="0" stopIfTrue="1">
      <formula>AND(ISNUMBER(C8),C8&gt;=0.85)</formula>
    </cfRule>
    <cfRule type="expression" priority="2" dxfId="1" stopIfTrue="1">
      <formula>AND(ISNUMBER(C8),C8&gt;=0.7)</formula>
    </cfRule>
    <cfRule type="expression" priority="3" dxfId="2" stopIfTrue="1">
      <formula>AND(ISNUMBER(C8),C8&gt;=0.5)</formula>
    </cfRule>
    <cfRule type="expression" priority="4" dxfId="3" stopIfTrue="1">
      <formula>AND(ISNUMBER(C8),C8&lt;0.5)</formula>
    </cfRule>
  </conditionalFormatting>
  <conditionalFormatting sqref="D8:D19">
    <cfRule type="expression" priority="5" dxfId="0" stopIfTrue="1">
      <formula>D8="GREEN"</formula>
    </cfRule>
    <cfRule type="expression" priority="6" dxfId="1" stopIfTrue="1">
      <formula>D8="GOOD"</formula>
    </cfRule>
    <cfRule type="expression" priority="7" dxfId="2" stopIfTrue="1">
      <formula>D8="NEEDS ATTENTION"</formula>
    </cfRule>
    <cfRule type="expression" priority="8" dxfId="3" stopIfTrue="1">
      <formula>D8="RESET"</formula>
    </cfRule>
  </conditionalFormatting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9C3C3"/>
    <outlinePr summaryBelow="1" summaryRight="1"/>
    <pageSetUpPr fitToPage="1"/>
  </sheetPr>
  <dimension ref="A1:P4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6" customWidth="1" min="3" max="3"/>
    <col width="13" customWidth="1" min="4" max="4"/>
    <col width="12" customWidth="1" min="5" max="5"/>
    <col width="12" customWidth="1" min="6" max="6"/>
    <col width="7" customWidth="1" min="7" max="7"/>
    <col width="62" customWidth="1" min="8" max="8"/>
    <col width="5" customWidth="1" min="9" max="9"/>
    <col width="7" customWidth="1" min="10" max="10"/>
    <col width="8" customWidth="1" min="11" max="11"/>
    <col width="7" customWidth="1" min="12" max="12"/>
    <col width="8" customWidth="1" min="13" max="13"/>
    <col width="14" customWidth="1" min="14" max="14"/>
    <col width="7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47" t="inlineStr">
        <is>
          <t>HABIT LIBRARY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>
        <f>"The master list behind every tab · scores as of "&amp;TEXT(AsOf,"d mmm yyyy")&amp;" · score = done ÷ (weekly target × days tracked)"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274" t="inlineStr">
        <is>
          <t>Habit</t>
        </is>
      </c>
      <c r="C5" s="231" t="inlineStr">
        <is>
          <t>Level</t>
        </is>
      </c>
      <c r="D5" s="231" t="inlineStr">
        <is>
          <t>Pillar</t>
        </is>
      </c>
      <c r="E5" s="231" t="inlineStr">
        <is>
          <t>Frequency</t>
        </is>
      </c>
      <c r="F5" s="231" t="inlineStr">
        <is>
          <t>Target</t>
        </is>
      </c>
      <c r="G5" s="231" t="inlineStr">
        <is>
          <t>/ week</t>
        </is>
      </c>
      <c r="H5" s="274" t="inlineStr">
        <is>
          <t>What counts</t>
        </is>
      </c>
      <c r="I5" s="231" t="inlineStr">
        <is>
          <t>MVD</t>
        </is>
      </c>
      <c r="J5" s="231" t="inlineStr">
        <is>
          <t>7d done</t>
        </is>
      </c>
      <c r="K5" s="231" t="inlineStr">
        <is>
          <t>7d score</t>
        </is>
      </c>
      <c r="L5" s="231" t="inlineStr">
        <is>
          <t>30d done</t>
        </is>
      </c>
      <c r="M5" s="231" t="inlineStr">
        <is>
          <t>30d score</t>
        </is>
      </c>
      <c r="N5" s="275" t="inlineStr">
        <is>
          <t>30-day consistency</t>
        </is>
      </c>
      <c r="O5" s="1" t="n"/>
      <c r="P5" s="1" t="n"/>
    </row>
    <row r="6" ht="26" customHeight="1">
      <c r="A6" s="1" t="n"/>
      <c r="B6" s="276" t="inlineStr">
        <is>
          <t>🌅 Morning reset</t>
        </is>
      </c>
      <c r="C6" s="277" t="inlineStr">
        <is>
          <t>L1</t>
        </is>
      </c>
      <c r="D6" s="278" t="inlineStr">
        <is>
          <t>Health</t>
        </is>
      </c>
      <c r="E6" s="279" t="inlineStr">
        <is>
          <t>Daily</t>
        </is>
      </c>
      <c r="F6" s="279" t="inlineStr">
        <is>
          <t>06:00</t>
        </is>
      </c>
      <c r="G6" s="280" t="n">
        <v>7</v>
      </c>
      <c r="H6" s="281" t="inlineStr">
        <is>
          <t>Up at 06:00 · 500–750 ml water · make bed · 5–15 min outdoor light · no socials for 30 min</t>
        </is>
      </c>
      <c r="I6" s="282" t="inlineStr"/>
      <c r="J6" s="280">
        <f>SUMIFS(Data!$F$4:$F$375,Data!$A$4:$A$375,"&gt;"&amp;(AsOf-7),Data!$A$4:$A$375,"&lt;="&amp;AsOf)</f>
        <v/>
      </c>
      <c r="K6" s="283">
        <f>IFERROR(MIN(1,J6/(k_D7*7/7)),"")</f>
        <v/>
      </c>
      <c r="L6" s="280">
        <f>SUMIFS(Data!$F$4:$F$375,Data!$A$4:$A$375,"&gt;"&amp;(AsOf-30),Data!$A$4:$A$375,"&lt;="&amp;AsOf)</f>
        <v/>
      </c>
      <c r="M6" s="283">
        <f>IFERROR(MIN(1,L6/(k_D30*7/7)),"")</f>
        <v/>
      </c>
      <c r="N6" s="284">
        <f>IF(ISNUMBER(M6),REPT("█",ROUND(MAX(0,MIN(1,M6))*10,0))&amp;REPT("░",10-ROUND(MAX(0,MIN(1,M6))*10,0)),"")</f>
        <v/>
      </c>
      <c r="P6" s="1" t="n"/>
    </row>
    <row r="7" ht="26" customHeight="1">
      <c r="A7" s="1" t="n"/>
      <c r="B7" s="180" t="inlineStr">
        <is>
          <t>🙏 Prayer + Scripture</t>
        </is>
      </c>
      <c r="C7" s="285" t="inlineStr">
        <is>
          <t>L1</t>
        </is>
      </c>
      <c r="D7" s="285" t="inlineStr">
        <is>
          <t>Spirit</t>
        </is>
      </c>
      <c r="E7" s="188" t="inlineStr">
        <is>
          <t>Daily</t>
        </is>
      </c>
      <c r="F7" s="188" t="inlineStr">
        <is>
          <t>5–10 min</t>
        </is>
      </c>
      <c r="G7" s="286" t="n">
        <v>7</v>
      </c>
      <c r="H7" s="287" t="inlineStr">
        <is>
          <t>Prayer, a short Scripture reading, one gratitude, one thing I need God's help with today</t>
        </is>
      </c>
      <c r="I7" s="288" t="inlineStr">
        <is>
          <t>◆</t>
        </is>
      </c>
      <c r="J7" s="286">
        <f>SUMIFS(Data!$G$4:$G$375,Data!$A$4:$A$375,"&gt;"&amp;(AsOf-7),Data!$A$4:$A$375,"&lt;="&amp;AsOf)</f>
        <v/>
      </c>
      <c r="K7" s="189">
        <f>IFERROR(MIN(1,J7/(k_D7*7/7)),"")</f>
        <v/>
      </c>
      <c r="L7" s="286">
        <f>SUMIFS(Data!$G$4:$G$375,Data!$A$4:$A$375,"&gt;"&amp;(AsOf-30),Data!$A$4:$A$375,"&lt;="&amp;AsOf)</f>
        <v/>
      </c>
      <c r="M7" s="189">
        <f>IFERROR(MIN(1,L7/(k_D30*7/7)),"")</f>
        <v/>
      </c>
      <c r="N7" s="59">
        <f>IF(ISNUMBER(M7),REPT("█",ROUND(MAX(0,MIN(1,M7))*10,0))&amp;REPT("░",10-ROUND(MAX(0,MIN(1,M7))*10,0)),"")</f>
        <v/>
      </c>
      <c r="P7" s="1" t="n"/>
    </row>
    <row r="8" ht="26" customHeight="1">
      <c r="A8" s="1" t="n"/>
      <c r="B8" s="276" t="inlineStr">
        <is>
          <t>🧘 Mobility &amp; posture</t>
        </is>
      </c>
      <c r="C8" s="277" t="inlineStr">
        <is>
          <t>L1</t>
        </is>
      </c>
      <c r="D8" s="289" t="inlineStr">
        <is>
          <t>Posture</t>
        </is>
      </c>
      <c r="E8" s="279" t="inlineStr">
        <is>
          <t>Daily</t>
        </is>
      </c>
      <c r="F8" s="279" t="inlineStr">
        <is>
          <t>10 min</t>
        </is>
      </c>
      <c r="G8" s="280" t="n">
        <v>7</v>
      </c>
      <c r="H8" s="281" t="inlineStr">
        <is>
          <t>Chin tucks · wall angels · thoracic extensions · external rotation · scap retractions · doorway stretch · cat-cow · hip flexors</t>
        </is>
      </c>
      <c r="I8" s="282" t="inlineStr">
        <is>
          <t>◆</t>
        </is>
      </c>
      <c r="J8" s="280">
        <f>SUMIFS(Data!$H$4:$H$375,Data!$A$4:$A$375,"&gt;"&amp;(AsOf-7),Data!$A$4:$A$375,"&lt;="&amp;AsOf)</f>
        <v/>
      </c>
      <c r="K8" s="283">
        <f>IFERROR(MIN(1,J8/(k_D7*7/7)),"")</f>
        <v/>
      </c>
      <c r="L8" s="280">
        <f>SUMIFS(Data!$H$4:$H$375,Data!$A$4:$A$375,"&gt;"&amp;(AsOf-30),Data!$A$4:$A$375,"&lt;="&amp;AsOf)</f>
        <v/>
      </c>
      <c r="M8" s="283">
        <f>IFERROR(MIN(1,L8/(k_D30*7/7)),"")</f>
        <v/>
      </c>
      <c r="N8" s="284">
        <f>IF(ISNUMBER(M8),REPT("█",ROUND(MAX(0,MIN(1,M8))*10,0))&amp;REPT("░",10-ROUND(MAX(0,MIN(1,M8))*10,0)),"")</f>
        <v/>
      </c>
      <c r="P8" s="1" t="n"/>
    </row>
    <row r="9" ht="26" customHeight="1">
      <c r="A9" s="1" t="n"/>
      <c r="B9" s="180" t="inlineStr">
        <is>
          <t>💪 Training / movement</t>
        </is>
      </c>
      <c r="C9" s="285" t="inlineStr">
        <is>
          <t>L1</t>
        </is>
      </c>
      <c r="D9" s="126" t="inlineStr">
        <is>
          <t>Body</t>
        </is>
      </c>
      <c r="E9" s="188" t="inlineStr">
        <is>
          <t>Daily</t>
        </is>
      </c>
      <c r="F9" s="188" t="inlineStr">
        <is>
          <t>per plan</t>
        </is>
      </c>
      <c r="G9" s="286" t="n">
        <v>7</v>
      </c>
      <c r="H9" s="287" t="inlineStr">
        <is>
          <t>The day's session from the plan, or a 20–30 min walk on recovery days</t>
        </is>
      </c>
      <c r="I9" s="288" t="inlineStr">
        <is>
          <t>◆</t>
        </is>
      </c>
      <c r="J9" s="286">
        <f>SUMIFS(Data!$I$4:$I$375,Data!$A$4:$A$375,"&gt;"&amp;(AsOf-7),Data!$A$4:$A$375,"&lt;="&amp;AsOf)</f>
        <v/>
      </c>
      <c r="K9" s="189">
        <f>IFERROR(MIN(1,J9/(k_D7*7/7)),"")</f>
        <v/>
      </c>
      <c r="L9" s="286">
        <f>SUMIFS(Data!$I$4:$I$375,Data!$A$4:$A$375,"&gt;"&amp;(AsOf-30),Data!$A$4:$A$375,"&lt;="&amp;AsOf)</f>
        <v/>
      </c>
      <c r="M9" s="189">
        <f>IFERROR(MIN(1,L9/(k_D30*7/7)),"")</f>
        <v/>
      </c>
      <c r="N9" s="59">
        <f>IF(ISNUMBER(M9),REPT("█",ROUND(MAX(0,MIN(1,M9))*10,0))&amp;REPT("░",10-ROUND(MAX(0,MIN(1,M9))*10,0)),"")</f>
        <v/>
      </c>
      <c r="P9" s="1" t="n"/>
    </row>
    <row r="10" ht="26" customHeight="1">
      <c r="A10" s="1" t="n"/>
      <c r="B10" s="276" t="inlineStr">
        <is>
          <t>🎯 Top 3 priorities</t>
        </is>
      </c>
      <c r="C10" s="277" t="inlineStr">
        <is>
          <t>L1</t>
        </is>
      </c>
      <c r="D10" s="290" t="inlineStr">
        <is>
          <t>Work</t>
        </is>
      </c>
      <c r="E10" s="279" t="inlineStr">
        <is>
          <t>Workdays</t>
        </is>
      </c>
      <c r="F10" s="279" t="inlineStr">
        <is>
          <t>3 set</t>
        </is>
      </c>
      <c r="G10" s="280" t="n">
        <v>5</v>
      </c>
      <c r="H10" s="281" t="inlineStr">
        <is>
          <t>Before work: write the 3 things that make today a win</t>
        </is>
      </c>
      <c r="I10" s="282" t="inlineStr"/>
      <c r="J10" s="280">
        <f>SUMIFS(Data!$J$4:$J$375,Data!$A$4:$A$375,"&gt;"&amp;(AsOf-7),Data!$A$4:$A$375,"&lt;="&amp;AsOf)</f>
        <v/>
      </c>
      <c r="K10" s="283">
        <f>IFERROR(MIN(1,J10/(k_WD7)),"")</f>
        <v/>
      </c>
      <c r="L10" s="280">
        <f>SUMIFS(Data!$J$4:$J$375,Data!$A$4:$A$375,"&gt;"&amp;(AsOf-30),Data!$A$4:$A$375,"&lt;="&amp;AsOf)</f>
        <v/>
      </c>
      <c r="M10" s="283">
        <f>IFERROR(MIN(1,L10/(k_WD30)),"")</f>
        <v/>
      </c>
      <c r="N10" s="284">
        <f>IF(ISNUMBER(M10),REPT("█",ROUND(MAX(0,MIN(1,M10))*10,0))&amp;REPT("░",10-ROUND(MAX(0,MIN(1,M10))*10,0)),"")</f>
        <v/>
      </c>
      <c r="P10" s="1" t="n"/>
    </row>
    <row r="11" ht="26" customHeight="1">
      <c r="A11" s="1" t="n"/>
      <c r="B11" s="180" t="inlineStr">
        <is>
          <t>❤️ Fiancée time</t>
        </is>
      </c>
      <c r="C11" s="285" t="inlineStr">
        <is>
          <t>L1</t>
        </is>
      </c>
      <c r="D11" s="291" t="inlineStr">
        <is>
          <t>Relationships</t>
        </is>
      </c>
      <c r="E11" s="188" t="inlineStr">
        <is>
          <t>Daily</t>
        </is>
      </c>
      <c r="F11" s="188" t="inlineStr">
        <is>
          <t>10–20 min</t>
        </is>
      </c>
      <c r="G11" s="286" t="n">
        <v>7</v>
      </c>
      <c r="H11" s="287" t="inlineStr">
        <is>
          <t>Intentional and phone-free. 'How are you really doing?'</t>
        </is>
      </c>
      <c r="I11" s="288" t="inlineStr">
        <is>
          <t>◆</t>
        </is>
      </c>
      <c r="J11" s="286">
        <f>SUMIFS(Data!$K$4:$K$375,Data!$A$4:$A$375,"&gt;"&amp;(AsOf-7),Data!$A$4:$A$375,"&lt;="&amp;AsOf)</f>
        <v/>
      </c>
      <c r="K11" s="189">
        <f>IFERROR(MIN(1,J11/(k_D7*7/7)),"")</f>
        <v/>
      </c>
      <c r="L11" s="286">
        <f>SUMIFS(Data!$K$4:$K$375,Data!$A$4:$A$375,"&gt;"&amp;(AsOf-30),Data!$A$4:$A$375,"&lt;="&amp;AsOf)</f>
        <v/>
      </c>
      <c r="M11" s="189">
        <f>IFERROR(MIN(1,L11/(k_D30*7/7)),"")</f>
        <v/>
      </c>
      <c r="N11" s="59">
        <f>IF(ISNUMBER(M11),REPT("█",ROUND(MAX(0,MIN(1,M11))*10,0))&amp;REPT("░",10-ROUND(MAX(0,MIN(1,M11))*10,0)),"")</f>
        <v/>
      </c>
      <c r="P11" s="1" t="n"/>
    </row>
    <row r="12" ht="26" customHeight="1">
      <c r="A12" s="1" t="n"/>
      <c r="B12" s="276" t="inlineStr">
        <is>
          <t>📖 Read / learn</t>
        </is>
      </c>
      <c r="C12" s="277" t="inlineStr">
        <is>
          <t>L1</t>
        </is>
      </c>
      <c r="D12" s="292" t="inlineStr">
        <is>
          <t>Mind</t>
        </is>
      </c>
      <c r="E12" s="279" t="inlineStr">
        <is>
          <t>Daily</t>
        </is>
      </c>
      <c r="F12" s="279" t="inlineStr">
        <is>
          <t>20 min</t>
        </is>
      </c>
      <c r="G12" s="280" t="n">
        <v>7</v>
      </c>
      <c r="H12" s="281" t="inlineStr">
        <is>
          <t>20 min reading or deliberate learning (AI, marketing, design, sales, leadership, faith)</t>
        </is>
      </c>
      <c r="I12" s="282" t="inlineStr"/>
      <c r="J12" s="280">
        <f>SUMIFS(Data!$L$4:$L$375,Data!$A$4:$A$375,"&gt;"&amp;(AsOf-7),Data!$A$4:$A$375,"&lt;="&amp;AsOf)</f>
        <v/>
      </c>
      <c r="K12" s="283">
        <f>IFERROR(MIN(1,J12/(k_D7*7/7)),"")</f>
        <v/>
      </c>
      <c r="L12" s="280">
        <f>SUMIFS(Data!$L$4:$L$375,Data!$A$4:$A$375,"&gt;"&amp;(AsOf-30),Data!$A$4:$A$375,"&lt;="&amp;AsOf)</f>
        <v/>
      </c>
      <c r="M12" s="283">
        <f>IFERROR(MIN(1,L12/(k_D30*7/7)),"")</f>
        <v/>
      </c>
      <c r="N12" s="284">
        <f>IF(ISNUMBER(M12),REPT("█",ROUND(MAX(0,MIN(1,M12))*10,0))&amp;REPT("░",10-ROUND(MAX(0,MIN(1,M12))*10,0)),"")</f>
        <v/>
      </c>
      <c r="P12" s="1" t="n"/>
    </row>
    <row r="13" ht="26" customHeight="1">
      <c r="A13" s="1" t="n"/>
      <c r="B13" s="180" t="inlineStr">
        <is>
          <t>🌙 Evening shutdown</t>
        </is>
      </c>
      <c r="C13" s="285" t="inlineStr">
        <is>
          <t>L1</t>
        </is>
      </c>
      <c r="D13" s="293" t="inlineStr">
        <is>
          <t>Work</t>
        </is>
      </c>
      <c r="E13" s="188" t="inlineStr">
        <is>
          <t>Daily</t>
        </is>
      </c>
      <c r="F13" s="188" t="inlineStr">
        <is>
          <t>20:00 / 21:00</t>
        </is>
      </c>
      <c r="G13" s="286" t="n">
        <v>7</v>
      </c>
      <c r="H13" s="287" t="inlineStr">
        <is>
          <t>Work closed by 20:00 · clothes + kit ready · tomorrow reviewed · last 30 min screen-free</t>
        </is>
      </c>
      <c r="I13" s="288" t="inlineStr"/>
      <c r="J13" s="286">
        <f>SUMIFS(Data!$M$4:$M$375,Data!$A$4:$A$375,"&gt;"&amp;(AsOf-7),Data!$A$4:$A$375,"&lt;="&amp;AsOf)</f>
        <v/>
      </c>
      <c r="K13" s="189">
        <f>IFERROR(MIN(1,J13/(k_D7*7/7)),"")</f>
        <v/>
      </c>
      <c r="L13" s="286">
        <f>SUMIFS(Data!$M$4:$M$375,Data!$A$4:$A$375,"&gt;"&amp;(AsOf-30),Data!$A$4:$A$375,"&lt;="&amp;AsOf)</f>
        <v/>
      </c>
      <c r="M13" s="189">
        <f>IFERROR(MIN(1,L13/(k_D30*7/7)),"")</f>
        <v/>
      </c>
      <c r="N13" s="59">
        <f>IF(ISNUMBER(M13),REPT("█",ROUND(MAX(0,MIN(1,M13))*10,0))&amp;REPT("░",10-ROUND(MAX(0,MIN(1,M13))*10,0)),"")</f>
        <v/>
      </c>
      <c r="P13" s="1" t="n"/>
    </row>
    <row r="14" ht="26" customHeight="1">
      <c r="A14" s="1" t="n"/>
      <c r="B14" s="276" t="inlineStr">
        <is>
          <t>😴 Lights out 22:00</t>
        </is>
      </c>
      <c r="C14" s="277" t="inlineStr">
        <is>
          <t>L1</t>
        </is>
      </c>
      <c r="D14" s="278" t="inlineStr">
        <is>
          <t>Health</t>
        </is>
      </c>
      <c r="E14" s="279" t="inlineStr">
        <is>
          <t>Daily</t>
        </is>
      </c>
      <c r="F14" s="279" t="inlineStr">
        <is>
          <t>22:00</t>
        </is>
      </c>
      <c r="G14" s="280" t="n">
        <v>7</v>
      </c>
      <c r="H14" s="281" t="inlineStr">
        <is>
          <t>Lights out around 22:00 (7.5–8.5 h before a 06:00 wake)</t>
        </is>
      </c>
      <c r="I14" s="282" t="inlineStr">
        <is>
          <t>◆</t>
        </is>
      </c>
      <c r="J14" s="280">
        <f>SUMIFS(Data!$N$4:$N$375,Data!$A$4:$A$375,"&gt;"&amp;(AsOf-7),Data!$A$4:$A$375,"&lt;="&amp;AsOf)</f>
        <v/>
      </c>
      <c r="K14" s="283">
        <f>IFERROR(MIN(1,J14/(k_D7*7/7)),"")</f>
        <v/>
      </c>
      <c r="L14" s="280">
        <f>SUMIFS(Data!$N$4:$N$375,Data!$A$4:$A$375,"&gt;"&amp;(AsOf-30),Data!$A$4:$A$375,"&lt;="&amp;AsOf)</f>
        <v/>
      </c>
      <c r="M14" s="283">
        <f>IFERROR(MIN(1,L14/(k_D30*7/7)),"")</f>
        <v/>
      </c>
      <c r="N14" s="284">
        <f>IF(ISNUMBER(M14),REPT("█",ROUND(MAX(0,MIN(1,M14))*10,0))&amp;REPT("░",10-ROUND(MAX(0,MIN(1,M14))*10,0)),"")</f>
        <v/>
      </c>
      <c r="P14" s="1" t="n"/>
    </row>
    <row r="15" ht="26" customHeight="1">
      <c r="A15" s="1" t="n"/>
      <c r="B15" s="180" t="inlineStr">
        <is>
          <t>🏋️ Strength session</t>
        </is>
      </c>
      <c r="C15" s="210" t="inlineStr">
        <is>
          <t>L2</t>
        </is>
      </c>
      <c r="D15" s="126" t="inlineStr">
        <is>
          <t>Body</t>
        </is>
      </c>
      <c r="E15" s="188" t="inlineStr">
        <is>
          <t>4× / wk</t>
        </is>
      </c>
      <c r="F15" s="188" t="inlineStr">
        <is>
          <t>45–60 min</t>
        </is>
      </c>
      <c r="G15" s="286" t="n">
        <v>4</v>
      </c>
      <c r="H15" s="287" t="inlineStr">
        <is>
          <t>Mon/Thu upper + posture · Tue/Fri lower + calves + core</t>
        </is>
      </c>
      <c r="I15" s="288" t="inlineStr"/>
      <c r="J15" s="286">
        <f>SUMIFS(Data!$O$4:$O$375,Data!$A$4:$A$375,"&gt;"&amp;(AsOf-7),Data!$A$4:$A$375,"&lt;="&amp;AsOf)</f>
        <v/>
      </c>
      <c r="K15" s="189">
        <f>IFERROR(MIN(1,J15/(k_D7*4/7)),"")</f>
        <v/>
      </c>
      <c r="L15" s="286">
        <f>SUMIFS(Data!$O$4:$O$375,Data!$A$4:$A$375,"&gt;"&amp;(AsOf-30),Data!$A$4:$A$375,"&lt;="&amp;AsOf)</f>
        <v/>
      </c>
      <c r="M15" s="189">
        <f>IFERROR(MIN(1,L15/(k_D30*4/7)),"")</f>
        <v/>
      </c>
      <c r="N15" s="59">
        <f>IF(ISNUMBER(M15),REPT("█",ROUND(MAX(0,MIN(1,M15))*10,0))&amp;REPT("░",10-ROUND(MAX(0,MIN(1,M15))*10,0)),"")</f>
        <v/>
      </c>
      <c r="P15" s="1" t="n"/>
    </row>
    <row r="16" ht="26" customHeight="1">
      <c r="A16" s="1" t="n"/>
      <c r="B16" s="276" t="inlineStr">
        <is>
          <t>📈 Progression achieved</t>
        </is>
      </c>
      <c r="C16" s="289" t="inlineStr">
        <is>
          <t>L2</t>
        </is>
      </c>
      <c r="D16" s="294" t="inlineStr">
        <is>
          <t>Body</t>
        </is>
      </c>
      <c r="E16" s="279" t="inlineStr">
        <is>
          <t>Each session</t>
        </is>
      </c>
      <c r="F16" s="279" t="inlineStr">
        <is>
          <t>yes / no</t>
        </is>
      </c>
      <c r="G16" s="280" t="n">
        <v>4</v>
      </c>
      <c r="H16" s="281" t="inlineStr">
        <is>
          <t>+1 rep, +1 set, better form, slower lowering, longer hold, harder variation, less rest, more range or heavier</t>
        </is>
      </c>
      <c r="I16" s="282" t="inlineStr"/>
      <c r="J16" s="280">
        <f>SUMIFS(Data!$P$4:$P$375,Data!$A$4:$A$375,"&gt;"&amp;(AsOf-7),Data!$A$4:$A$375,"&lt;="&amp;AsOf)</f>
        <v/>
      </c>
      <c r="K16" s="283">
        <f>IFERROR(MIN(1,J16/(k_D7*4/7)),"")</f>
        <v/>
      </c>
      <c r="L16" s="280">
        <f>SUMIFS(Data!$P$4:$P$375,Data!$A$4:$A$375,"&gt;"&amp;(AsOf-30),Data!$A$4:$A$375,"&lt;="&amp;AsOf)</f>
        <v/>
      </c>
      <c r="M16" s="283">
        <f>IFERROR(MIN(1,L16/(k_D30*4/7)),"")</f>
        <v/>
      </c>
      <c r="N16" s="284">
        <f>IF(ISNUMBER(M16),REPT("█",ROUND(MAX(0,MIN(1,M16))*10,0))&amp;REPT("░",10-ROUND(MAX(0,MIN(1,M16))*10,0)),"")</f>
        <v/>
      </c>
      <c r="P16" s="1" t="n"/>
    </row>
    <row r="17" ht="26" customHeight="1">
      <c r="A17" s="1" t="n"/>
      <c r="B17" s="180" t="inlineStr">
        <is>
          <t>🧱 Core</t>
        </is>
      </c>
      <c r="C17" s="210" t="inlineStr">
        <is>
          <t>L2</t>
        </is>
      </c>
      <c r="D17" s="126" t="inlineStr">
        <is>
          <t>Body</t>
        </is>
      </c>
      <c r="E17" s="188" t="inlineStr">
        <is>
          <t>3× / wk</t>
        </is>
      </c>
      <c r="F17" s="188" t="inlineStr">
        <is>
          <t>10–15 min</t>
        </is>
      </c>
      <c r="G17" s="286" t="n">
        <v>3</v>
      </c>
      <c r="H17" s="287" t="inlineStr">
        <is>
          <t>Plank · side plank · dead bug · hollow hold · reverse crunch · leg-raise progression</t>
        </is>
      </c>
      <c r="I17" s="288" t="inlineStr"/>
      <c r="J17" s="286">
        <f>SUMIFS(Data!$Q$4:$Q$375,Data!$A$4:$A$375,"&gt;"&amp;(AsOf-7),Data!$A$4:$A$375,"&lt;="&amp;AsOf)</f>
        <v/>
      </c>
      <c r="K17" s="189">
        <f>IFERROR(MIN(1,J17/(k_D7*3/7)),"")</f>
        <v/>
      </c>
      <c r="L17" s="286">
        <f>SUMIFS(Data!$Q$4:$Q$375,Data!$A$4:$A$375,"&gt;"&amp;(AsOf-30),Data!$A$4:$A$375,"&lt;="&amp;AsOf)</f>
        <v/>
      </c>
      <c r="M17" s="189">
        <f>IFERROR(MIN(1,L17/(k_D30*3/7)),"")</f>
        <v/>
      </c>
      <c r="N17" s="59">
        <f>IF(ISNUMBER(M17),REPT("█",ROUND(MAX(0,MIN(1,M17))*10,0))&amp;REPT("░",10-ROUND(MAX(0,MIN(1,M17))*10,0)),"")</f>
        <v/>
      </c>
      <c r="P17" s="1" t="n"/>
    </row>
    <row r="18" ht="26" customHeight="1">
      <c r="A18" s="1" t="n"/>
      <c r="B18" s="276" t="inlineStr">
        <is>
          <t>🦵 Calves</t>
        </is>
      </c>
      <c r="C18" s="289" t="inlineStr">
        <is>
          <t>L2</t>
        </is>
      </c>
      <c r="D18" s="294" t="inlineStr">
        <is>
          <t>Body</t>
        </is>
      </c>
      <c r="E18" s="279" t="inlineStr">
        <is>
          <t>3× / wk</t>
        </is>
      </c>
      <c r="F18" s="279" t="inlineStr">
        <is>
          <t>10 min</t>
        </is>
      </c>
      <c r="G18" s="280" t="n">
        <v>3</v>
      </c>
      <c r="H18" s="281" t="inlineStr">
        <is>
          <t>Standing → single-leg → slow eccentric → paused calf raises</t>
        </is>
      </c>
      <c r="I18" s="282" t="inlineStr"/>
      <c r="J18" s="280">
        <f>SUMIFS(Data!$R$4:$R$375,Data!$A$4:$A$375,"&gt;"&amp;(AsOf-7),Data!$A$4:$A$375,"&lt;="&amp;AsOf)</f>
        <v/>
      </c>
      <c r="K18" s="283">
        <f>IFERROR(MIN(1,J18/(k_D7*3/7)),"")</f>
        <v/>
      </c>
      <c r="L18" s="280">
        <f>SUMIFS(Data!$R$4:$R$375,Data!$A$4:$A$375,"&gt;"&amp;(AsOf-30),Data!$A$4:$A$375,"&lt;="&amp;AsOf)</f>
        <v/>
      </c>
      <c r="M18" s="283">
        <f>IFERROR(MIN(1,L18/(k_D30*3/7)),"")</f>
        <v/>
      </c>
      <c r="N18" s="284">
        <f>IF(ISNUMBER(M18),REPT("█",ROUND(MAX(0,MIN(1,M18))*10,0))&amp;REPT("░",10-ROUND(MAX(0,MIN(1,M18))*10,0)),"")</f>
        <v/>
      </c>
      <c r="P18" s="1" t="n"/>
    </row>
    <row r="19" ht="26" customHeight="1">
      <c r="A19" s="1" t="n"/>
      <c r="B19" s="180" t="inlineStr">
        <is>
          <t>🚶 Cardio</t>
        </is>
      </c>
      <c r="C19" s="210" t="inlineStr">
        <is>
          <t>L2</t>
        </is>
      </c>
      <c r="D19" s="126" t="inlineStr">
        <is>
          <t>Body</t>
        </is>
      </c>
      <c r="E19" s="188" t="inlineStr">
        <is>
          <t>2× / wk</t>
        </is>
      </c>
      <c r="F19" s="188" t="inlineStr">
        <is>
          <t>20–30 min</t>
        </is>
      </c>
      <c r="G19" s="286" t="n">
        <v>2</v>
      </c>
      <c r="H19" s="287" t="inlineStr">
        <is>
          <t>Brisk or incline walk, cycling, easy jog, low-impact cardio</t>
        </is>
      </c>
      <c r="I19" s="288" t="inlineStr"/>
      <c r="J19" s="286">
        <f>SUMIFS(Data!$S$4:$S$375,Data!$A$4:$A$375,"&gt;"&amp;(AsOf-7),Data!$A$4:$A$375,"&lt;="&amp;AsOf)</f>
        <v/>
      </c>
      <c r="K19" s="189">
        <f>IFERROR(MIN(1,J19/(k_D7*2/7)),"")</f>
        <v/>
      </c>
      <c r="L19" s="286">
        <f>SUMIFS(Data!$S$4:$S$375,Data!$A$4:$A$375,"&gt;"&amp;(AsOf-30),Data!$A$4:$A$375,"&lt;="&amp;AsOf)</f>
        <v/>
      </c>
      <c r="M19" s="189">
        <f>IFERROR(MIN(1,L19/(k_D30*2/7)),"")</f>
        <v/>
      </c>
      <c r="N19" s="59">
        <f>IF(ISNUMBER(M19),REPT("█",ROUND(MAX(0,MIN(1,M19))*10,0))&amp;REPT("░",10-ROUND(MAX(0,MIN(1,M19))*10,0)),"")</f>
        <v/>
      </c>
      <c r="P19" s="1" t="n"/>
    </row>
    <row r="20" ht="26" customHeight="1">
      <c r="A20" s="1" t="n"/>
      <c r="B20" s="276" t="inlineStr">
        <is>
          <t>🧠 Deep work 2+ blocks</t>
        </is>
      </c>
      <c r="C20" s="289" t="inlineStr">
        <is>
          <t>L2</t>
        </is>
      </c>
      <c r="D20" s="290" t="inlineStr">
        <is>
          <t>Work</t>
        </is>
      </c>
      <c r="E20" s="279" t="inlineStr">
        <is>
          <t>Workdays</t>
        </is>
      </c>
      <c r="F20" s="279" t="inlineStr">
        <is>
          <t>2–3 blocks</t>
        </is>
      </c>
      <c r="G20" s="280" t="n">
        <v>5</v>
      </c>
      <c r="H20" s="281" t="inlineStr">
        <is>
          <t>60–90 min focus blocks with notifications off</t>
        </is>
      </c>
      <c r="I20" s="282" t="inlineStr"/>
      <c r="J20" s="280">
        <f>SUMIFS(Data!$T$4:$T$375,Data!$A$4:$A$375,"&gt;"&amp;(AsOf-7),Data!$A$4:$A$375,"&lt;="&amp;AsOf)</f>
        <v/>
      </c>
      <c r="K20" s="283">
        <f>IFERROR(MIN(1,J20/(k_D7*5/7)),"")</f>
        <v/>
      </c>
      <c r="L20" s="280">
        <f>SUMIFS(Data!$T$4:$T$375,Data!$A$4:$A$375,"&gt;"&amp;(AsOf-30),Data!$A$4:$A$375,"&lt;="&amp;AsOf)</f>
        <v/>
      </c>
      <c r="M20" s="283">
        <f>IFERROR(MIN(1,L20/(k_D30*5/7)),"")</f>
        <v/>
      </c>
      <c r="N20" s="284">
        <f>IF(ISNUMBER(M20),REPT("█",ROUND(MAX(0,MIN(1,M20))*10,0))&amp;REPT("░",10-ROUND(MAX(0,MIN(1,M20))*10,0)),"")</f>
        <v/>
      </c>
      <c r="P20" s="1" t="n"/>
    </row>
    <row r="21" ht="26" customHeight="1">
      <c r="A21" s="1" t="n"/>
      <c r="B21" s="180" t="inlineStr">
        <is>
          <t>👀 Posture &amp; eye breaks</t>
        </is>
      </c>
      <c r="C21" s="210" t="inlineStr">
        <is>
          <t>L2</t>
        </is>
      </c>
      <c r="D21" s="210" t="inlineStr">
        <is>
          <t>Posture</t>
        </is>
      </c>
      <c r="E21" s="188" t="inlineStr">
        <is>
          <t>Workdays</t>
        </is>
      </c>
      <c r="F21" s="188" t="inlineStr">
        <is>
          <t>6–8 / day</t>
        </is>
      </c>
      <c r="G21" s="286" t="n">
        <v>5</v>
      </c>
      <c r="H21" s="287" t="inlineStr">
        <is>
          <t>Move 1–2 min every 45–60 min · 20-20-20 for the eyes · don't rub eyes</t>
        </is>
      </c>
      <c r="I21" s="288" t="inlineStr"/>
      <c r="J21" s="286">
        <f>SUMIFS(Data!$U$4:$U$375,Data!$A$4:$A$375,"&gt;"&amp;(AsOf-7),Data!$A$4:$A$375,"&lt;="&amp;AsOf)</f>
        <v/>
      </c>
      <c r="K21" s="189">
        <f>IFERROR(MIN(1,J21/(k_D7*5/7)),"")</f>
        <v/>
      </c>
      <c r="L21" s="286">
        <f>SUMIFS(Data!$U$4:$U$375,Data!$A$4:$A$375,"&gt;"&amp;(AsOf-30),Data!$A$4:$A$375,"&lt;="&amp;AsOf)</f>
        <v/>
      </c>
      <c r="M21" s="189">
        <f>IFERROR(MIN(1,L21/(k_D30*5/7)),"")</f>
        <v/>
      </c>
      <c r="N21" s="59">
        <f>IF(ISNUMBER(M21),REPT("█",ROUND(MAX(0,MIN(1,M21))*10,0))&amp;REPT("░",10-ROUND(MAX(0,MIN(1,M21))*10,0)),"")</f>
        <v/>
      </c>
      <c r="P21" s="1" t="n"/>
    </row>
    <row r="22" ht="26" customHeight="1">
      <c r="A22" s="1" t="n"/>
      <c r="B22" s="276" t="inlineStr">
        <is>
          <t>🧹 Home reset</t>
        </is>
      </c>
      <c r="C22" s="289" t="inlineStr">
        <is>
          <t>L2</t>
        </is>
      </c>
      <c r="D22" s="295" t="inlineStr">
        <is>
          <t>Life admin</t>
        </is>
      </c>
      <c r="E22" s="279" t="inlineStr">
        <is>
          <t>5× / wk</t>
        </is>
      </c>
      <c r="F22" s="279" t="inlineStr">
        <is>
          <t>5 min</t>
        </is>
      </c>
      <c r="G22" s="280" t="n">
        <v>5</v>
      </c>
      <c r="H22" s="281" t="inlineStr">
        <is>
          <t>5-minute tidy plus dishes/kitchen reset</t>
        </is>
      </c>
      <c r="I22" s="282" t="inlineStr"/>
      <c r="J22" s="280">
        <f>SUMIFS(Data!$V$4:$V$375,Data!$A$4:$A$375,"&gt;"&amp;(AsOf-7),Data!$A$4:$A$375,"&lt;="&amp;AsOf)</f>
        <v/>
      </c>
      <c r="K22" s="283">
        <f>IFERROR(MIN(1,J22/(k_D7*5/7)),"")</f>
        <v/>
      </c>
      <c r="L22" s="280">
        <f>SUMIFS(Data!$V$4:$V$375,Data!$A$4:$A$375,"&gt;"&amp;(AsOf-30),Data!$A$4:$A$375,"&lt;="&amp;AsOf)</f>
        <v/>
      </c>
      <c r="M22" s="283">
        <f>IFERROR(MIN(1,L22/(k_D30*5/7)),"")</f>
        <v/>
      </c>
      <c r="N22" s="284">
        <f>IF(ISNUMBER(M22),REPT("█",ROUND(MAX(0,MIN(1,M22))*10,0))&amp;REPT("░",10-ROUND(MAX(0,MIN(1,M22))*10,0)),"")</f>
        <v/>
      </c>
      <c r="P22" s="1" t="n"/>
    </row>
    <row r="23" ht="26" customHeight="1">
      <c r="A23" s="1" t="n"/>
      <c r="B23" s="180" t="inlineStr">
        <is>
          <t>👦 Father–son time</t>
        </is>
      </c>
      <c r="C23" s="210" t="inlineStr">
        <is>
          <t>L2</t>
        </is>
      </c>
      <c r="D23" s="291" t="inlineStr">
        <is>
          <t>Relationships</t>
        </is>
      </c>
      <c r="E23" s="188" t="inlineStr">
        <is>
          <t>Weekly</t>
        </is>
      </c>
      <c r="F23" s="188" t="inlineStr">
        <is>
          <t>1+</t>
        </is>
      </c>
      <c r="G23" s="286" t="n">
        <v>1</v>
      </c>
      <c r="H23" s="287" t="inlineStr">
        <is>
          <t>Conversation, shared activity, guidance or positive reinforcement</t>
        </is>
      </c>
      <c r="I23" s="288" t="inlineStr"/>
      <c r="J23" s="286">
        <f>SUMIFS(Data!$W$4:$W$375,Data!$A$4:$A$375,"&gt;"&amp;(AsOf-7),Data!$A$4:$A$375,"&lt;="&amp;AsOf)</f>
        <v/>
      </c>
      <c r="K23" s="189">
        <f>IFERROR(MIN(1,J23/(k_D7*1/7)),"")</f>
        <v/>
      </c>
      <c r="L23" s="286">
        <f>SUMIFS(Data!$W$4:$W$375,Data!$A$4:$A$375,"&gt;"&amp;(AsOf-30),Data!$A$4:$A$375,"&lt;="&amp;AsOf)</f>
        <v/>
      </c>
      <c r="M23" s="189">
        <f>IFERROR(MIN(1,L23/(k_D30*1/7)),"")</f>
        <v/>
      </c>
      <c r="N23" s="59">
        <f>IF(ISNUMBER(M23),REPT("█",ROUND(MAX(0,MIN(1,M23))*10,0))&amp;REPT("░",10-ROUND(MAX(0,MIN(1,M23))*10,0)),"")</f>
        <v/>
      </c>
      <c r="P23" s="1" t="n"/>
    </row>
    <row r="24" ht="26" customHeight="1">
      <c r="A24" s="1" t="n"/>
      <c r="B24" s="276" t="inlineStr">
        <is>
          <t>🥂 Couple time / date</t>
        </is>
      </c>
      <c r="C24" s="289" t="inlineStr">
        <is>
          <t>L2</t>
        </is>
      </c>
      <c r="D24" s="296" t="inlineStr">
        <is>
          <t>Relationships</t>
        </is>
      </c>
      <c r="E24" s="279" t="inlineStr">
        <is>
          <t>Weekly</t>
        </is>
      </c>
      <c r="F24" s="279" t="inlineStr">
        <is>
          <t>1×</t>
        </is>
      </c>
      <c r="G24" s="280" t="n">
        <v>1</v>
      </c>
      <c r="H24" s="281" t="inlineStr">
        <is>
          <t>Dinner, walk, coffee, movie, day trip, private time</t>
        </is>
      </c>
      <c r="I24" s="282" t="inlineStr"/>
      <c r="J24" s="280">
        <f>SUMIFS(Data!$X$4:$X$375,Data!$A$4:$A$375,"&gt;"&amp;(AsOf-7),Data!$A$4:$A$375,"&lt;="&amp;AsOf)</f>
        <v/>
      </c>
      <c r="K24" s="283">
        <f>IFERROR(MIN(1,J24/(k_D7*1/7)),"")</f>
        <v/>
      </c>
      <c r="L24" s="280">
        <f>SUMIFS(Data!$X$4:$X$375,Data!$A$4:$A$375,"&gt;"&amp;(AsOf-30),Data!$A$4:$A$375,"&lt;="&amp;AsOf)</f>
        <v/>
      </c>
      <c r="M24" s="283">
        <f>IFERROR(MIN(1,L24/(k_D30*1/7)),"")</f>
        <v/>
      </c>
      <c r="N24" s="284">
        <f>IF(ISNUMBER(M24),REPT("█",ROUND(MAX(0,MIN(1,M24))*10,0))&amp;REPT("░",10-ROUND(MAX(0,MIN(1,M24))*10,0)),"")</f>
        <v/>
      </c>
      <c r="P24" s="1" t="n"/>
    </row>
    <row r="25" ht="26" customHeight="1">
      <c r="A25" s="1" t="n"/>
      <c r="B25" s="180" t="inlineStr">
        <is>
          <t>📞 Family check-in</t>
        </is>
      </c>
      <c r="C25" s="210" t="inlineStr">
        <is>
          <t>L2</t>
        </is>
      </c>
      <c r="D25" s="291" t="inlineStr">
        <is>
          <t>Relationships</t>
        </is>
      </c>
      <c r="E25" s="188" t="inlineStr">
        <is>
          <t>Weekly</t>
        </is>
      </c>
      <c r="F25" s="188" t="inlineStr">
        <is>
          <t>1×</t>
        </is>
      </c>
      <c r="G25" s="286" t="n">
        <v>1</v>
      </c>
      <c r="H25" s="287" t="inlineStr">
        <is>
          <t>A call or visit with one meaningful conversation</t>
        </is>
      </c>
      <c r="I25" s="288" t="inlineStr"/>
      <c r="J25" s="286">
        <f>SUMIFS(Data!$Y$4:$Y$375,Data!$A$4:$A$375,"&gt;"&amp;(AsOf-7),Data!$A$4:$A$375,"&lt;="&amp;AsOf)</f>
        <v/>
      </c>
      <c r="K25" s="189">
        <f>IFERROR(MIN(1,J25/(k_D7*1/7)),"")</f>
        <v/>
      </c>
      <c r="L25" s="286">
        <f>SUMIFS(Data!$Y$4:$Y$375,Data!$A$4:$A$375,"&gt;"&amp;(AsOf-30),Data!$A$4:$A$375,"&lt;="&amp;AsOf)</f>
        <v/>
      </c>
      <c r="M25" s="189">
        <f>IFERROR(MIN(1,L25/(k_D30*1/7)),"")</f>
        <v/>
      </c>
      <c r="N25" s="59">
        <f>IF(ISNUMBER(M25),REPT("█",ROUND(MAX(0,MIN(1,M25))*10,0))&amp;REPT("░",10-ROUND(MAX(0,MIN(1,M25))*10,0)),"")</f>
        <v/>
      </c>
      <c r="P25" s="1" t="n"/>
    </row>
    <row r="26" ht="26" customHeight="1">
      <c r="A26" s="1" t="n"/>
      <c r="B26" s="276" t="inlineStr">
        <is>
          <t>⛪ Church / worship</t>
        </is>
      </c>
      <c r="C26" s="289" t="inlineStr">
        <is>
          <t>L2</t>
        </is>
      </c>
      <c r="D26" s="277" t="inlineStr">
        <is>
          <t>Spirit</t>
        </is>
      </c>
      <c r="E26" s="279" t="inlineStr">
        <is>
          <t>Weekly</t>
        </is>
      </c>
      <c r="F26" s="279" t="inlineStr">
        <is>
          <t>1×</t>
        </is>
      </c>
      <c r="G26" s="280" t="n">
        <v>1</v>
      </c>
      <c r="H26" s="281" t="inlineStr">
        <is>
          <t>Sunday worship or equivalent</t>
        </is>
      </c>
      <c r="I26" s="282" t="inlineStr"/>
      <c r="J26" s="280">
        <f>SUMIFS(Data!$Z$4:$Z$375,Data!$A$4:$A$375,"&gt;"&amp;(AsOf-7),Data!$A$4:$A$375,"&lt;="&amp;AsOf)</f>
        <v/>
      </c>
      <c r="K26" s="283">
        <f>IFERROR(MIN(1,J26/(k_D7*1/7)),"")</f>
        <v/>
      </c>
      <c r="L26" s="280">
        <f>SUMIFS(Data!$Z$4:$Z$375,Data!$A$4:$A$375,"&gt;"&amp;(AsOf-30),Data!$A$4:$A$375,"&lt;="&amp;AsOf)</f>
        <v/>
      </c>
      <c r="M26" s="283">
        <f>IFERROR(MIN(1,L26/(k_D30*1/7)),"")</f>
        <v/>
      </c>
      <c r="N26" s="284">
        <f>IF(ISNUMBER(M26),REPT("█",ROUND(MAX(0,MIN(1,M26))*10,0))&amp;REPT("░",10-ROUND(MAX(0,MIN(1,M26))*10,0)),"")</f>
        <v/>
      </c>
      <c r="P26" s="1" t="n"/>
    </row>
    <row r="27" ht="26" customHeight="1">
      <c r="A27" s="1" t="n"/>
      <c r="B27" s="180" t="inlineStr">
        <is>
          <t>🍱 Meal prep</t>
        </is>
      </c>
      <c r="C27" s="210" t="inlineStr">
        <is>
          <t>L2</t>
        </is>
      </c>
      <c r="D27" s="297" t="inlineStr">
        <is>
          <t>Life admin</t>
        </is>
      </c>
      <c r="E27" s="188" t="inlineStr">
        <is>
          <t>Weekly</t>
        </is>
      </c>
      <c r="F27" s="188" t="inlineStr">
        <is>
          <t>30–60 min</t>
        </is>
      </c>
      <c r="G27" s="286" t="n">
        <v>1</v>
      </c>
      <c r="H27" s="287" t="inlineStr">
        <is>
          <t>Sunday: protein, carb base, veg, easy snacks</t>
        </is>
      </c>
      <c r="I27" s="288" t="inlineStr"/>
      <c r="J27" s="286">
        <f>SUMIFS(Data!$AA$4:$AA$375,Data!$A$4:$A$375,"&gt;"&amp;(AsOf-7),Data!$A$4:$A$375,"&lt;="&amp;AsOf)</f>
        <v/>
      </c>
      <c r="K27" s="189">
        <f>IFERROR(MIN(1,J27/(k_D7*1/7)),"")</f>
        <v/>
      </c>
      <c r="L27" s="286">
        <f>SUMIFS(Data!$AA$4:$AA$375,Data!$A$4:$A$375,"&gt;"&amp;(AsOf-30),Data!$A$4:$A$375,"&lt;="&amp;AsOf)</f>
        <v/>
      </c>
      <c r="M27" s="189">
        <f>IFERROR(MIN(1,L27/(k_D30*1/7)),"")</f>
        <v/>
      </c>
      <c r="N27" s="59">
        <f>IF(ISNUMBER(M27),REPT("█",ROUND(MAX(0,MIN(1,M27))*10,0))&amp;REPT("░",10-ROUND(MAX(0,MIN(1,M27))*10,0)),"")</f>
        <v/>
      </c>
      <c r="P27" s="1" t="n"/>
    </row>
    <row r="28" ht="26" customHeight="1">
      <c r="A28" s="1" t="n"/>
      <c r="B28" s="276" t="inlineStr">
        <is>
          <t>🕊️ Meditation / journal</t>
        </is>
      </c>
      <c r="C28" s="298" t="inlineStr">
        <is>
          <t>L3</t>
        </is>
      </c>
      <c r="D28" s="292" t="inlineStr">
        <is>
          <t>Mind</t>
        </is>
      </c>
      <c r="E28" s="279" t="inlineStr">
        <is>
          <t>Optional</t>
        </is>
      </c>
      <c r="F28" s="279" t="inlineStr">
        <is>
          <t>5–10 min</t>
        </is>
      </c>
      <c r="G28" s="280" t="n">
        <v>0</v>
      </c>
      <c r="H28" s="281" t="inlineStr">
        <is>
          <t>Breath awareness, contemplative prayer or the three journal questions</t>
        </is>
      </c>
      <c r="I28" s="282" t="inlineStr"/>
      <c r="J28" s="280">
        <f>SUMIFS(Data!$AB$4:$AB$375,Data!$A$4:$A$375,"&gt;"&amp;(AsOf-7),Data!$A$4:$A$375,"&lt;="&amp;AsOf)</f>
        <v/>
      </c>
      <c r="K28" s="299" t="inlineStr">
        <is>
          <t>bonus</t>
        </is>
      </c>
      <c r="L28" s="280">
        <f>SUMIFS(Data!$AB$4:$AB$375,Data!$A$4:$A$375,"&gt;"&amp;(AsOf-30),Data!$A$4:$A$375,"&lt;="&amp;AsOf)</f>
        <v/>
      </c>
      <c r="M28" s="299" t="inlineStr">
        <is>
          <t>bonus</t>
        </is>
      </c>
      <c r="N28" s="300">
        <f>IF(L28=0,"",L28&amp;" × in 30 days")</f>
        <v/>
      </c>
      <c r="P28" s="1" t="n"/>
    </row>
    <row r="29" ht="26" customHeight="1">
      <c r="A29" s="1" t="n"/>
      <c r="B29" s="180" t="inlineStr">
        <is>
          <t>➕ Extra walk / cardio</t>
        </is>
      </c>
      <c r="C29" s="301" t="inlineStr">
        <is>
          <t>L3</t>
        </is>
      </c>
      <c r="D29" s="126" t="inlineStr">
        <is>
          <t>Body</t>
        </is>
      </c>
      <c r="E29" s="188" t="inlineStr">
        <is>
          <t>Optional</t>
        </is>
      </c>
      <c r="F29" s="188" t="inlineStr">
        <is>
          <t>bonus</t>
        </is>
      </c>
      <c r="G29" s="286" t="n">
        <v>0</v>
      </c>
      <c r="H29" s="287" t="inlineStr">
        <is>
          <t>Bonus only</t>
        </is>
      </c>
      <c r="I29" s="288" t="inlineStr"/>
      <c r="J29" s="286">
        <f>SUMIFS(Data!$AC$4:$AC$375,Data!$A$4:$A$375,"&gt;"&amp;(AsOf-7),Data!$A$4:$A$375,"&lt;="&amp;AsOf)</f>
        <v/>
      </c>
      <c r="K29" s="302" t="inlineStr">
        <is>
          <t>bonus</t>
        </is>
      </c>
      <c r="L29" s="286">
        <f>SUMIFS(Data!$AC$4:$AC$375,Data!$A$4:$A$375,"&gt;"&amp;(AsOf-30),Data!$A$4:$A$375,"&lt;="&amp;AsOf)</f>
        <v/>
      </c>
      <c r="M29" s="302" t="inlineStr">
        <is>
          <t>bonus</t>
        </is>
      </c>
      <c r="N29" s="303">
        <f>IF(L29=0,"",L29&amp;" × in 30 days")</f>
        <v/>
      </c>
      <c r="P29" s="1" t="n"/>
    </row>
    <row r="30" ht="26" customHeight="1">
      <c r="A30" s="1" t="n"/>
      <c r="B30" s="276" t="inlineStr">
        <is>
          <t>➕ Extra mobility</t>
        </is>
      </c>
      <c r="C30" s="298" t="inlineStr">
        <is>
          <t>L3</t>
        </is>
      </c>
      <c r="D30" s="289" t="inlineStr">
        <is>
          <t>Posture</t>
        </is>
      </c>
      <c r="E30" s="279" t="inlineStr">
        <is>
          <t>Optional</t>
        </is>
      </c>
      <c r="F30" s="279" t="inlineStr">
        <is>
          <t>bonus</t>
        </is>
      </c>
      <c r="G30" s="280" t="n">
        <v>0</v>
      </c>
      <c r="H30" s="281" t="inlineStr">
        <is>
          <t>Bonus only</t>
        </is>
      </c>
      <c r="I30" s="282" t="inlineStr"/>
      <c r="J30" s="280">
        <f>SUMIFS(Data!$AD$4:$AD$375,Data!$A$4:$A$375,"&gt;"&amp;(AsOf-7),Data!$A$4:$A$375,"&lt;="&amp;AsOf)</f>
        <v/>
      </c>
      <c r="K30" s="299" t="inlineStr">
        <is>
          <t>bonus</t>
        </is>
      </c>
      <c r="L30" s="280">
        <f>SUMIFS(Data!$AD$4:$AD$375,Data!$A$4:$A$375,"&gt;"&amp;(AsOf-30),Data!$A$4:$A$375,"&lt;="&amp;AsOf)</f>
        <v/>
      </c>
      <c r="M30" s="299" t="inlineStr">
        <is>
          <t>bonus</t>
        </is>
      </c>
      <c r="N30" s="300">
        <f>IF(L30=0,"",L30&amp;" × in 30 days")</f>
        <v/>
      </c>
      <c r="P30" s="1" t="n"/>
    </row>
    <row r="31" ht="26" customHeight="1">
      <c r="A31" s="1" t="n"/>
      <c r="B31" s="180" t="inlineStr">
        <is>
          <t>➕ Extra reading</t>
        </is>
      </c>
      <c r="C31" s="301" t="inlineStr">
        <is>
          <t>L3</t>
        </is>
      </c>
      <c r="D31" s="209" t="inlineStr">
        <is>
          <t>Mind</t>
        </is>
      </c>
      <c r="E31" s="188" t="inlineStr">
        <is>
          <t>Optional</t>
        </is>
      </c>
      <c r="F31" s="188" t="inlineStr">
        <is>
          <t>bonus</t>
        </is>
      </c>
      <c r="G31" s="286" t="n">
        <v>0</v>
      </c>
      <c r="H31" s="287" t="inlineStr">
        <is>
          <t>Bonus only</t>
        </is>
      </c>
      <c r="I31" s="288" t="inlineStr"/>
      <c r="J31" s="286">
        <f>SUMIFS(Data!$AE$4:$AE$375,Data!$A$4:$A$375,"&gt;"&amp;(AsOf-7),Data!$A$4:$A$375,"&lt;="&amp;AsOf)</f>
        <v/>
      </c>
      <c r="K31" s="302" t="inlineStr">
        <is>
          <t>bonus</t>
        </is>
      </c>
      <c r="L31" s="286">
        <f>SUMIFS(Data!$AE$4:$AE$375,Data!$A$4:$A$375,"&gt;"&amp;(AsOf-30),Data!$A$4:$A$375,"&lt;="&amp;AsOf)</f>
        <v/>
      </c>
      <c r="M31" s="302" t="inlineStr">
        <is>
          <t>bonus</t>
        </is>
      </c>
      <c r="N31" s="303">
        <f>IF(L31=0,"",L31&amp;" × in 30 days")</f>
        <v/>
      </c>
      <c r="P31" s="1" t="n"/>
    </row>
    <row r="32" ht="26" customHeight="1">
      <c r="A32" s="1" t="n"/>
      <c r="B32" s="276" t="inlineStr">
        <is>
          <t>👣 Steps target hit</t>
        </is>
      </c>
      <c r="C32" s="277" t="inlineStr">
        <is>
          <t>L1</t>
        </is>
      </c>
      <c r="D32" s="294" t="inlineStr">
        <is>
          <t>Body</t>
        </is>
      </c>
      <c r="E32" s="279" t="inlineStr">
        <is>
          <t>Daily</t>
        </is>
      </c>
      <c r="F32" s="279" t="inlineStr">
        <is>
          <t>7k → 9k</t>
        </is>
      </c>
      <c r="G32" s="280" t="n">
        <v>7</v>
      </c>
      <c r="H32" s="281" t="inlineStr">
        <is>
          <t>Adaptive: 7,000 in week 1, 8,000 in week 2, then 9,000  (auto)</t>
        </is>
      </c>
      <c r="I32" s="282" t="inlineStr"/>
      <c r="J32" s="280">
        <f>SUMIFS(Data!$AY$4:$AY$375,Data!$A$4:$A$375,"&gt;"&amp;(AsOf-7),Data!$A$4:$A$375,"&lt;="&amp;AsOf)</f>
        <v/>
      </c>
      <c r="K32" s="283">
        <f>IFERROR(MIN(1,J32/(k_D7*7/7)),"")</f>
        <v/>
      </c>
      <c r="L32" s="280">
        <f>SUMIFS(Data!$AY$4:$AY$375,Data!$A$4:$A$375,"&gt;"&amp;(AsOf-30),Data!$A$4:$A$375,"&lt;="&amp;AsOf)</f>
        <v/>
      </c>
      <c r="M32" s="283">
        <f>IFERROR(MIN(1,L32/(k_D30*7/7)),"")</f>
        <v/>
      </c>
      <c r="N32" s="284">
        <f>IF(ISNUMBER(M32),REPT("█",ROUND(MAX(0,MIN(1,M32))*10,0))&amp;REPT("░",10-ROUND(MAX(0,MIN(1,M32))*10,0)),"")</f>
        <v/>
      </c>
      <c r="P32" s="1" t="n"/>
    </row>
    <row r="33" ht="26" customHeight="1">
      <c r="A33" s="1" t="n"/>
      <c r="B33" s="180" t="inlineStr">
        <is>
          <t>🍗 Protein ≥ 135 g</t>
        </is>
      </c>
      <c r="C33" s="285" t="inlineStr">
        <is>
          <t>L1</t>
        </is>
      </c>
      <c r="D33" s="211" t="inlineStr">
        <is>
          <t>Health</t>
        </is>
      </c>
      <c r="E33" s="188" t="inlineStr">
        <is>
          <t>Daily</t>
        </is>
      </c>
      <c r="F33" s="188" t="inlineStr">
        <is>
          <t>150 g</t>
        </is>
      </c>
      <c r="G33" s="286" t="n">
        <v>7</v>
      </c>
      <c r="H33" s="287" t="inlineStr">
        <is>
          <t>Counts as hit at 90% of the 150 g target  (auto)</t>
        </is>
      </c>
      <c r="I33" s="288" t="inlineStr">
        <is>
          <t>◆</t>
        </is>
      </c>
      <c r="J33" s="286">
        <f>SUMIFS(Data!$AW$4:$AW$375,Data!$A$4:$A$375,"&gt;"&amp;(AsOf-7),Data!$A$4:$A$375,"&lt;="&amp;AsOf)</f>
        <v/>
      </c>
      <c r="K33" s="189">
        <f>IFERROR(MIN(1,J33/(k_D7*7/7)),"")</f>
        <v/>
      </c>
      <c r="L33" s="286">
        <f>SUMIFS(Data!$AW$4:$AW$375,Data!$A$4:$A$375,"&gt;"&amp;(AsOf-30),Data!$A$4:$A$375,"&lt;="&amp;AsOf)</f>
        <v/>
      </c>
      <c r="M33" s="189">
        <f>IFERROR(MIN(1,L33/(k_D30*7/7)),"")</f>
        <v/>
      </c>
      <c r="N33" s="59">
        <f>IF(ISNUMBER(M33),REPT("█",ROUND(MAX(0,MIN(1,M33))*10,0))&amp;REPT("░",10-ROUND(MAX(0,MIN(1,M33))*10,0)),"")</f>
        <v/>
      </c>
      <c r="P33" s="1" t="n"/>
    </row>
    <row r="34" ht="26" customHeight="1">
      <c r="A34" s="1" t="n"/>
      <c r="B34" s="276" t="inlineStr">
        <is>
          <t>💧 Water ≥ 2.5 L</t>
        </is>
      </c>
      <c r="C34" s="277" t="inlineStr">
        <is>
          <t>L1</t>
        </is>
      </c>
      <c r="D34" s="278" t="inlineStr">
        <is>
          <t>Health</t>
        </is>
      </c>
      <c r="E34" s="279" t="inlineStr">
        <is>
          <t>Daily</t>
        </is>
      </c>
      <c r="F34" s="279" t="inlineStr">
        <is>
          <t>2.5–3 L</t>
        </is>
      </c>
      <c r="G34" s="280" t="n">
        <v>7</v>
      </c>
      <c r="H34" s="281" t="inlineStr">
        <is>
          <t>500 ml × 5–6 bottles  (auto)</t>
        </is>
      </c>
      <c r="I34" s="282" t="inlineStr">
        <is>
          <t>◆</t>
        </is>
      </c>
      <c r="J34" s="280">
        <f>SUMIFS(Data!$AX$4:$AX$375,Data!$A$4:$A$375,"&gt;"&amp;(AsOf-7),Data!$A$4:$A$375,"&lt;="&amp;AsOf)</f>
        <v/>
      </c>
      <c r="K34" s="283">
        <f>IFERROR(MIN(1,J34/(k_D7*7/7)),"")</f>
        <v/>
      </c>
      <c r="L34" s="280">
        <f>SUMIFS(Data!$AX$4:$AX$375,Data!$A$4:$A$375,"&gt;"&amp;(AsOf-30),Data!$A$4:$A$375,"&lt;="&amp;AsOf)</f>
        <v/>
      </c>
      <c r="M34" s="283">
        <f>IFERROR(MIN(1,L34/(k_D30*7/7)),"")</f>
        <v/>
      </c>
      <c r="N34" s="284">
        <f>IF(ISNUMBER(M34),REPT("█",ROUND(MAX(0,MIN(1,M34))*10,0))&amp;REPT("░",10-ROUND(MAX(0,MIN(1,M34))*10,0)),"")</f>
        <v/>
      </c>
      <c r="P34" s="1" t="n"/>
    </row>
    <row r="35" ht="26" customHeight="1">
      <c r="A35" s="1" t="n"/>
      <c r="B35" s="180" t="inlineStr">
        <is>
          <t>🛌 Sleep ≥ 7 h</t>
        </is>
      </c>
      <c r="C35" s="285" t="inlineStr">
        <is>
          <t>L1</t>
        </is>
      </c>
      <c r="D35" s="211" t="inlineStr">
        <is>
          <t>Health</t>
        </is>
      </c>
      <c r="E35" s="188" t="inlineStr">
        <is>
          <t>Daily</t>
        </is>
      </c>
      <c r="F35" s="188" t="inlineStr">
        <is>
          <t>7.5–8.5 h</t>
        </is>
      </c>
      <c r="G35" s="286" t="n">
        <v>7</v>
      </c>
      <c r="H35" s="287" t="inlineStr">
        <is>
          <t>Uses sleep hours when logged, otherwise the lights-out tick  (auto)</t>
        </is>
      </c>
      <c r="I35" s="288" t="inlineStr">
        <is>
          <t>◆</t>
        </is>
      </c>
      <c r="J35" s="286">
        <f>SUMIFS(Data!$AU$4:$AU$375,Data!$A$4:$A$375,"&gt;"&amp;(AsOf-7),Data!$A$4:$A$375,"&lt;="&amp;AsOf)</f>
        <v/>
      </c>
      <c r="K35" s="189">
        <f>IFERROR(MIN(1,J35/(k_D7*7/7)),"")</f>
        <v/>
      </c>
      <c r="L35" s="286">
        <f>SUMIFS(Data!$AU$4:$AU$375,Data!$A$4:$A$375,"&gt;"&amp;(AsOf-30),Data!$A$4:$A$375,"&lt;="&amp;AsOf)</f>
        <v/>
      </c>
      <c r="M35" s="189">
        <f>IFERROR(MIN(1,L35/(k_D30*7/7)),"")</f>
        <v/>
      </c>
      <c r="N35" s="59">
        <f>IF(ISNUMBER(M35),REPT("█",ROUND(MAX(0,MIN(1,M35))*10,0))&amp;REPT("░",10-ROUND(MAX(0,MIN(1,M35))*10,0)),"")</f>
        <v/>
      </c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26" customHeight="1">
      <c r="A37" s="1" t="n"/>
      <c r="B37" s="304" t="inlineStr">
        <is>
          <t>◆ = part of the Minimum Viable Day. L3 habits never count against you. Weekly items are scored against their weekly target, so one church visit a week is 100%.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</sheetData>
  <mergeCells count="30">
    <mergeCell ref="N26:O26"/>
    <mergeCell ref="N35:O35"/>
    <mergeCell ref="N11:O11"/>
    <mergeCell ref="N20:O20"/>
    <mergeCell ref="N7:O7"/>
    <mergeCell ref="N16:O16"/>
    <mergeCell ref="N32:O32"/>
    <mergeCell ref="N25:O25"/>
    <mergeCell ref="N22:O22"/>
    <mergeCell ref="N21:O21"/>
    <mergeCell ref="N12:O12"/>
    <mergeCell ref="N18:O18"/>
    <mergeCell ref="N33:O33"/>
    <mergeCell ref="N23:O23"/>
    <mergeCell ref="N8:O8"/>
    <mergeCell ref="N14:O14"/>
    <mergeCell ref="N17:O17"/>
    <mergeCell ref="N29:O29"/>
    <mergeCell ref="N10:O10"/>
    <mergeCell ref="N28:O28"/>
    <mergeCell ref="N19:O19"/>
    <mergeCell ref="N13:O13"/>
    <mergeCell ref="N31:O31"/>
    <mergeCell ref="N9:O9"/>
    <mergeCell ref="N30:O30"/>
    <mergeCell ref="N34:O34"/>
    <mergeCell ref="N15:O15"/>
    <mergeCell ref="N6:O6"/>
    <mergeCell ref="N24:O24"/>
    <mergeCell ref="N27:O27"/>
  </mergeCells>
  <conditionalFormatting sqref="K6:K36">
    <cfRule type="expression" priority="1" dxfId="0" stopIfTrue="1">
      <formula>AND(ISNUMBER(K6),K6&gt;=0.85)</formula>
    </cfRule>
    <cfRule type="expression" priority="2" dxfId="1" stopIfTrue="1">
      <formula>AND(ISNUMBER(K6),K6&gt;=0.7)</formula>
    </cfRule>
    <cfRule type="expression" priority="3" dxfId="2" stopIfTrue="1">
      <formula>AND(ISNUMBER(K6),K6&gt;=0.5)</formula>
    </cfRule>
    <cfRule type="expression" priority="4" dxfId="3" stopIfTrue="1">
      <formula>AND(ISNUMBER(K6),K6&lt;0.5)</formula>
    </cfRule>
  </conditionalFormatting>
  <conditionalFormatting sqref="M6:M36">
    <cfRule type="expression" priority="5" dxfId="0" stopIfTrue="1">
      <formula>AND(ISNUMBER(M6),M6&gt;=0.85)</formula>
    </cfRule>
    <cfRule type="expression" priority="6" dxfId="1" stopIfTrue="1">
      <formula>AND(ISNUMBER(M6),M6&gt;=0.7)</formula>
    </cfRule>
    <cfRule type="expression" priority="7" dxfId="2" stopIfTrue="1">
      <formula>AND(ISNUMBER(M6),M6&gt;=0.5)</formula>
    </cfRule>
    <cfRule type="expression" priority="8" dxfId="3" stopIfTrue="1">
      <formula>AND(ISNUMBER(M6),M6&lt;0.5)</formula>
    </cfRule>
  </conditionalFormatting>
  <conditionalFormatting sqref="N6:N36">
    <cfRule type="expression" priority="9" dxfId="0" stopIfTrue="1">
      <formula>AND(ISNUMBER(M6),M6&gt;=0.85)</formula>
    </cfRule>
    <cfRule type="expression" priority="10" dxfId="1" stopIfTrue="1">
      <formula>AND(ISNUMBER(M6),M6&gt;=0.7)</formula>
    </cfRule>
    <cfRule type="expression" priority="11" dxfId="2" stopIfTrue="1">
      <formula>AND(ISNUMBER(M6),M6&gt;=0.5)</formula>
    </cfRule>
    <cfRule type="expression" priority="12" dxfId="3" stopIfTrue="1">
      <formula>AND(ISNUMBER(M6),M6&lt;0.5)</formula>
    </cfRule>
  </conditionalFormatting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G83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8" customWidth="1" min="3" max="3"/>
    <col width="3" customWidth="1" min="4" max="4"/>
    <col width="16" customWidth="1" min="5" max="5"/>
    <col width="58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2" t="inlineStr">
        <is>
          <t>PLAN &amp; ROUTINES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The playbook behind the ticks. Routines are grouped so each one is a single checkbox.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0" customHeight="1">
      <c r="A5" s="1" t="n"/>
      <c r="B5" s="5" t="inlineStr">
        <is>
          <t>MORNING RESET · 06:00–06:20 · one tick</t>
        </is>
      </c>
      <c r="C5" s="1" t="n"/>
      <c r="D5" s="1" t="n"/>
      <c r="E5" s="10" t="inlineStr">
        <is>
          <t>MOBILITY &amp; POSTURE · 06:15–06:25 · one tick</t>
        </is>
      </c>
      <c r="F5" s="1" t="n"/>
      <c r="G5" s="1" t="n"/>
    </row>
    <row r="6" ht="29" customHeight="1">
      <c r="A6" s="1" t="n"/>
      <c r="B6" s="8" t="inlineStr">
        <is>
          <t>06:00</t>
        </is>
      </c>
      <c r="C6" s="7" t="inlineStr">
        <is>
          <t>Out of bed straight away · drink water · make the bed · open curtains · bathroom · weigh in · no social media</t>
        </is>
      </c>
      <c r="D6" s="1" t="n"/>
      <c r="E6" s="12" t="inlineStr">
        <is>
          <t>Neck</t>
        </is>
      </c>
      <c r="F6" s="7" t="inlineStr">
        <is>
          <t>Chin tucks × 10</t>
        </is>
      </c>
      <c r="G6" s="1" t="n"/>
    </row>
    <row r="7" ht="17" customHeight="1">
      <c r="A7" s="1" t="n"/>
      <c r="B7" s="8" t="inlineStr">
        <is>
          <t>Hydration</t>
        </is>
      </c>
      <c r="C7" s="7" t="inlineStr">
        <is>
          <t>500–750 ml to start. Don't force huge amounts.</t>
        </is>
      </c>
      <c r="D7" s="1" t="n"/>
      <c r="E7" s="12" t="inlineStr">
        <is>
          <t>Upper back</t>
        </is>
      </c>
      <c r="F7" s="7" t="inlineStr">
        <is>
          <t>Wall angels × 10 · thoracic extensions × 8–10 over a chair back</t>
        </is>
      </c>
      <c r="G7" s="1" t="n"/>
    </row>
    <row r="8" ht="17" customHeight="1">
      <c r="A8" s="1" t="n"/>
      <c r="B8" s="8" t="inlineStr">
        <is>
          <t>Light</t>
        </is>
      </c>
      <c r="C8" s="7" t="inlineStr">
        <is>
          <t>5–15 minutes outside, not through a window.</t>
        </is>
      </c>
      <c r="D8" s="1" t="n"/>
      <c r="E8" s="12" t="inlineStr">
        <is>
          <t>Shoulders</t>
        </is>
      </c>
      <c r="F8" s="7" t="inlineStr">
        <is>
          <t>External rotation with 2 kg × 12–15 · scapular retractions × 12–15</t>
        </is>
      </c>
      <c r="G8" s="1" t="n"/>
    </row>
    <row r="9" ht="29" customHeight="1">
      <c r="A9" s="1" t="n"/>
      <c r="B9" s="8" t="inlineStr">
        <is>
          <t>Prayer</t>
        </is>
      </c>
      <c r="C9" s="7" t="inlineStr">
        <is>
          <t>5–10 min: prayer · Scripture · one thing I'm grateful for · one thing I need God's help with today.</t>
        </is>
      </c>
      <c r="D9" s="1" t="n"/>
      <c r="E9" s="12" t="inlineStr">
        <is>
          <t>Chest &amp; hips</t>
        </is>
      </c>
      <c r="F9" s="7" t="inlineStr">
        <is>
          <t>Doorway chest stretch 2 × 30 s · cat-cow × 8 · hip-flexor stretch 30 s / side</t>
        </is>
      </c>
      <c r="G9" s="1" t="n"/>
    </row>
    <row r="10" ht="29" customHeight="1">
      <c r="A10" s="1" t="n"/>
      <c r="B10" s="9" t="n"/>
      <c r="C10" s="9" t="n"/>
      <c r="D10" s="1" t="n"/>
      <c r="E10" s="12" t="inlineStr">
        <is>
          <t>Rule</t>
        </is>
      </c>
      <c r="F10" s="7" t="inlineStr">
        <is>
          <t>Consistency, not administrative gymnastics. One checkbox for the whole routine.</t>
        </is>
      </c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 ht="20" customHeight="1">
      <c r="A12" s="1" t="n"/>
      <c r="B12" s="228" t="inlineStr">
        <is>
          <t>TRAINING SPLIT · 06:30–07:30</t>
        </is>
      </c>
      <c r="C12" s="1" t="n"/>
      <c r="D12" s="1" t="n"/>
      <c r="E12" s="228" t="inlineStr">
        <is>
          <t>UPPER BODY + POSTURE · Mon / Thu</t>
        </is>
      </c>
      <c r="F12" s="1" t="n"/>
      <c r="G12" s="1" t="n"/>
    </row>
    <row r="13" ht="17" customHeight="1">
      <c r="A13" s="1" t="n"/>
      <c r="B13" s="305" t="inlineStr">
        <is>
          <t>Monday</t>
        </is>
      </c>
      <c r="C13" s="7" t="inlineStr">
        <is>
          <t>Upper body + posture</t>
        </is>
      </c>
      <c r="D13" s="1" t="n"/>
      <c r="E13" s="305" t="inlineStr">
        <is>
          <t>Push-ups</t>
        </is>
      </c>
      <c r="F13" s="7" t="inlineStr">
        <is>
          <t>4 × 6–15 · progress incline → standard → decline → deficit</t>
        </is>
      </c>
      <c r="G13" s="1" t="n"/>
    </row>
    <row r="14" ht="17" customHeight="1">
      <c r="A14" s="1" t="n"/>
      <c r="B14" s="305" t="inlineStr">
        <is>
          <t>Tuesday</t>
        </is>
      </c>
      <c r="C14" s="7" t="inlineStr">
        <is>
          <t>Lower body + calves + core</t>
        </is>
      </c>
      <c r="D14" s="1" t="n"/>
      <c r="E14" s="305" t="inlineStr">
        <is>
          <t>Pike push-ups</t>
        </is>
      </c>
      <c r="F14" s="7" t="inlineStr">
        <is>
          <t>3 × 5–10</t>
        </is>
      </c>
      <c r="G14" s="1" t="n"/>
    </row>
    <row r="15" ht="17" customHeight="1">
      <c r="A15" s="1" t="n"/>
      <c r="B15" s="305" t="inlineStr">
        <is>
          <t>Wednesday</t>
        </is>
      </c>
      <c r="C15" s="7" t="inlineStr">
        <is>
          <t>Recovery: walk + mobility</t>
        </is>
      </c>
      <c r="D15" s="1" t="n"/>
      <c r="E15" s="305" t="inlineStr">
        <is>
          <t>One-arm row</t>
        </is>
      </c>
      <c r="F15" s="7" t="inlineStr">
        <is>
          <t>10 kg · 4 × 8–15 / side · pause at the top</t>
        </is>
      </c>
      <c r="G15" s="1" t="n"/>
    </row>
    <row r="16" ht="17" customHeight="1">
      <c r="A16" s="1" t="n"/>
      <c r="B16" s="305" t="inlineStr">
        <is>
          <t>Thursday</t>
        </is>
      </c>
      <c r="C16" s="7" t="inlineStr">
        <is>
          <t>Upper body + posture</t>
        </is>
      </c>
      <c r="D16" s="1" t="n"/>
      <c r="E16" s="305" t="inlineStr">
        <is>
          <t>Floor press</t>
        </is>
      </c>
      <c r="F16" s="7" t="inlineStr">
        <is>
          <t>10 kg single-arm · 3 × 8–12 / side</t>
        </is>
      </c>
      <c r="G16" s="1" t="n"/>
    </row>
    <row r="17" ht="17" customHeight="1">
      <c r="A17" s="1" t="n"/>
      <c r="B17" s="305" t="inlineStr">
        <is>
          <t>Friday</t>
        </is>
      </c>
      <c r="C17" s="7" t="inlineStr">
        <is>
          <t>Lower body + calves + core</t>
        </is>
      </c>
      <c r="D17" s="1" t="n"/>
      <c r="E17" s="305" t="inlineStr">
        <is>
          <t>Rear delts</t>
        </is>
      </c>
      <c r="F17" s="7" t="inlineStr">
        <is>
          <t>Reverse fly 2 × 2 kg · 3 × 15–20 · Y-raise 2 × 12–15</t>
        </is>
      </c>
      <c r="G17" s="1" t="n"/>
    </row>
    <row r="18" ht="17" customHeight="1">
      <c r="A18" s="1" t="n"/>
      <c r="B18" s="305" t="inlineStr">
        <is>
          <t>Saturday</t>
        </is>
      </c>
      <c r="C18" s="7" t="inlineStr">
        <is>
          <t>Optional cardio / walk / mobility</t>
        </is>
      </c>
      <c r="D18" s="1" t="n"/>
      <c r="E18" s="305" t="inlineStr">
        <is>
          <t>Scap work</t>
        </is>
      </c>
      <c r="F18" s="7" t="inlineStr">
        <is>
          <t>Scap push-ups 2 × 10–12 · finish with wall angels</t>
        </is>
      </c>
      <c r="G18" s="1" t="n"/>
    </row>
    <row r="19" ht="17" customHeight="1">
      <c r="A19" s="1" t="n"/>
      <c r="B19" s="305" t="inlineStr">
        <is>
          <t>Sunday</t>
        </is>
      </c>
      <c r="C19" s="7" t="inlineStr">
        <is>
          <t>Recovery · church · meal prep · review</t>
        </is>
      </c>
      <c r="D19" s="1" t="n"/>
      <c r="E19" s="9" t="n"/>
      <c r="F19" s="9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 ht="20" customHeight="1">
      <c r="A21" s="1" t="n"/>
      <c r="B21" s="228" t="inlineStr">
        <is>
          <t>LOWER BODY + CALVES + CORE · Tue / Fri</t>
        </is>
      </c>
      <c r="C21" s="1" t="n"/>
      <c r="D21" s="1" t="n"/>
      <c r="E21" s="4" t="inlineStr">
        <is>
          <t>PROGRESSIVE OVERLOAD · tick 'Progression achieved'</t>
        </is>
      </c>
      <c r="F21" s="1" t="n"/>
      <c r="G21" s="1" t="n"/>
    </row>
    <row r="22" ht="17" customHeight="1">
      <c r="A22" s="1" t="n"/>
      <c r="B22" s="305" t="inlineStr">
        <is>
          <t>Split squat</t>
        </is>
      </c>
      <c r="C22" s="7" t="inlineStr">
        <is>
          <t>Bulgarian split squat, 10 kg · 3–4 × 8–12 / leg</t>
        </is>
      </c>
      <c r="D22" s="1" t="n"/>
      <c r="E22" s="6" t="inlineStr">
        <is>
          <t>Ask</t>
        </is>
      </c>
      <c r="F22" s="7" t="inlineStr">
        <is>
          <t>Did I improve something today?</t>
        </is>
      </c>
      <c r="G22" s="1" t="n"/>
    </row>
    <row r="23" ht="29" customHeight="1">
      <c r="A23" s="1" t="n"/>
      <c r="B23" s="305" t="inlineStr">
        <is>
          <t>Goblet squat</t>
        </is>
      </c>
      <c r="C23" s="7" t="inlineStr">
        <is>
          <t>10 kg · 3 × 12–20 · 3-second lowering</t>
        </is>
      </c>
      <c r="D23" s="1" t="n"/>
      <c r="E23" s="6" t="inlineStr">
        <is>
          <t>Counts</t>
        </is>
      </c>
      <c r="F23" s="7" t="inlineStr">
        <is>
          <t>+1 rep · +1 set · better form · slower eccentric · longer hold · harder variation · less rest · more range · heavier dumbbell</t>
        </is>
      </c>
      <c r="G23" s="1" t="n"/>
    </row>
    <row r="24" ht="29" customHeight="1">
      <c r="A24" s="1" t="n"/>
      <c r="B24" s="305" t="inlineStr">
        <is>
          <t>Hinge</t>
        </is>
      </c>
      <c r="C24" s="7" t="inlineStr">
        <is>
          <t>Single-leg Romanian deadlift, 10 kg · 3 × 8–12 / leg</t>
        </is>
      </c>
      <c r="D24" s="1" t="n"/>
      <c r="E24" s="6" t="inlineStr">
        <is>
          <t>Why</t>
        </is>
      </c>
      <c r="F24" s="7" t="inlineStr">
        <is>
          <t>This matters more than 'workout completed'. It's how the 10 kg dumbbell stays useful for months.</t>
        </is>
      </c>
      <c r="G24" s="1" t="n"/>
    </row>
    <row r="25" ht="17" customHeight="1">
      <c r="A25" s="1" t="n"/>
      <c r="B25" s="305" t="inlineStr">
        <is>
          <t>Glutes</t>
        </is>
      </c>
      <c r="C25" s="7" t="inlineStr">
        <is>
          <t>Single-leg glute bridge · 3 × 10–15 / side</t>
        </is>
      </c>
      <c r="D25" s="1" t="n"/>
      <c r="E25" s="9" t="n"/>
      <c r="F25" s="9" t="n"/>
      <c r="G25" s="1" t="n"/>
    </row>
    <row r="26" ht="29" customHeight="1">
      <c r="A26" s="1" t="n"/>
      <c r="B26" s="305" t="inlineStr">
        <is>
          <t>Calves</t>
        </is>
      </c>
      <c r="C26" s="7" t="inlineStr">
        <is>
          <t>Single-leg calf raise off a step · 4 × 8–15 / side · 3 s down, 1 s pause at the bottom · hold 10 kg when easy</t>
        </is>
      </c>
      <c r="D26" s="1" t="n"/>
      <c r="E26" s="9" t="n"/>
      <c r="F26" s="9" t="n"/>
      <c r="G26" s="1" t="n"/>
    </row>
    <row r="27" ht="29" customHeight="1">
      <c r="A27" s="1" t="n"/>
      <c r="B27" s="305" t="inlineStr">
        <is>
          <t>Core</t>
        </is>
      </c>
      <c r="C27" s="7" t="inlineStr">
        <is>
          <t>Dead bug 3 × 8 / side · side plank 3 × 30–45 s · hollow hold 3 × 20–40 s · reverse crunch 3 × 10–15</t>
        </is>
      </c>
      <c r="D27" s="1" t="n"/>
      <c r="E27" s="9" t="n"/>
      <c r="F27" s="9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 ht="20" customHeight="1">
      <c r="A29" s="1" t="n"/>
      <c r="B29" s="15" t="inlineStr">
        <is>
          <t>20-MINUTE MINIMUM WORKOUT · when a session is missed</t>
        </is>
      </c>
      <c r="C29" s="1" t="n"/>
      <c r="D29" s="1" t="n"/>
      <c r="E29" s="14" t="inlineStr">
        <is>
          <t>CARDIO &amp; STEPS</t>
        </is>
      </c>
      <c r="F29" s="1" t="n"/>
      <c r="G29" s="1" t="n"/>
    </row>
    <row r="30" ht="29" customHeight="1">
      <c r="A30" s="1" t="n"/>
      <c r="B30" s="17" t="inlineStr">
        <is>
          <t>Rule</t>
        </is>
      </c>
      <c r="C30" s="7" t="inlineStr">
        <is>
          <t>Don't move the whole week around. Do this once, then carry on with the plan.</t>
        </is>
      </c>
      <c r="D30" s="1" t="n"/>
      <c r="E30" s="16" t="inlineStr">
        <is>
          <t>Cardio</t>
        </is>
      </c>
      <c r="F30" s="7" t="inlineStr">
        <is>
          <t>2–3 × 20–30 min: brisk or incline walking, cycling, easy jog, low-impact</t>
        </is>
      </c>
      <c r="G30" s="1" t="n"/>
    </row>
    <row r="31" ht="29" customHeight="1">
      <c r="A31" s="1" t="n"/>
      <c r="B31" s="17" t="inlineStr">
        <is>
          <t>4 rounds</t>
        </is>
      </c>
      <c r="C31" s="7" t="inlineStr">
        <is>
          <t>10 push-ups (any version) · 12 goblet squats · 10 rows / side · 30 s plank · 15 calf raises</t>
        </is>
      </c>
      <c r="D31" s="1" t="n"/>
      <c r="E31" s="16" t="inlineStr">
        <is>
          <t>Steps</t>
        </is>
      </c>
      <c r="F31" s="7" t="inlineStr">
        <is>
          <t>Week 1: 7,000 · week 2: 8,000 · week 3+: 9,000 → a 9–10k average</t>
        </is>
      </c>
      <c r="G31" s="1" t="n"/>
    </row>
    <row r="32" ht="29" customHeight="1">
      <c r="A32" s="1" t="n"/>
      <c r="B32" s="17" t="inlineStr">
        <is>
          <t>Counts as</t>
        </is>
      </c>
      <c r="C32" s="7" t="inlineStr">
        <is>
          <t>Training / movement. Tick Strength too if it ran 15+ minutes.</t>
        </is>
      </c>
      <c r="D32" s="1" t="n"/>
      <c r="E32" s="16" t="inlineStr">
        <is>
          <t>Rest day</t>
        </is>
      </c>
      <c r="F32" s="7" t="inlineStr">
        <is>
          <t>At least one lower-intensity day: walking, mobility, light cycling, family activity</t>
        </is>
      </c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0" customHeight="1">
      <c r="A34" s="1" t="n"/>
      <c r="B34" s="15" t="inlineStr">
        <is>
          <t>NUTRITION TARGETS</t>
        </is>
      </c>
      <c r="C34" s="1" t="n"/>
      <c r="D34" s="1" t="n"/>
      <c r="E34" s="15" t="inlineStr">
        <is>
          <t>MAURITIUS-FRIENDLY PLATE · no seafood, no pork</t>
        </is>
      </c>
      <c r="F34" s="1" t="n"/>
      <c r="G34" s="1" t="n"/>
    </row>
    <row r="35" ht="29" customHeight="1">
      <c r="A35" s="1" t="n"/>
      <c r="B35" s="17" t="inlineStr">
        <is>
          <t>Calories</t>
        </is>
      </c>
      <c r="C35" s="7" t="inlineStr">
        <is>
          <t>Start at 1,800–2,000 kcal. Adjust on the 2–3 week trend, not on one day. Never auto-drop to 1,500.</t>
        </is>
      </c>
      <c r="D35" s="1" t="n"/>
      <c r="E35" s="17" t="inlineStr">
        <is>
          <t>Protein</t>
        </is>
      </c>
      <c r="F35" s="7" t="inlineStr">
        <is>
          <t>Chicken · eggs · lean beef · dholl / lentils · beans · yoghurt · cheese · milk · whey</t>
        </is>
      </c>
      <c r="G35" s="1" t="n"/>
    </row>
    <row r="36" ht="29" customHeight="1">
      <c r="A36" s="1" t="n"/>
      <c r="B36" s="17" t="inlineStr">
        <is>
          <t>Protein</t>
        </is>
      </c>
      <c r="C36" s="7" t="inlineStr">
        <is>
          <t>150 g / day · breakfast 30–40 · lunch 35–45 · snack 20–30 · dinner 40–50</t>
        </is>
      </c>
      <c r="D36" s="1" t="n"/>
      <c r="E36" s="17" t="inlineStr">
        <is>
          <t>Carbs</t>
        </is>
      </c>
      <c r="F36" s="7" t="inlineStr">
        <is>
          <t>Rice · potatoes · oats · bread · roti / farata (watch the portion) · fruit</t>
        </is>
      </c>
      <c r="G36" s="1" t="n"/>
    </row>
    <row r="37" ht="29" customHeight="1">
      <c r="A37" s="1" t="n"/>
      <c r="B37" s="17" t="inlineStr">
        <is>
          <t>Whey isolate</t>
        </is>
      </c>
      <c r="C37" s="7" t="inlineStr">
        <is>
          <t>One serving ≈ 25.5 g protein · 113 kcal. Use it to fill gaps.</t>
        </is>
      </c>
      <c r="D37" s="1" t="n"/>
      <c r="E37" s="17" t="inlineStr">
        <is>
          <t>Veg</t>
        </is>
      </c>
      <c r="F37" s="7" t="inlineStr">
        <is>
          <t>Brèdes · cabbage · pumpkin · chou chou · carrots · tomatoes · salad</t>
        </is>
      </c>
      <c r="G37" s="1" t="n"/>
    </row>
    <row r="38" ht="41" customHeight="1">
      <c r="A38" s="1" t="n"/>
      <c r="B38" s="17" t="inlineStr">
        <is>
          <t>Fat</t>
        </is>
      </c>
      <c r="C38" s="7" t="inlineStr">
        <is>
          <t>50–65 g / day. Portion awareness, not elimination.</t>
        </is>
      </c>
      <c r="D38" s="1" t="n"/>
      <c r="E38" s="17" t="inlineStr">
        <is>
          <t>Example day</t>
        </is>
      </c>
      <c r="F38" s="7" t="inlineStr">
        <is>
          <t>Oats + whey + banana (~35 g) · chicken curry, rice, salad (~40 g) · yoghurt or 2 eggs (~20 g) · grilled chicken or beef, potatoes, veg (~45 g)</t>
        </is>
      </c>
      <c r="G38" s="1" t="n"/>
    </row>
    <row r="39" ht="29" customHeight="1">
      <c r="A39" s="1" t="n"/>
      <c r="B39" s="17" t="inlineStr">
        <is>
          <t>Carbs</t>
        </is>
      </c>
      <c r="C39" s="7" t="inlineStr">
        <is>
          <t>The rest of the calories. No carb phobia.</t>
        </is>
      </c>
      <c r="D39" s="1" t="n"/>
      <c r="E39" s="17" t="inlineStr">
        <is>
          <t>Meal prep</t>
        </is>
      </c>
      <c r="F39" s="7" t="inlineStr">
        <is>
          <t>Sunday 30–60 min: cook a protein, a carb base, chop veg, boil eggs, portion snacks. Make the healthy option the lazy option.</t>
        </is>
      </c>
      <c r="G39" s="1" t="n"/>
    </row>
    <row r="40" ht="17" customHeight="1">
      <c r="A40" s="1" t="n"/>
      <c r="B40" s="17" t="inlineStr">
        <is>
          <t>Water</t>
        </is>
      </c>
      <c r="C40" s="7" t="inlineStr">
        <is>
          <t>2.5–3 L = 500 ml × 5–6. More in heat or after sweaty sessions.</t>
        </is>
      </c>
      <c r="D40" s="1" t="n"/>
      <c r="E40" s="9" t="n"/>
      <c r="F40" s="9" t="n"/>
      <c r="G40" s="1" t="n"/>
    </row>
    <row r="41" ht="17" customHeight="1">
      <c r="A41" s="1" t="n"/>
      <c r="B41" s="17" t="inlineStr">
        <is>
          <t>Caffeine</t>
        </is>
      </c>
      <c r="C41" s="7" t="inlineStr">
        <is>
          <t>If you drink coffee or tea: nothing after 14:00.</t>
        </is>
      </c>
      <c r="D41" s="1" t="n"/>
      <c r="E41" s="9" t="n"/>
      <c r="F41" s="9" t="n"/>
      <c r="G41" s="1" t="n"/>
    </row>
    <row r="42" ht="29" customHeight="1">
      <c r="A42" s="1" t="n"/>
      <c r="B42" s="17" t="inlineStr">
        <is>
          <t>Daily</t>
        </is>
      </c>
      <c r="C42" s="7" t="inlineStr">
        <is>
          <t>Protein in every main meal · 2+ veg · 1–2 fruit · mostly minimally processed · no liquid calories · no unplanned binges</t>
        </is>
      </c>
      <c r="D42" s="1" t="n"/>
      <c r="E42" s="9" t="n"/>
      <c r="F42" s="9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 ht="20" customHeight="1">
      <c r="A44" s="1" t="n"/>
      <c r="B44" s="11" t="inlineStr">
        <is>
          <t>EVENING SHUTDOWN · 20:00 → 22:00</t>
        </is>
      </c>
      <c r="C44" s="1" t="n"/>
      <c r="D44" s="1" t="n"/>
      <c r="E44" s="15" t="inlineStr">
        <is>
          <t>WORK</t>
        </is>
      </c>
      <c r="F44" s="1" t="n"/>
      <c r="G44" s="1" t="n"/>
    </row>
    <row r="45" ht="29" customHeight="1">
      <c r="A45" s="1" t="n"/>
      <c r="B45" s="13" t="inlineStr">
        <is>
          <t>20:00</t>
        </is>
      </c>
      <c r="C45" s="7" t="inlineStr">
        <is>
          <t>Work shutdown: what was completed? what remains? tomorrow's first priority? Then stop.</t>
        </is>
      </c>
      <c r="D45" s="1" t="n"/>
      <c r="E45" s="17" t="inlineStr">
        <is>
          <t>Before work</t>
        </is>
      </c>
      <c r="F45" s="7" t="inlineStr">
        <is>
          <t>Write the Top 3 priorities.</t>
        </is>
      </c>
      <c r="G45" s="1" t="n"/>
    </row>
    <row r="46" ht="29" customHeight="1">
      <c r="A46" s="1" t="n"/>
      <c r="B46" s="13" t="inlineStr">
        <is>
          <t>21:00</t>
        </is>
      </c>
      <c r="C46" s="7" t="inlineStr">
        <is>
          <t>Prep clothes and training kit · review tomorrow's calendar · hygiene · teeth · short prayer · gratitude</t>
        </is>
      </c>
      <c r="D46" s="1" t="n"/>
      <c r="E46" s="17" t="inlineStr">
        <is>
          <t>During</t>
        </is>
      </c>
      <c r="F46" s="7" t="inlineStr">
        <is>
          <t>2–3 deep-work blocks · move 1–2 min every 45–60 min · 20-20-20 for the eyes</t>
        </is>
      </c>
      <c r="G46" s="1" t="n"/>
    </row>
    <row r="47" ht="29" customHeight="1">
      <c r="A47" s="1" t="n"/>
      <c r="B47" s="13" t="inlineStr">
        <is>
          <t>Screens</t>
        </is>
      </c>
      <c r="C47" s="7" t="inlineStr">
        <is>
          <t>No doomscrolling in bed. Last 30 minutes screen-free.</t>
        </is>
      </c>
      <c r="D47" s="1" t="n"/>
      <c r="E47" s="17" t="inlineStr">
        <is>
          <t>Boundary</t>
        </is>
      </c>
      <c r="F47" s="7" t="inlineStr">
        <is>
          <t>Work ends at ~20:00 so the evening belongs to people, not the inbox.</t>
        </is>
      </c>
      <c r="G47" s="1" t="n"/>
    </row>
    <row r="48" ht="17" customHeight="1">
      <c r="A48" s="1" t="n"/>
      <c r="B48" s="13" t="inlineStr">
        <is>
          <t>21:30</t>
        </is>
      </c>
      <c r="C48" s="7" t="inlineStr">
        <is>
          <t>Read / quiet time</t>
        </is>
      </c>
      <c r="D48" s="1" t="n"/>
      <c r="E48" s="9" t="n"/>
      <c r="F48" s="9" t="n"/>
      <c r="G48" s="1" t="n"/>
    </row>
    <row r="49" ht="17" customHeight="1">
      <c r="A49" s="1" t="n"/>
      <c r="B49" s="13" t="inlineStr">
        <is>
          <t>22:00</t>
        </is>
      </c>
      <c r="C49" s="7" t="inlineStr">
        <is>
          <t>Lights out</t>
        </is>
      </c>
      <c r="D49" s="1" t="n"/>
      <c r="E49" s="9" t="n"/>
      <c r="F49" s="9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 ht="20" customHeight="1">
      <c r="A51" s="1" t="n"/>
      <c r="B51" s="4" t="inlineStr">
        <is>
          <t>FAITH</t>
        </is>
      </c>
      <c r="C51" s="1" t="n"/>
      <c r="D51" s="1" t="n"/>
      <c r="E51" s="306" t="inlineStr">
        <is>
          <t>RELATIONSHIPS &amp; FAMILY</t>
        </is>
      </c>
      <c r="F51" s="1" t="n"/>
      <c r="G51" s="1" t="n"/>
    </row>
    <row r="52" ht="29" customHeight="1">
      <c r="A52" s="1" t="n"/>
      <c r="B52" s="6" t="inlineStr">
        <is>
          <t>Daily</t>
        </is>
      </c>
      <c r="C52" s="7" t="inlineStr">
        <is>
          <t>Morning prayer · Scripture · gratitude · evening prayer</t>
        </is>
      </c>
      <c r="D52" s="1" t="n"/>
      <c r="E52" s="307" t="inlineStr">
        <is>
          <t>Fiancée</t>
        </is>
      </c>
      <c r="F52" s="7" t="inlineStr">
        <is>
          <t>10–20 min a day, no phone. 'How are you really doing?' Not every chat needs to be a summit.</t>
        </is>
      </c>
      <c r="G52" s="1" t="n"/>
    </row>
    <row r="53" ht="29" customHeight="1">
      <c r="A53" s="1" t="n"/>
      <c r="B53" s="6" t="inlineStr">
        <is>
          <t>Weekly</t>
        </is>
      </c>
      <c r="C53" s="7" t="inlineStr">
        <is>
          <t>Church / worship · longer Scripture study · prayer for family · prayer for direction and wisdom</t>
        </is>
      </c>
      <c r="D53" s="1" t="n"/>
      <c r="E53" s="307" t="inlineStr">
        <is>
          <t>Couple time</t>
        </is>
      </c>
      <c r="F53" s="7" t="inlineStr">
        <is>
          <t>Weekly: dinner, walk, coffee, movie, day trip, private time, a shared activity</t>
        </is>
      </c>
      <c r="G53" s="1" t="n"/>
    </row>
    <row r="54" ht="29" customHeight="1">
      <c r="A54" s="1" t="n"/>
      <c r="B54" s="6" t="inlineStr">
        <is>
          <t>Monthly</t>
        </is>
      </c>
      <c r="C54" s="7" t="inlineStr">
        <is>
          <t>Am I becoming more disciplined, loving, truthful, patient and useful?</t>
        </is>
      </c>
      <c r="D54" s="1" t="n"/>
      <c r="E54" s="307" t="inlineStr">
        <is>
          <t>Son</t>
        </is>
      </c>
      <c r="F54" s="7" t="inlineStr">
        <is>
          <t>Weekly: conversation · shared activity · guidance · positive reinforcement. Connection, not policing.</t>
        </is>
      </c>
      <c r="G54" s="1" t="n"/>
    </row>
    <row r="55" ht="29" customHeight="1">
      <c r="A55" s="1" t="n"/>
      <c r="B55" s="6" t="inlineStr">
        <is>
          <t>Note</t>
        </is>
      </c>
      <c r="C55" s="7" t="inlineStr">
        <is>
          <t>The tracker measures practice. It doesn't pretend to measure faith.</t>
        </is>
      </c>
      <c r="D55" s="1" t="n"/>
      <c r="E55" s="307" t="inlineStr">
        <is>
          <t>Family</t>
        </is>
      </c>
      <c r="F55" s="7" t="inlineStr">
        <is>
          <t>Weekly check-in and one meaningful conversation</t>
        </is>
      </c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 ht="20" customHeight="1">
      <c r="A57" s="1" t="n"/>
      <c r="B57" s="11" t="inlineStr">
        <is>
          <t>MIND</t>
        </is>
      </c>
      <c r="C57" s="1" t="n"/>
      <c r="D57" s="1" t="n"/>
      <c r="E57" s="5" t="inlineStr">
        <is>
          <t>EYES, JAW &amp; DESK · keratoconus-aware</t>
        </is>
      </c>
      <c r="F57" s="1" t="n"/>
      <c r="G57" s="1" t="n"/>
    </row>
    <row r="58" ht="41" customHeight="1">
      <c r="A58" s="1" t="n"/>
      <c r="B58" s="13" t="inlineStr">
        <is>
          <t>Reading</t>
        </is>
      </c>
      <c r="C58" s="7" t="inlineStr">
        <is>
          <t>20 min a day. Track minutes, not pages. Business · psychology · philosophy · faith · health · strategy · fiction sometimes</t>
        </is>
      </c>
      <c r="D58" s="1" t="n"/>
      <c r="E58" s="8" t="inlineStr">
        <is>
          <t>Eyes</t>
        </is>
      </c>
      <c r="F58" s="7" t="inlineStr">
        <is>
          <t>20-20-20: every ~20 min look ~20 ft away for ~20 s · don't rub your eyes · wear your prescribed correction · notice and ease squinting</t>
        </is>
      </c>
      <c r="G58" s="1" t="n"/>
    </row>
    <row r="59" ht="29" customHeight="1">
      <c r="A59" s="1" t="n"/>
      <c r="B59" s="13" t="inlineStr">
        <is>
          <t>Learning</t>
        </is>
      </c>
      <c r="C59" s="7" t="inlineStr">
        <is>
          <t>20–30 min of deliberate learning: AI · marketing · business · design · web · sales · leadership</t>
        </is>
      </c>
      <c r="D59" s="1" t="n"/>
      <c r="E59" s="8" t="inlineStr">
        <is>
          <t>Check-ups</t>
        </is>
      </c>
      <c r="F59" s="7" t="inlineStr">
        <is>
          <t>Keep regular appointments with your eye specialist. No eye exercises to 'fix' keratoconus.</t>
        </is>
      </c>
      <c r="G59" s="1" t="n"/>
    </row>
    <row r="60" ht="41" customHeight="1">
      <c r="A60" s="1" t="n"/>
      <c r="B60" s="13" t="inlineStr">
        <is>
          <t>Journal (opt.)</t>
        </is>
      </c>
      <c r="C60" s="7" t="inlineStr">
        <is>
          <t>AM: What matters most today? What could derail me? How will I respond?  PM: What did I accomplish? Where did I fall short? What will I do differently?</t>
        </is>
      </c>
      <c r="D60" s="1" t="n"/>
      <c r="E60" s="8" t="inlineStr">
        <is>
          <t>Jaw</t>
        </is>
      </c>
      <c r="F60" s="7" t="inlineStr">
        <is>
          <t>Relax it, don't force it into position. If the alignment concern persists, book a dental / orthodontic assessment.</t>
        </is>
      </c>
      <c r="G60" s="1" t="n"/>
    </row>
    <row r="61" ht="29" customHeight="1">
      <c r="A61" s="1" t="n"/>
      <c r="B61" s="13" t="inlineStr">
        <is>
          <t>Check-in</t>
        </is>
      </c>
      <c r="C61" s="7" t="inlineStr">
        <is>
          <t>Mood, energy, stress 1–10. Optional prompt: What am I avoiding?</t>
        </is>
      </c>
      <c r="D61" s="1" t="n"/>
      <c r="E61" s="8" t="inlineStr">
        <is>
          <t>Desk (weekly)</t>
        </is>
      </c>
      <c r="F61" s="7" t="inlineStr">
        <is>
          <t>Screen near eye level · feet supported · shoulders relaxed · elbows comfortable · alternate sitting and standing</t>
        </is>
      </c>
      <c r="G61" s="1" t="n"/>
    </row>
    <row r="62" ht="29" customHeight="1">
      <c r="A62" s="1" t="n"/>
      <c r="B62" s="13" t="inlineStr">
        <is>
          <t>Meditation</t>
        </is>
      </c>
      <c r="C62" s="7" t="inlineStr">
        <is>
          <t>5–10 min: breath, contemplative prayer, silence or guided. Consistency before length.</t>
        </is>
      </c>
      <c r="D62" s="1" t="n"/>
      <c r="E62" s="9" t="n"/>
      <c r="F62" s="9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 ht="20" customHeight="1">
      <c r="A64" s="1" t="n"/>
      <c r="B64" s="308" t="inlineStr">
        <is>
          <t>HOME &amp; LIFE ADMIN</t>
        </is>
      </c>
      <c r="C64" s="1" t="n"/>
      <c r="D64" s="1" t="n"/>
      <c r="E64" s="4" t="inlineStr">
        <is>
          <t>MINIMUM VIABLE DAY · mode M</t>
        </is>
      </c>
      <c r="F64" s="1" t="n"/>
      <c r="G64" s="1" t="n"/>
    </row>
    <row r="65" ht="29" customHeight="1">
      <c r="A65" s="1" t="n"/>
      <c r="B65" s="309" t="inlineStr">
        <is>
          <t>Daily</t>
        </is>
      </c>
      <c r="C65" s="7" t="inlineStr">
        <is>
          <t>Make the bed · 5-minute tidy · dishes and kitchen reset</t>
        </is>
      </c>
      <c r="D65" s="1" t="n"/>
      <c r="E65" s="6" t="inlineStr">
        <is>
          <t>When</t>
        </is>
      </c>
      <c r="F65" s="7" t="inlineStr">
        <is>
          <t>Work explodes, you're tired, travelling, or life throws a chair through the window.</t>
        </is>
      </c>
      <c r="G65" s="1" t="n"/>
    </row>
    <row r="66" ht="41" customHeight="1">
      <c r="A66" s="1" t="n"/>
      <c r="B66" s="309" t="inlineStr">
        <is>
          <t>Weekly</t>
        </is>
      </c>
      <c r="C66" s="7" t="inlineStr">
        <is>
          <t>Laundry · room · bathroom · grocery plan · meal prep · financial review · calendar review</t>
        </is>
      </c>
      <c r="D66" s="1" t="n"/>
      <c r="E66" s="6" t="inlineStr">
        <is>
          <t>The list</t>
        </is>
      </c>
      <c r="F66" s="7" t="inlineStr">
        <is>
          <t>Drink water · 10-minute walk · protein as close as possible · 5-minute mobility · prayer · 10 minutes with your fiancée · lights out on time</t>
        </is>
      </c>
      <c r="G66" s="1" t="n"/>
    </row>
    <row r="67" ht="29" customHeight="1">
      <c r="A67" s="1" t="n"/>
      <c r="B67" s="9" t="n"/>
      <c r="C67" s="9" t="n"/>
      <c r="D67" s="1" t="n"/>
      <c r="E67" s="6" t="inlineStr">
        <is>
          <t>Scoring</t>
        </is>
      </c>
      <c r="F67" s="7" t="inlineStr">
        <is>
          <t>Type M in the day-mode row. The day is scored on these 7 items only. That's it. No guilt.</t>
        </is>
      </c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 ht="20" customHeight="1">
      <c r="A69" s="1" t="n"/>
      <c r="B69" s="228" t="inlineStr">
        <is>
          <t>SICK-DAY RULE · mode S</t>
        </is>
      </c>
      <c r="C69" s="1" t="n"/>
      <c r="D69" s="1" t="n"/>
      <c r="E69" s="228" t="inlineStr">
        <is>
          <t>WEIGHING, MEASURING, PACE</t>
        </is>
      </c>
      <c r="F69" s="1" t="n"/>
      <c r="G69" s="1" t="n"/>
    </row>
    <row r="70" ht="29" customHeight="1">
      <c r="A70" s="1" t="n"/>
      <c r="B70" s="305" t="inlineStr">
        <is>
          <t>Don't</t>
        </is>
      </c>
      <c r="C70" s="7" t="inlineStr">
        <is>
          <t>Hard training · aggressive calorie deficit · forced cardio</t>
        </is>
      </c>
      <c r="D70" s="1" t="n"/>
      <c r="E70" s="305" t="inlineStr">
        <is>
          <t>Weigh-in</t>
        </is>
      </c>
      <c r="F70" s="7" t="inlineStr">
        <is>
          <t>Daily, after the bathroom, before food or drink, similar clothing. Don't react to one number.</t>
        </is>
      </c>
      <c r="G70" s="1" t="n"/>
    </row>
    <row r="71" ht="17" customHeight="1">
      <c r="A71" s="1" t="n"/>
      <c r="B71" s="305" t="inlineStr">
        <is>
          <t>Do</t>
        </is>
      </c>
      <c r="C71" s="7" t="inlineStr">
        <is>
          <t>Rest · hydration · nutrition · sleep · medical care when needed</t>
        </is>
      </c>
      <c r="D71" s="1" t="n"/>
      <c r="E71" s="305" t="inlineStr">
        <is>
          <t>Decide on</t>
        </is>
      </c>
      <c r="F71" s="7" t="inlineStr">
        <is>
          <t>The 7-day average only.</t>
        </is>
      </c>
      <c r="G71" s="1" t="n"/>
    </row>
    <row r="72" ht="29" customHeight="1">
      <c r="A72" s="1" t="n"/>
      <c r="B72" s="305" t="inlineStr">
        <is>
          <t>Scoring</t>
        </is>
      </c>
      <c r="C72" s="7" t="inlineStr">
        <is>
          <t>Type S. The day is paused: no score, and it doesn't drag the rolling averages down. Resume training gradually.</t>
        </is>
      </c>
      <c r="D72" s="1" t="n"/>
      <c r="E72" s="305" t="inlineStr">
        <is>
          <t>Every 2 weeks</t>
        </is>
      </c>
      <c r="F72" s="7" t="inlineStr">
        <is>
          <t>Waist · chest · arms · thigh · calf (neck optional)</t>
        </is>
      </c>
      <c r="G72" s="1" t="n"/>
    </row>
    <row r="73" ht="29" customHeight="1">
      <c r="A73" s="1" t="n"/>
      <c r="B73" s="9" t="n"/>
      <c r="C73" s="9" t="n"/>
      <c r="D73" s="1" t="n"/>
      <c r="E73" s="305" t="inlineStr">
        <is>
          <t>Monthly</t>
        </is>
      </c>
      <c r="F73" s="7" t="inlineStr">
        <is>
          <t>Progress photos: same light, distance, pose and time · front, side, back</t>
        </is>
      </c>
      <c r="G73" s="1" t="n"/>
    </row>
    <row r="74" ht="29" customHeight="1">
      <c r="A74" s="1" t="n"/>
      <c r="B74" s="9" t="n"/>
      <c r="C74" s="9" t="n"/>
      <c r="D74" s="1" t="n"/>
      <c r="E74" s="305" t="inlineStr">
        <is>
          <t>Pace</t>
        </is>
      </c>
      <c r="F74" s="7" t="inlineStr">
        <is>
          <t>0.4–0.8 kg a week. Flat for 14 days → trim 150–200 kcal or add steps. Above 1%/week repeatedly → eat a bit more.</t>
        </is>
      </c>
      <c r="G74" s="1" t="n"/>
    </row>
    <row r="75" ht="29" customHeight="1">
      <c r="A75" s="1" t="n"/>
      <c r="B75" s="9" t="n"/>
      <c r="C75" s="9" t="n"/>
      <c r="D75" s="1" t="n"/>
      <c r="E75" s="305" t="inlineStr">
        <is>
          <t>Protect muscle</t>
        </is>
      </c>
      <c r="F75" s="7" t="inlineStr">
        <is>
          <t>Watch for strength falling, protein under target, short sleep, very low calories, too much cardio, constant fatigue.</t>
        </is>
      </c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 ht="20" customHeight="1">
      <c r="A77" s="1" t="n"/>
      <c r="B77" s="310" t="inlineStr">
        <is>
          <t>DELIBERATELY NOT INCLUDED</t>
        </is>
      </c>
      <c r="C77" s="1" t="n"/>
      <c r="D77" s="1" t="n"/>
      <c r="E77" s="1" t="n"/>
      <c r="F77" s="1" t="n"/>
      <c r="G77" s="1" t="n"/>
    </row>
    <row r="78" ht="65" customHeight="1">
      <c r="A78" s="1" t="n"/>
      <c r="B78" s="311" t="inlineStr">
        <is>
          <t>No</t>
        </is>
      </c>
      <c r="C78" s="7" t="inlineStr">
        <is>
          <t>Excessive skincare · jawline or facial exercises · eye exercises to 'fix' keratoconus · excessive stretching · daily calorie-burn targets · punishment workouts · starvation targets · more than one weight metric a day · dozens of tiny habits · streaks that reward unhealthy behaviour</t>
        </is>
      </c>
      <c r="D78" s="1" t="n"/>
      <c r="E78" s="1" t="n"/>
      <c r="F78" s="1" t="n"/>
      <c r="G78" s="1" t="n"/>
    </row>
    <row r="79" ht="29" customHeight="1">
      <c r="A79" s="1" t="n"/>
      <c r="B79" s="311" t="inlineStr">
        <is>
          <t>Why</t>
        </is>
      </c>
      <c r="C79" s="7" t="inlineStr">
        <is>
          <t>The system should make life simpler, not turn you into the middle manager of your own existence.</t>
        </is>
      </c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</sheetData>
  <mergeCells count="23">
    <mergeCell ref="E12:F12"/>
    <mergeCell ref="B3:F3"/>
    <mergeCell ref="E5:F5"/>
    <mergeCell ref="E64:F64"/>
    <mergeCell ref="E44:F44"/>
    <mergeCell ref="B12:C12"/>
    <mergeCell ref="B77:C77"/>
    <mergeCell ref="B21:C21"/>
    <mergeCell ref="E51:F51"/>
    <mergeCell ref="B2:F2"/>
    <mergeCell ref="E29:F29"/>
    <mergeCell ref="E69:F69"/>
    <mergeCell ref="B57:C57"/>
    <mergeCell ref="E34:F34"/>
    <mergeCell ref="B69:C69"/>
    <mergeCell ref="B44:C44"/>
    <mergeCell ref="B29:C29"/>
    <mergeCell ref="B34:C34"/>
    <mergeCell ref="E57:F57"/>
    <mergeCell ref="B64:C64"/>
    <mergeCell ref="B5:C5"/>
    <mergeCell ref="B51:C51"/>
    <mergeCell ref="E21:F21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5B6584"/>
    <outlinePr summaryBelow="1" summaryRight="1"/>
    <pageSetUpPr fitToPage="1"/>
  </sheetPr>
  <dimension ref="A1:L60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40" customWidth="1" min="4" max="4"/>
    <col width="3" customWidth="1" min="5" max="5"/>
    <col width="6" customWidth="1" min="6" max="6"/>
    <col width="14" customWidth="1" min="7" max="7"/>
    <col width="34" customWidth="1" min="8" max="8"/>
    <col width="32" customWidth="1" min="9" max="9"/>
    <col width="3" customWidth="1" min="10" max="1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1" t="n"/>
      <c r="B2" s="147" t="inlineStr">
        <is>
          <t>SETTINGS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1" t="n"/>
      <c r="B3" s="312" t="inlineStr">
        <is>
          <t>Targets and thresholds behind every score. Change a value here and the whole system follows.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1" t="n"/>
      <c r="B5" s="313" t="inlineStr">
        <is>
          <t>PROFILE</t>
        </is>
      </c>
      <c r="E5" s="1" t="n"/>
      <c r="F5" s="313" t="inlineStr">
        <is>
          <t>IDEAL WEEK</t>
        </is>
      </c>
      <c r="J5" s="1" t="n"/>
      <c r="K5" s="1" t="n"/>
      <c r="L5" s="1" t="n"/>
    </row>
    <row r="6" ht="18" customHeight="1">
      <c r="A6" s="1" t="n"/>
      <c r="B6" s="314" t="inlineStr">
        <is>
          <t>Name</t>
        </is>
      </c>
      <c r="C6" s="315" t="inlineStr">
        <is>
          <t>Lucas</t>
        </is>
      </c>
      <c r="D6" s="45" t="inlineStr"/>
      <c r="E6" s="1" t="n"/>
      <c r="F6" s="301" t="inlineStr">
        <is>
          <t>#</t>
        </is>
      </c>
      <c r="G6" s="316" t="inlineStr">
        <is>
          <t>Day</t>
        </is>
      </c>
      <c r="H6" s="316" t="inlineStr">
        <is>
          <t>06:30 training</t>
        </is>
      </c>
      <c r="I6" s="316" t="inlineStr">
        <is>
          <t>Rest of the day</t>
        </is>
      </c>
      <c r="J6" s="1" t="n"/>
      <c r="K6" s="1" t="n"/>
      <c r="L6" s="1" t="n"/>
    </row>
    <row r="7" ht="18" customHeight="1">
      <c r="A7" s="1" t="n"/>
      <c r="B7" s="314" t="inlineStr">
        <is>
          <t>Age</t>
        </is>
      </c>
      <c r="C7" s="317" t="n">
        <v>35</v>
      </c>
      <c r="D7" s="45" t="inlineStr"/>
      <c r="E7" s="1" t="n"/>
      <c r="F7" s="318" t="n">
        <v>1</v>
      </c>
      <c r="G7" s="319" t="inlineStr">
        <is>
          <t>Monday</t>
        </is>
      </c>
      <c r="H7" s="320" t="inlineStr">
        <is>
          <t>Upper body + posture</t>
        </is>
      </c>
      <c r="I7" s="320" t="inlineStr">
        <is>
          <t>Work 10–20 · family 20:00</t>
        </is>
      </c>
      <c r="J7" s="1" t="n"/>
      <c r="K7" s="1" t="n"/>
      <c r="L7" s="1" t="n"/>
    </row>
    <row r="8" ht="18" customHeight="1">
      <c r="A8" s="1" t="n"/>
      <c r="B8" s="314" t="inlineStr">
        <is>
          <t>Height (cm)</t>
        </is>
      </c>
      <c r="C8" s="317" t="n">
        <v>180</v>
      </c>
      <c r="D8" s="45" t="inlineStr"/>
      <c r="E8" s="1" t="n"/>
      <c r="F8" s="321" t="n">
        <v>2</v>
      </c>
      <c r="G8" s="322" t="inlineStr">
        <is>
          <t>Tuesday</t>
        </is>
      </c>
      <c r="H8" s="320" t="inlineStr">
        <is>
          <t>Lower body + calves + core</t>
        </is>
      </c>
      <c r="I8" s="320" t="inlineStr">
        <is>
          <t>Work 10–20 · family 20:00</t>
        </is>
      </c>
      <c r="J8" s="1" t="n"/>
      <c r="K8" s="1" t="n"/>
      <c r="L8" s="1" t="n"/>
    </row>
    <row r="9" ht="18" customHeight="1">
      <c r="A9" s="1" t="n"/>
      <c r="B9" s="314" t="inlineStr">
        <is>
          <t>Starting weight (kg)</t>
        </is>
      </c>
      <c r="C9" s="323" t="n">
        <v>76</v>
      </c>
      <c r="D9" s="45" t="inlineStr">
        <is>
          <t>Used for goal estimates only</t>
        </is>
      </c>
      <c r="E9" s="1" t="n"/>
      <c r="F9" s="324" t="n">
        <v>3</v>
      </c>
      <c r="G9" s="42" t="inlineStr">
        <is>
          <t>Wednesday</t>
        </is>
      </c>
      <c r="H9" s="320" t="inlineStr">
        <is>
          <t>Walk + mobility (recovery)</t>
        </is>
      </c>
      <c r="I9" s="320" t="inlineStr">
        <is>
          <t>Work 10–20 · family 20:00</t>
        </is>
      </c>
      <c r="J9" s="1" t="n"/>
      <c r="K9" s="1" t="n"/>
      <c r="L9" s="1" t="n"/>
    </row>
    <row r="10" ht="18" customHeight="1">
      <c r="A10" s="1" t="n"/>
      <c r="B10" s="314" t="inlineStr">
        <is>
          <t>Estimated body fat</t>
        </is>
      </c>
      <c r="C10" s="325" t="n">
        <v>0.25</v>
      </c>
      <c r="D10" s="45" t="inlineStr">
        <is>
          <t>Rough estimate</t>
        </is>
      </c>
      <c r="E10" s="1" t="n"/>
      <c r="F10" s="326" t="n">
        <v>4</v>
      </c>
      <c r="G10" s="327" t="inlineStr">
        <is>
          <t>Thursday</t>
        </is>
      </c>
      <c r="H10" s="320" t="inlineStr">
        <is>
          <t>Upper body + posture</t>
        </is>
      </c>
      <c r="I10" s="320" t="inlineStr">
        <is>
          <t>Work 10–20 · family 20:00</t>
        </is>
      </c>
      <c r="J10" s="1" t="n"/>
      <c r="K10" s="1" t="n"/>
      <c r="L10" s="1" t="n"/>
    </row>
    <row r="11" ht="18" customHeight="1">
      <c r="A11" s="1" t="n"/>
      <c r="B11" s="314" t="inlineStr">
        <is>
          <t>Goal body fat</t>
        </is>
      </c>
      <c r="C11" s="325" t="n">
        <v>0.15</v>
      </c>
      <c r="D11" s="45" t="inlineStr">
        <is>
          <t>Direction of travel, not a deadline</t>
        </is>
      </c>
      <c r="E11" s="1" t="n"/>
      <c r="F11" s="328" t="n">
        <v>5</v>
      </c>
      <c r="G11" s="329" t="inlineStr">
        <is>
          <t>Friday</t>
        </is>
      </c>
      <c r="H11" s="320" t="inlineStr">
        <is>
          <t>Lower body + calves + core</t>
        </is>
      </c>
      <c r="I11" s="320" t="inlineStr">
        <is>
          <t>Work 10–20 · family 20:00</t>
        </is>
      </c>
      <c r="J11" s="1" t="n"/>
      <c r="K11" s="1" t="n"/>
      <c r="L11" s="1" t="n"/>
    </row>
    <row r="12" ht="18" customHeight="1">
      <c r="A12" s="1" t="n"/>
      <c r="B12" s="314" t="inlineStr">
        <is>
          <t>Estimated lean mass (kg)</t>
        </is>
      </c>
      <c r="C12" s="330">
        <f>StartWeight*(1-StartBF)</f>
        <v/>
      </c>
      <c r="D12" s="45" t="inlineStr">
        <is>
          <t>Calculated</t>
        </is>
      </c>
      <c r="E12" s="1" t="n"/>
      <c r="F12" s="331" t="n">
        <v>6</v>
      </c>
      <c r="G12" s="41" t="inlineStr">
        <is>
          <t>Saturday</t>
        </is>
      </c>
      <c r="H12" s="320" t="inlineStr">
        <is>
          <t>Optional cardio / walk / mobility</t>
        </is>
      </c>
      <c r="I12" s="320" t="inlineStr">
        <is>
          <t>Family · fiancée · life</t>
        </is>
      </c>
      <c r="J12" s="1" t="n"/>
      <c r="K12" s="1" t="n"/>
      <c r="L12" s="1" t="n"/>
    </row>
    <row r="13" ht="18" customHeight="1">
      <c r="A13" s="1" t="n"/>
      <c r="B13" s="314" t="inlineStr">
        <is>
          <t>Goal weight if muscle is kept (kg)</t>
        </is>
      </c>
      <c r="C13" s="330">
        <f>LeanMass/(1-GoalBF)</f>
        <v/>
      </c>
      <c r="D13" s="45" t="inlineStr">
        <is>
          <t>Calculated estimate</t>
        </is>
      </c>
      <c r="E13" s="1" t="n"/>
      <c r="F13" s="332" t="n">
        <v>7</v>
      </c>
      <c r="G13" s="333" t="inlineStr">
        <is>
          <t>Sunday</t>
        </is>
      </c>
      <c r="H13" s="320" t="inlineStr">
        <is>
          <t>Recovery · church</t>
        </is>
      </c>
      <c r="I13" s="320" t="inlineStr">
        <is>
          <t>Meal prep · weekly review · plan</t>
        </is>
      </c>
      <c r="J13" s="1" t="n"/>
      <c r="K13" s="1" t="n"/>
      <c r="L13" s="1" t="n"/>
    </row>
    <row r="14" ht="18" customHeight="1">
      <c r="A14" s="1" t="n"/>
      <c r="B14" s="313" t="inlineStr">
        <is>
          <t>SCHEDULE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8" customHeight="1">
      <c r="A15" s="1" t="n"/>
      <c r="B15" s="314" t="inlineStr">
        <is>
          <t>Tracking start date</t>
        </is>
      </c>
      <c r="C15" s="334" t="n">
        <v>46302</v>
      </c>
      <c r="D15" s="45" t="inlineStr">
        <is>
          <t>Days before this are not scored</t>
        </is>
      </c>
      <c r="E15" s="1" t="n"/>
      <c r="F15" s="313" t="inlineStr">
        <is>
          <t>DAILY TIMELINE (weekdays)</t>
        </is>
      </c>
      <c r="J15" s="1" t="n"/>
      <c r="K15" s="1" t="n"/>
      <c r="L15" s="1" t="n"/>
    </row>
    <row r="16" ht="18" customHeight="1">
      <c r="A16" s="1" t="n"/>
      <c r="B16" s="314" t="inlineStr">
        <is>
          <t>Wake time</t>
        </is>
      </c>
      <c r="C16" s="315" t="inlineStr">
        <is>
          <t>06:00</t>
        </is>
      </c>
      <c r="D16" s="45" t="inlineStr"/>
      <c r="E16" s="1" t="n"/>
      <c r="F16" s="324" t="inlineStr">
        <is>
          <t>06:00</t>
        </is>
      </c>
      <c r="H16" s="314" t="inlineStr">
        <is>
          <t>Wake · water · bed · light · 2–5 min quiet/prayer</t>
        </is>
      </c>
      <c r="J16" s="1" t="n"/>
      <c r="K16" s="1" t="n"/>
      <c r="L16" s="1" t="n"/>
    </row>
    <row r="17" ht="18" customHeight="1">
      <c r="A17" s="1" t="n"/>
      <c r="B17" s="314" t="inlineStr">
        <is>
          <t>Training time</t>
        </is>
      </c>
      <c r="C17" s="315" t="inlineStr">
        <is>
          <t>06:30</t>
        </is>
      </c>
      <c r="D17" s="45" t="inlineStr"/>
      <c r="E17" s="1" t="n"/>
      <c r="F17" s="324" t="inlineStr">
        <is>
          <t>06:05</t>
        </is>
      </c>
      <c r="H17" s="314" t="inlineStr">
        <is>
          <t>Morning reset: water, outdoor light, prayer + Scripture</t>
        </is>
      </c>
      <c r="J17" s="1" t="n"/>
      <c r="K17" s="1" t="n"/>
      <c r="L17" s="1" t="n"/>
    </row>
    <row r="18" ht="18" customHeight="1">
      <c r="A18" s="1" t="n"/>
      <c r="B18" s="314" t="inlineStr">
        <is>
          <t>Work hours</t>
        </is>
      </c>
      <c r="C18" s="315" t="inlineStr">
        <is>
          <t>10:00–20:00</t>
        </is>
      </c>
      <c r="D18" s="45" t="inlineStr"/>
      <c r="E18" s="1" t="n"/>
      <c r="F18" s="324" t="inlineStr">
        <is>
          <t>06:15</t>
        </is>
      </c>
      <c r="H18" s="314" t="inlineStr">
        <is>
          <t>Mobility &amp; posture, 10 min</t>
        </is>
      </c>
      <c r="J18" s="1" t="n"/>
      <c r="K18" s="1" t="n"/>
      <c r="L18" s="1" t="n"/>
    </row>
    <row r="19" ht="18" customHeight="1">
      <c r="A19" s="1" t="n"/>
      <c r="B19" s="314" t="inlineStr">
        <is>
          <t>Lights out</t>
        </is>
      </c>
      <c r="C19" s="315" t="inlineStr">
        <is>
          <t>22:00</t>
        </is>
      </c>
      <c r="D19" s="45" t="inlineStr"/>
      <c r="E19" s="1" t="n"/>
      <c r="F19" s="324" t="inlineStr">
        <is>
          <t>06:30</t>
        </is>
      </c>
      <c r="H19" s="314" t="inlineStr">
        <is>
          <t>Training per the ideal week</t>
        </is>
      </c>
      <c r="J19" s="1" t="n"/>
      <c r="K19" s="1" t="n"/>
      <c r="L19" s="1" t="n"/>
    </row>
    <row r="20" ht="18" customHeight="1">
      <c r="A20" s="1" t="n"/>
      <c r="B20" s="314" t="inlineStr">
        <is>
          <t>Work days (1 = Mon … 7 = Sun)</t>
        </is>
      </c>
      <c r="C20" s="315" t="inlineStr">
        <is>
          <t>12345</t>
        </is>
      </c>
      <c r="D20" s="45" t="inlineStr">
        <is>
          <t>Top 3 only counts on these days</t>
        </is>
      </c>
      <c r="E20" s="1" t="n"/>
      <c r="F20" s="324" t="inlineStr">
        <is>
          <t>07:30</t>
        </is>
      </c>
      <c r="H20" s="314" t="inlineStr">
        <is>
          <t>Shower · breakfast (30–40 g protein)</t>
        </is>
      </c>
      <c r="J20" s="1" t="n"/>
      <c r="K20" s="1" t="n"/>
      <c r="L20" s="1" t="n"/>
    </row>
    <row r="21" ht="18" customHeight="1">
      <c r="A21" s="1" t="n"/>
      <c r="B21" s="314" t="inlineStr">
        <is>
          <t>Strength days (1 = Mon … 7 = Sun)</t>
        </is>
      </c>
      <c r="C21" s="315" t="inlineStr">
        <is>
          <t>1245</t>
        </is>
      </c>
      <c r="D21" s="45" t="inlineStr">
        <is>
          <t>Mon, Tue, Thu, Fri</t>
        </is>
      </c>
      <c r="E21" s="1" t="n"/>
      <c r="F21" s="324" t="inlineStr">
        <is>
          <t>09:30</t>
        </is>
      </c>
      <c r="H21" s="314" t="inlineStr">
        <is>
          <t>Top 3 priorities · optional journal</t>
        </is>
      </c>
      <c r="J21" s="1" t="n"/>
      <c r="K21" s="1" t="n"/>
      <c r="L21" s="1" t="n"/>
    </row>
    <row r="22" ht="18" customHeight="1">
      <c r="A22" s="1" t="n"/>
      <c r="B22" s="313" t="inlineStr">
        <is>
          <t>NUTRITION</t>
        </is>
      </c>
      <c r="E22" s="1" t="n"/>
      <c r="F22" s="324" t="inlineStr">
        <is>
          <t>10:00</t>
        </is>
      </c>
      <c r="H22" s="314" t="inlineStr">
        <is>
          <t>Work: 2–3 deep-work blocks, breaks every 45–60 min</t>
        </is>
      </c>
      <c r="J22" s="1" t="n"/>
      <c r="K22" s="1" t="n"/>
      <c r="L22" s="1" t="n"/>
    </row>
    <row r="23" ht="18" customHeight="1">
      <c r="A23" s="1" t="n"/>
      <c r="B23" s="314" t="inlineStr">
        <is>
          <t>Protein target (g)</t>
        </is>
      </c>
      <c r="C23" s="317" t="n">
        <v>150</v>
      </c>
      <c r="D23" s="45" t="inlineStr">
        <is>
          <t>Priority #1 nutrition habit</t>
        </is>
      </c>
      <c r="E23" s="1" t="n"/>
      <c r="F23" s="324" t="inlineStr">
        <is>
          <t>20:00</t>
        </is>
      </c>
      <c r="H23" s="314" t="inlineStr">
        <is>
          <t>Work shutdown → fiancée, son, family</t>
        </is>
      </c>
      <c r="J23" s="1" t="n"/>
      <c r="K23" s="1" t="n"/>
      <c r="L23" s="1" t="n"/>
    </row>
    <row r="24" ht="18" customHeight="1">
      <c r="A24" s="1" t="n"/>
      <c r="B24" s="314" t="inlineStr">
        <is>
          <t>Protein counted as hit (g)</t>
        </is>
      </c>
      <c r="C24" s="317" t="n">
        <v>135</v>
      </c>
      <c r="D24" s="45" t="inlineStr">
        <is>
          <t>90% of target</t>
        </is>
      </c>
      <c r="E24" s="1" t="n"/>
      <c r="F24" s="324" t="inlineStr">
        <is>
          <t>21:00</t>
        </is>
      </c>
      <c r="H24" s="314" t="inlineStr">
        <is>
          <t>Shutdown routine · screens down</t>
        </is>
      </c>
      <c r="J24" s="1" t="n"/>
      <c r="K24" s="1" t="n"/>
      <c r="L24" s="1" t="n"/>
    </row>
    <row r="25" ht="18" customHeight="1">
      <c r="A25" s="1" t="n"/>
      <c r="B25" s="314" t="inlineStr">
        <is>
          <t>Protein alert before dinner (g)</t>
        </is>
      </c>
      <c r="C25" s="317" t="n">
        <v>120</v>
      </c>
      <c r="D25" s="45" t="inlineStr">
        <is>
          <t>Below this → high-protein dinner</t>
        </is>
      </c>
      <c r="E25" s="1" t="n"/>
      <c r="F25" s="324" t="inlineStr">
        <is>
          <t>21:30</t>
        </is>
      </c>
      <c r="H25" s="314" t="inlineStr">
        <is>
          <t>Read / quiet time</t>
        </is>
      </c>
      <c r="J25" s="1" t="n"/>
      <c r="K25" s="1" t="n"/>
      <c r="L25" s="1" t="n"/>
    </row>
    <row r="26" ht="18" customHeight="1">
      <c r="A26" s="1" t="n"/>
      <c r="B26" s="314" t="inlineStr">
        <is>
          <t>Protein on a Minimum Viable Day (g)</t>
        </is>
      </c>
      <c r="C26" s="317" t="n">
        <v>120</v>
      </c>
      <c r="D26" s="45" t="inlineStr">
        <is>
          <t>As close as possible</t>
        </is>
      </c>
      <c r="E26" s="1" t="n"/>
      <c r="F26" s="324" t="inlineStr">
        <is>
          <t>22:00</t>
        </is>
      </c>
      <c r="H26" s="314" t="inlineStr">
        <is>
          <t>Lights out</t>
        </is>
      </c>
      <c r="J26" s="1" t="n"/>
      <c r="K26" s="1" t="n"/>
      <c r="L26" s="1" t="n"/>
    </row>
    <row r="27" ht="18" customHeight="1">
      <c r="A27" s="1" t="n"/>
      <c r="B27" s="314" t="inlineStr">
        <is>
          <t>Calories, low end (kcal)</t>
        </is>
      </c>
      <c r="C27" s="317" t="n">
        <v>1800</v>
      </c>
      <c r="D27" s="45" t="inlineStr">
        <is>
          <t>Start here, adjust on the 2–3 week trend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</row>
    <row r="28" ht="18" customHeight="1">
      <c r="A28" s="1" t="n"/>
      <c r="B28" s="314" t="inlineStr">
        <is>
          <t>Calories, high end (kcal)</t>
        </is>
      </c>
      <c r="C28" s="317" t="n">
        <v>2000</v>
      </c>
      <c r="D28" s="45" t="inlineStr">
        <is>
          <t>Never auto-drop to 1,500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18" customHeight="1">
      <c r="A29" s="1" t="n"/>
      <c r="B29" s="314" t="inlineStr">
        <is>
          <t>Fat (g/day)</t>
        </is>
      </c>
      <c r="C29" s="315" t="inlineStr">
        <is>
          <t>50–65</t>
        </is>
      </c>
      <c r="D29" s="45" t="inlineStr">
        <is>
          <t>Portion awareness, not fear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</row>
    <row r="30" ht="18" customHeight="1">
      <c r="A30" s="1" t="n"/>
      <c r="B30" s="314" t="inlineStr">
        <is>
          <t>Water counted as hit (L)</t>
        </is>
      </c>
      <c r="C30" s="323" t="n">
        <v>2.5</v>
      </c>
      <c r="D30" s="45" t="inlineStr">
        <is>
          <t>Target 2.5–3 L, more in heat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18" customHeight="1">
      <c r="A31" s="1" t="n"/>
      <c r="B31" s="314" t="inlineStr">
        <is>
          <t>Water on a Minimum Viable Day (L)</t>
        </is>
      </c>
      <c r="C31" s="323" t="n">
        <v>2</v>
      </c>
      <c r="D31" s="45" t="inlineStr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18" customHeight="1">
      <c r="A32" s="1" t="n"/>
      <c r="B32" s="313" t="inlineStr">
        <is>
          <t>SLEEP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</row>
    <row r="33" ht="18" customHeight="1">
      <c r="A33" s="1" t="n"/>
      <c r="B33" s="314" t="inlineStr">
        <is>
          <t>Sleep target (h)</t>
        </is>
      </c>
      <c r="C33" s="323" t="n">
        <v>7.5</v>
      </c>
      <c r="D33" s="45" t="inlineStr">
        <is>
          <t>7.5–8.5 h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18" customHeight="1">
      <c r="A34" s="1" t="n"/>
      <c r="B34" s="314" t="inlineStr">
        <is>
          <t>Sleep counted as hit (h)</t>
        </is>
      </c>
      <c r="C34" s="323" t="n">
        <v>7</v>
      </c>
      <c r="D34" s="45" t="inlineStr"/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18" customHeight="1">
      <c r="A35" s="1" t="n"/>
      <c r="B35" s="314" t="inlineStr">
        <is>
          <t>Low-sleep alert (h)</t>
        </is>
      </c>
      <c r="C35" s="323" t="n">
        <v>6</v>
      </c>
      <c r="D35" s="45" t="inlineStr">
        <is>
          <t>Below this → recovery day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18" customHeight="1">
      <c r="A36" s="1" t="n"/>
      <c r="B36" s="313" t="inlineStr">
        <is>
          <t>STEPS (adaptive)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18" customHeight="1">
      <c r="A37" s="1" t="n"/>
      <c r="B37" s="314" t="inlineStr">
        <is>
          <t>Week 1 target</t>
        </is>
      </c>
      <c r="C37" s="335" t="n">
        <v>7000</v>
      </c>
      <c r="D37" s="45" t="inlineStr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18" customHeight="1">
      <c r="A38" s="1" t="n"/>
      <c r="B38" s="314" t="inlineStr">
        <is>
          <t>Week 2 target</t>
        </is>
      </c>
      <c r="C38" s="335" t="n">
        <v>8000</v>
      </c>
      <c r="D38" s="45" t="inlineStr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18" customHeight="1">
      <c r="A39" s="1" t="n"/>
      <c r="B39" s="314" t="inlineStr">
        <is>
          <t>Week 3 onward</t>
        </is>
      </c>
      <c r="C39" s="335" t="n">
        <v>9000</v>
      </c>
      <c r="D39" s="45" t="inlineStr">
        <is>
          <t>Aim for a 9–10k average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18" customHeight="1">
      <c r="A40" s="1" t="n"/>
      <c r="B40" s="314" t="inlineStr">
        <is>
          <t>Evening alert (steps by 18:00)</t>
        </is>
      </c>
      <c r="C40" s="335" t="n">
        <v>5000</v>
      </c>
      <c r="D40" s="45" t="inlineStr">
        <is>
          <t>Below this → 20–30 min walk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18" customHeight="1">
      <c r="A41" s="1" t="n"/>
      <c r="B41" s="313" t="inlineStr">
        <is>
          <t>BODY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</row>
    <row r="42" ht="18" customHeight="1">
      <c r="A42" s="1" t="n"/>
      <c r="B42" s="314" t="inlineStr">
        <is>
          <t>Weekly loss, low end (kg)</t>
        </is>
      </c>
      <c r="C42" s="323" t="n">
        <v>0.4</v>
      </c>
      <c r="D42" s="45" t="inlineStr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18" customHeight="1">
      <c r="A43" s="1" t="n"/>
      <c r="B43" s="314" t="inlineStr">
        <is>
          <t>Weekly loss, high end (kg)</t>
        </is>
      </c>
      <c r="C43" s="323" t="n">
        <v>0.8</v>
      </c>
      <c r="D43" s="45" t="inlineStr">
        <is>
          <t>Not a fixed 1 kg/week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18" customHeight="1">
      <c r="A44" s="1" t="n"/>
      <c r="B44" s="314" t="inlineStr">
        <is>
          <t>Too fast (% bodyweight / week)</t>
        </is>
      </c>
      <c r="C44" s="336" t="n">
        <v>0.01</v>
      </c>
      <c r="D44" s="45" t="inlineStr">
        <is>
          <t>Repeatedly above → eat more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</row>
    <row r="45" ht="18" customHeight="1">
      <c r="A45" s="1" t="n"/>
      <c r="B45" s="313" t="inlineStr">
        <is>
          <t>SCORING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</row>
    <row r="46" ht="18" customHeight="1">
      <c r="A46" s="1" t="n"/>
      <c r="B46" s="314" t="inlineStr">
        <is>
          <t>Green from</t>
        </is>
      </c>
      <c r="C46" s="325" t="n">
        <v>0.85</v>
      </c>
      <c r="D46" s="45" t="inlineStr">
        <is>
          <t>≥ 85%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8" customHeight="1">
      <c r="A47" s="1" t="n"/>
      <c r="B47" s="314" t="inlineStr">
        <is>
          <t>Good from</t>
        </is>
      </c>
      <c r="C47" s="325" t="n">
        <v>0.7</v>
      </c>
      <c r="D47" s="45" t="inlineStr">
        <is>
          <t>70–84%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</row>
    <row r="48" ht="18" customHeight="1">
      <c r="A48" s="1" t="n"/>
      <c r="B48" s="314" t="inlineStr">
        <is>
          <t>Needs attention from</t>
        </is>
      </c>
      <c r="C48" s="325" t="n">
        <v>0.5</v>
      </c>
      <c r="D48" s="45" t="inlineStr">
        <is>
          <t>50–69%, below is Reset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18" customHeight="1">
      <c r="A49" s="1" t="n"/>
      <c r="B49" s="314" t="inlineStr">
        <is>
          <t>Recovery score alert</t>
        </is>
      </c>
      <c r="C49" s="317" t="n">
        <v>60</v>
      </c>
      <c r="D49" s="45" t="inlineStr">
        <is>
          <t>Below this → lighter training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8" customHeight="1">
      <c r="A51" s="1" t="n"/>
      <c r="B51" s="337" t="inlineStr">
        <is>
          <t>Yellow values are yours to edit. White values are calculated.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31">
    <mergeCell ref="B14:D14"/>
    <mergeCell ref="H20:I20"/>
    <mergeCell ref="F16:G16"/>
    <mergeCell ref="F19:G19"/>
    <mergeCell ref="F25:G25"/>
    <mergeCell ref="F21:G21"/>
    <mergeCell ref="H25:I25"/>
    <mergeCell ref="H21:I21"/>
    <mergeCell ref="F24:G24"/>
    <mergeCell ref="F20:G20"/>
    <mergeCell ref="F18:G18"/>
    <mergeCell ref="F26:G26"/>
    <mergeCell ref="F17:G17"/>
    <mergeCell ref="H17:I17"/>
    <mergeCell ref="B36:D36"/>
    <mergeCell ref="B5:D5"/>
    <mergeCell ref="B45:D45"/>
    <mergeCell ref="H16:I16"/>
    <mergeCell ref="B41:D41"/>
    <mergeCell ref="B32:D32"/>
    <mergeCell ref="F23:G23"/>
    <mergeCell ref="F15:I15"/>
    <mergeCell ref="H19:I19"/>
    <mergeCell ref="F22:G22"/>
    <mergeCell ref="H22:I22"/>
    <mergeCell ref="F5:I5"/>
    <mergeCell ref="B22:D22"/>
    <mergeCell ref="H24:I24"/>
    <mergeCell ref="H18:I18"/>
    <mergeCell ref="H23:I23"/>
    <mergeCell ref="H26:I26"/>
  </mergeCell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39425C"/>
    <outlinePr summaryBelow="1" summaryRight="1"/>
    <pageSetUpPr fitToPage="1"/>
  </sheetPr>
  <dimension ref="A1:T109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3" customWidth="1" min="15" max="15"/>
    <col width="11" customWidth="1" min="16" max="16"/>
    <col width="8" customWidth="1" min="17" max="17"/>
    <col width="3" customWidth="1" min="18" max="18"/>
    <col width="11" customWidth="1" min="19" max="19"/>
    <col width="8" customWidth="1" min="20" max="20"/>
  </cols>
  <sheetData>
    <row r="1">
      <c r="A1" s="338" t="inlineStr">
        <is>
          <t>CALC · dashboard engine · don't type here</t>
        </is>
      </c>
    </row>
    <row r="3">
      <c r="A3" s="339" t="inlineStr">
        <is>
          <t>Name</t>
        </is>
      </c>
      <c r="B3" s="339" t="inlineStr">
        <is>
          <t>Value</t>
        </is>
      </c>
      <c r="D3" s="340" t="inlineStr">
        <is>
          <t>date</t>
        </is>
      </c>
      <c r="E3" s="340" t="inlineStr">
        <is>
          <t>score</t>
        </is>
      </c>
      <c r="F3" s="340" t="inlineStr">
        <is>
          <t>r7</t>
        </is>
      </c>
      <c r="G3" s="340" t="inlineStr">
        <is>
          <t>Daily</t>
        </is>
      </c>
      <c r="H3" s="340" t="inlineStr">
        <is>
          <t>7-day avg</t>
        </is>
      </c>
      <c r="I3" s="340" t="inlineStr">
        <is>
          <t>steps</t>
        </is>
      </c>
      <c r="J3" s="340" t="inlineStr">
        <is>
          <t>target</t>
        </is>
      </c>
      <c r="K3" s="340" t="inlineStr">
        <is>
          <t>sleep</t>
        </is>
      </c>
      <c r="L3" s="340" t="inlineStr">
        <is>
          <t>energy</t>
        </is>
      </c>
      <c r="M3" s="340" t="inlineStr">
        <is>
          <t>stress</t>
        </is>
      </c>
      <c r="N3" s="340" t="inlineStr">
        <is>
          <t>mood</t>
        </is>
      </c>
      <c r="P3" s="340" t="inlineStr">
        <is>
          <t>week</t>
        </is>
      </c>
      <c r="Q3" s="340" t="inlineStr">
        <is>
          <t>avg kg</t>
        </is>
      </c>
      <c r="S3" s="340" t="inlineStr">
        <is>
          <t>measured</t>
        </is>
      </c>
      <c r="T3" s="340" t="inlineStr">
        <is>
          <t>waist</t>
        </is>
      </c>
    </row>
    <row r="4">
      <c r="A4" s="341" t="inlineStr">
        <is>
          <t>k_Mode</t>
        </is>
      </c>
      <c r="B4" s="342">
        <f>IFERROR(INDEX(Data!$E$4:$E$375,MATCH(AsOf,Data!$A$4:$A$375,0)),"")</f>
        <v/>
      </c>
      <c r="D4" s="343">
        <f>AsOf-59</f>
        <v/>
      </c>
      <c r="E4" s="344">
        <f>IFERROR(IF(ISNUMBER(IFERROR(INDEX(Data!$BF$4:$BF$375,MATCH($D4,Data!$A$4:$A$375,0)),"")),IFERROR(INDEX(Data!$BF$4:$BF$375,MATCH($D4,Data!$A$4:$A$375,0)),""),NA()),NA())</f>
        <v/>
      </c>
      <c r="F4" s="344">
        <f>IFERROR(IF(ISNUMBER(IFERROR(INDEX(Data!$BG$4:$BG$375,MATCH($D4,Data!$A$4:$A$375,0)),"")),IFERROR(INDEX(Data!$BG$4:$BG$375,MATCH($D4,Data!$A$4:$A$375,0)),""),NA()),NA())</f>
        <v/>
      </c>
      <c r="G4" s="345">
        <f>IFERROR(IF(ISNUMBER(IFERROR(INDEX(Data!$AF$4:$AF$375,MATCH($D4,Data!$A$4:$A$375,0)),"")),IFERROR(INDEX(Data!$AF$4:$AF$375,MATCH($D4,Data!$A$4:$A$375,0)),""),NA()),NA())</f>
        <v/>
      </c>
      <c r="H4" s="345">
        <f>IFERROR(IF(ISNUMBER(IFERROR(INDEX(Data!$BI$4:$BI$375,MATCH($D4,Data!$A$4:$A$375,0)),"")),IFERROR(INDEX(Data!$BI$4:$BI$375,MATCH($D4,Data!$A$4:$A$375,0)),""),NA()),NA())</f>
        <v/>
      </c>
      <c r="I4" s="345">
        <f>IFERROR(IF(ISNUMBER(IFERROR(INDEX(Data!$AG$4:$AG$375,MATCH($D4,Data!$A$4:$A$375,0)),"")),IFERROR(INDEX(Data!$AG$4:$AG$375,MATCH($D4,Data!$A$4:$A$375,0)),""),NA()),NA())</f>
        <v/>
      </c>
      <c r="J4" s="345">
        <f>IFERROR(IF(ISNUMBER(IFERROR(INDEX(Data!$AR$4:$AR$375,MATCH($D4,Data!$A$4:$A$375,0)),"")),IFERROR(INDEX(Data!$AR$4:$AR$375,MATCH($D4,Data!$A$4:$A$375,0)),""),NA()),NA())</f>
        <v/>
      </c>
      <c r="K4" s="345">
        <f>IFERROR(IF(ISNUMBER(IFERROR(INDEX(Data!$AK$4:$AK$375,MATCH($D4,Data!$A$4:$A$375,0)),"")),IFERROR(INDEX(Data!$AK$4:$AK$375,MATCH($D4,Data!$A$4:$A$375,0)),""),NA()),NA())</f>
        <v/>
      </c>
      <c r="L4" s="345">
        <f>IFERROR(IF(ISNUMBER(IFERROR(INDEX(Data!$AL$4:$AL$375,MATCH($D4,Data!$A$4:$A$375,0)),"")),IFERROR(INDEX(Data!$AL$4:$AL$375,MATCH($D4,Data!$A$4:$A$375,0)),""),NA()),NA())</f>
        <v/>
      </c>
      <c r="M4" s="345">
        <f>IFERROR(IF(ISNUMBER(IFERROR(INDEX(Data!$AM$4:$AM$375,MATCH($D4,Data!$A$4:$A$375,0)),"")),IFERROR(INDEX(Data!$AM$4:$AM$375,MATCH($D4,Data!$A$4:$A$375,0)),""),NA()),NA())</f>
        <v/>
      </c>
      <c r="N4" s="345">
        <f>IFERROR(IF(ISNUMBER(IFERROR(INDEX(Data!$AN$4:$AN$375,MATCH($D4,Data!$A$4:$A$375,0)),"")),IFERROR(INDEX(Data!$AN$4:$AN$375,MATCH($D4,Data!$A$4:$A$375,0)),""),NA()),NA())</f>
        <v/>
      </c>
      <c r="P4" s="346">
        <f>DATE(2026,9,28)+0</f>
        <v/>
      </c>
      <c r="Q4" s="347">
        <f>IFERROR(AVERAGEIFS(Data!$AF$4:$AF$375,Data!$A$4:$A$375,"&gt;="&amp;P4,Data!$A$4:$A$375,"&lt;="&amp;(P4+6),Data!$AF$4:$AF$375,"&gt;0"),NA())</f>
        <v/>
      </c>
      <c r="S4" s="346">
        <f>Body!B17</f>
        <v/>
      </c>
      <c r="T4">
        <f>IF(ISNUMBER(Body!D17),Body!D17,NA())</f>
        <v/>
      </c>
    </row>
    <row r="5">
      <c r="A5" s="341" t="inlineStr">
        <is>
          <t>k_Wd</t>
        </is>
      </c>
      <c r="B5" s="348">
        <f>WEEKDAY(AsOf,2)</f>
        <v/>
      </c>
      <c r="D5" s="343">
        <f>AsOf-58</f>
        <v/>
      </c>
      <c r="E5" s="344">
        <f>IFERROR(IF(ISNUMBER(IFERROR(INDEX(Data!$BF$4:$BF$375,MATCH($D5,Data!$A$4:$A$375,0)),"")),IFERROR(INDEX(Data!$BF$4:$BF$375,MATCH($D5,Data!$A$4:$A$375,0)),""),NA()),NA())</f>
        <v/>
      </c>
      <c r="F5" s="344">
        <f>IFERROR(IF(ISNUMBER(IFERROR(INDEX(Data!$BG$4:$BG$375,MATCH($D5,Data!$A$4:$A$375,0)),"")),IFERROR(INDEX(Data!$BG$4:$BG$375,MATCH($D5,Data!$A$4:$A$375,0)),""),NA()),NA())</f>
        <v/>
      </c>
      <c r="G5" s="345">
        <f>IFERROR(IF(ISNUMBER(IFERROR(INDEX(Data!$AF$4:$AF$375,MATCH($D5,Data!$A$4:$A$375,0)),"")),IFERROR(INDEX(Data!$AF$4:$AF$375,MATCH($D5,Data!$A$4:$A$375,0)),""),NA()),NA())</f>
        <v/>
      </c>
      <c r="H5" s="345">
        <f>IFERROR(IF(ISNUMBER(IFERROR(INDEX(Data!$BI$4:$BI$375,MATCH($D5,Data!$A$4:$A$375,0)),"")),IFERROR(INDEX(Data!$BI$4:$BI$375,MATCH($D5,Data!$A$4:$A$375,0)),""),NA()),NA())</f>
        <v/>
      </c>
      <c r="I5" s="345">
        <f>IFERROR(IF(ISNUMBER(IFERROR(INDEX(Data!$AG$4:$AG$375,MATCH($D5,Data!$A$4:$A$375,0)),"")),IFERROR(INDEX(Data!$AG$4:$AG$375,MATCH($D5,Data!$A$4:$A$375,0)),""),NA()),NA())</f>
        <v/>
      </c>
      <c r="J5" s="345">
        <f>IFERROR(IF(ISNUMBER(IFERROR(INDEX(Data!$AR$4:$AR$375,MATCH($D5,Data!$A$4:$A$375,0)),"")),IFERROR(INDEX(Data!$AR$4:$AR$375,MATCH($D5,Data!$A$4:$A$375,0)),""),NA()),NA())</f>
        <v/>
      </c>
      <c r="K5" s="345">
        <f>IFERROR(IF(ISNUMBER(IFERROR(INDEX(Data!$AK$4:$AK$375,MATCH($D5,Data!$A$4:$A$375,0)),"")),IFERROR(INDEX(Data!$AK$4:$AK$375,MATCH($D5,Data!$A$4:$A$375,0)),""),NA()),NA())</f>
        <v/>
      </c>
      <c r="L5" s="345">
        <f>IFERROR(IF(ISNUMBER(IFERROR(INDEX(Data!$AL$4:$AL$375,MATCH($D5,Data!$A$4:$A$375,0)),"")),IFERROR(INDEX(Data!$AL$4:$AL$375,MATCH($D5,Data!$A$4:$A$375,0)),""),NA()),NA())</f>
        <v/>
      </c>
      <c r="M5" s="345">
        <f>IFERROR(IF(ISNUMBER(IFERROR(INDEX(Data!$AM$4:$AM$375,MATCH($D5,Data!$A$4:$A$375,0)),"")),IFERROR(INDEX(Data!$AM$4:$AM$375,MATCH($D5,Data!$A$4:$A$375,0)),""),NA()),NA())</f>
        <v/>
      </c>
      <c r="N5" s="345">
        <f>IFERROR(IF(ISNUMBER(IFERROR(INDEX(Data!$AN$4:$AN$375,MATCH($D5,Data!$A$4:$A$375,0)),"")),IFERROR(INDEX(Data!$AN$4:$AN$375,MATCH($D5,Data!$A$4:$A$375,0)),""),NA()),NA())</f>
        <v/>
      </c>
      <c r="P5" s="346">
        <f>DATE(2026,9,28)+7</f>
        <v/>
      </c>
      <c r="Q5" s="347">
        <f>IFERROR(AVERAGEIFS(Data!$AF$4:$AF$375,Data!$A$4:$A$375,"&gt;="&amp;P5,Data!$A$4:$A$375,"&lt;="&amp;(P5+6),Data!$AF$4:$AF$375,"&gt;0"),NA())</f>
        <v/>
      </c>
      <c r="S5" s="346">
        <f>Body!B18</f>
        <v/>
      </c>
      <c r="T5">
        <f>IF(ISNUMBER(Body!D18),Body!D18,NA())</f>
        <v/>
      </c>
    </row>
    <row r="6">
      <c r="A6" s="341" t="inlineStr">
        <is>
          <t>k_PlanT</t>
        </is>
      </c>
      <c r="B6" s="342">
        <f>INDEX(PlanTraining,k_Wd)</f>
        <v/>
      </c>
      <c r="D6" s="343">
        <f>AsOf-57</f>
        <v/>
      </c>
      <c r="E6" s="344">
        <f>IFERROR(IF(ISNUMBER(IFERROR(INDEX(Data!$BF$4:$BF$375,MATCH($D6,Data!$A$4:$A$375,0)),"")),IFERROR(INDEX(Data!$BF$4:$BF$375,MATCH($D6,Data!$A$4:$A$375,0)),""),NA()),NA())</f>
        <v/>
      </c>
      <c r="F6" s="344">
        <f>IFERROR(IF(ISNUMBER(IFERROR(INDEX(Data!$BG$4:$BG$375,MATCH($D6,Data!$A$4:$A$375,0)),"")),IFERROR(INDEX(Data!$BG$4:$BG$375,MATCH($D6,Data!$A$4:$A$375,0)),""),NA()),NA())</f>
        <v/>
      </c>
      <c r="G6" s="345">
        <f>IFERROR(IF(ISNUMBER(IFERROR(INDEX(Data!$AF$4:$AF$375,MATCH($D6,Data!$A$4:$A$375,0)),"")),IFERROR(INDEX(Data!$AF$4:$AF$375,MATCH($D6,Data!$A$4:$A$375,0)),""),NA()),NA())</f>
        <v/>
      </c>
      <c r="H6" s="345">
        <f>IFERROR(IF(ISNUMBER(IFERROR(INDEX(Data!$BI$4:$BI$375,MATCH($D6,Data!$A$4:$A$375,0)),"")),IFERROR(INDEX(Data!$BI$4:$BI$375,MATCH($D6,Data!$A$4:$A$375,0)),""),NA()),NA())</f>
        <v/>
      </c>
      <c r="I6" s="345">
        <f>IFERROR(IF(ISNUMBER(IFERROR(INDEX(Data!$AG$4:$AG$375,MATCH($D6,Data!$A$4:$A$375,0)),"")),IFERROR(INDEX(Data!$AG$4:$AG$375,MATCH($D6,Data!$A$4:$A$375,0)),""),NA()),NA())</f>
        <v/>
      </c>
      <c r="J6" s="345">
        <f>IFERROR(IF(ISNUMBER(IFERROR(INDEX(Data!$AR$4:$AR$375,MATCH($D6,Data!$A$4:$A$375,0)),"")),IFERROR(INDEX(Data!$AR$4:$AR$375,MATCH($D6,Data!$A$4:$A$375,0)),""),NA()),NA())</f>
        <v/>
      </c>
      <c r="K6" s="345">
        <f>IFERROR(IF(ISNUMBER(IFERROR(INDEX(Data!$AK$4:$AK$375,MATCH($D6,Data!$A$4:$A$375,0)),"")),IFERROR(INDEX(Data!$AK$4:$AK$375,MATCH($D6,Data!$A$4:$A$375,0)),""),NA()),NA())</f>
        <v/>
      </c>
      <c r="L6" s="345">
        <f>IFERROR(IF(ISNUMBER(IFERROR(INDEX(Data!$AL$4:$AL$375,MATCH($D6,Data!$A$4:$A$375,0)),"")),IFERROR(INDEX(Data!$AL$4:$AL$375,MATCH($D6,Data!$A$4:$A$375,0)),""),NA()),NA())</f>
        <v/>
      </c>
      <c r="M6" s="345">
        <f>IFERROR(IF(ISNUMBER(IFERROR(INDEX(Data!$AM$4:$AM$375,MATCH($D6,Data!$A$4:$A$375,0)),"")),IFERROR(INDEX(Data!$AM$4:$AM$375,MATCH($D6,Data!$A$4:$A$375,0)),""),NA()),NA())</f>
        <v/>
      </c>
      <c r="N6" s="345">
        <f>IFERROR(IF(ISNUMBER(IFERROR(INDEX(Data!$AN$4:$AN$375,MATCH($D6,Data!$A$4:$A$375,0)),"")),IFERROR(INDEX(Data!$AN$4:$AN$375,MATCH($D6,Data!$A$4:$A$375,0)),""),NA()),NA())</f>
        <v/>
      </c>
      <c r="P6" s="346">
        <f>DATE(2026,9,28)+14</f>
        <v/>
      </c>
      <c r="Q6" s="347">
        <f>IFERROR(AVERAGEIFS(Data!$AF$4:$AF$375,Data!$A$4:$A$375,"&gt;="&amp;P6,Data!$A$4:$A$375,"&lt;="&amp;(P6+6),Data!$AF$4:$AF$375,"&gt;0"),NA())</f>
        <v/>
      </c>
      <c r="S6" s="346">
        <f>Body!B19</f>
        <v/>
      </c>
      <c r="T6">
        <f>IF(ISNUMBER(Body!D19),Body!D19,NA())</f>
        <v/>
      </c>
    </row>
    <row r="7">
      <c r="A7" s="341" t="inlineStr">
        <is>
          <t>k_PlanR</t>
        </is>
      </c>
      <c r="B7" s="342">
        <f>INDEX(PlanRest,k_Wd)</f>
        <v/>
      </c>
      <c r="D7" s="343">
        <f>AsOf-56</f>
        <v/>
      </c>
      <c r="E7" s="344">
        <f>IFERROR(IF(ISNUMBER(IFERROR(INDEX(Data!$BF$4:$BF$375,MATCH($D7,Data!$A$4:$A$375,0)),"")),IFERROR(INDEX(Data!$BF$4:$BF$375,MATCH($D7,Data!$A$4:$A$375,0)),""),NA()),NA())</f>
        <v/>
      </c>
      <c r="F7" s="344">
        <f>IFERROR(IF(ISNUMBER(IFERROR(INDEX(Data!$BG$4:$BG$375,MATCH($D7,Data!$A$4:$A$375,0)),"")),IFERROR(INDEX(Data!$BG$4:$BG$375,MATCH($D7,Data!$A$4:$A$375,0)),""),NA()),NA())</f>
        <v/>
      </c>
      <c r="G7" s="345">
        <f>IFERROR(IF(ISNUMBER(IFERROR(INDEX(Data!$AF$4:$AF$375,MATCH($D7,Data!$A$4:$A$375,0)),"")),IFERROR(INDEX(Data!$AF$4:$AF$375,MATCH($D7,Data!$A$4:$A$375,0)),""),NA()),NA())</f>
        <v/>
      </c>
      <c r="H7" s="345">
        <f>IFERROR(IF(ISNUMBER(IFERROR(INDEX(Data!$BI$4:$BI$375,MATCH($D7,Data!$A$4:$A$375,0)),"")),IFERROR(INDEX(Data!$BI$4:$BI$375,MATCH($D7,Data!$A$4:$A$375,0)),""),NA()),NA())</f>
        <v/>
      </c>
      <c r="I7" s="345">
        <f>IFERROR(IF(ISNUMBER(IFERROR(INDEX(Data!$AG$4:$AG$375,MATCH($D7,Data!$A$4:$A$375,0)),"")),IFERROR(INDEX(Data!$AG$4:$AG$375,MATCH($D7,Data!$A$4:$A$375,0)),""),NA()),NA())</f>
        <v/>
      </c>
      <c r="J7" s="345">
        <f>IFERROR(IF(ISNUMBER(IFERROR(INDEX(Data!$AR$4:$AR$375,MATCH($D7,Data!$A$4:$A$375,0)),"")),IFERROR(INDEX(Data!$AR$4:$AR$375,MATCH($D7,Data!$A$4:$A$375,0)),""),NA()),NA())</f>
        <v/>
      </c>
      <c r="K7" s="345">
        <f>IFERROR(IF(ISNUMBER(IFERROR(INDEX(Data!$AK$4:$AK$375,MATCH($D7,Data!$A$4:$A$375,0)),"")),IFERROR(INDEX(Data!$AK$4:$AK$375,MATCH($D7,Data!$A$4:$A$375,0)),""),NA()),NA())</f>
        <v/>
      </c>
      <c r="L7" s="345">
        <f>IFERROR(IF(ISNUMBER(IFERROR(INDEX(Data!$AL$4:$AL$375,MATCH($D7,Data!$A$4:$A$375,0)),"")),IFERROR(INDEX(Data!$AL$4:$AL$375,MATCH($D7,Data!$A$4:$A$375,0)),""),NA()),NA())</f>
        <v/>
      </c>
      <c r="M7" s="345">
        <f>IFERROR(IF(ISNUMBER(IFERROR(INDEX(Data!$AM$4:$AM$375,MATCH($D7,Data!$A$4:$A$375,0)),"")),IFERROR(INDEX(Data!$AM$4:$AM$375,MATCH($D7,Data!$A$4:$A$375,0)),""),NA()),NA())</f>
        <v/>
      </c>
      <c r="N7" s="345">
        <f>IFERROR(IF(ISNUMBER(IFERROR(INDEX(Data!$AN$4:$AN$375,MATCH($D7,Data!$A$4:$A$375,0)),"")),IFERROR(INDEX(Data!$AN$4:$AN$375,MATCH($D7,Data!$A$4:$A$375,0)),""),NA()),NA())</f>
        <v/>
      </c>
      <c r="P7" s="346">
        <f>DATE(2026,9,28)+21</f>
        <v/>
      </c>
      <c r="Q7" s="347">
        <f>IFERROR(AVERAGEIFS(Data!$AF$4:$AF$375,Data!$A$4:$A$375,"&gt;="&amp;P7,Data!$A$4:$A$375,"&lt;="&amp;(P7+6),Data!$AF$4:$AF$375,"&gt;0"),NA())</f>
        <v/>
      </c>
      <c r="S7" s="346">
        <f>Body!B20</f>
        <v/>
      </c>
      <c r="T7">
        <f>IF(ISNUMBER(Body!D20),Body!D20,NA())</f>
        <v/>
      </c>
    </row>
    <row r="8">
      <c r="A8" s="341" t="inlineStr">
        <is>
          <t>k_T_wake</t>
        </is>
      </c>
      <c r="B8" s="349">
        <f>IFERROR(INDEX(Data!$F$4:$F$375,MATCH(AsOf,Data!$A$4:$A$375,0)),"")</f>
        <v/>
      </c>
      <c r="D8" s="343">
        <f>AsOf-55</f>
        <v/>
      </c>
      <c r="E8" s="344">
        <f>IFERROR(IF(ISNUMBER(IFERROR(INDEX(Data!$BF$4:$BF$375,MATCH($D8,Data!$A$4:$A$375,0)),"")),IFERROR(INDEX(Data!$BF$4:$BF$375,MATCH($D8,Data!$A$4:$A$375,0)),""),NA()),NA())</f>
        <v/>
      </c>
      <c r="F8" s="344">
        <f>IFERROR(IF(ISNUMBER(IFERROR(INDEX(Data!$BG$4:$BG$375,MATCH($D8,Data!$A$4:$A$375,0)),"")),IFERROR(INDEX(Data!$BG$4:$BG$375,MATCH($D8,Data!$A$4:$A$375,0)),""),NA()),NA())</f>
        <v/>
      </c>
      <c r="G8" s="345">
        <f>IFERROR(IF(ISNUMBER(IFERROR(INDEX(Data!$AF$4:$AF$375,MATCH($D8,Data!$A$4:$A$375,0)),"")),IFERROR(INDEX(Data!$AF$4:$AF$375,MATCH($D8,Data!$A$4:$A$375,0)),""),NA()),NA())</f>
        <v/>
      </c>
      <c r="H8" s="345">
        <f>IFERROR(IF(ISNUMBER(IFERROR(INDEX(Data!$BI$4:$BI$375,MATCH($D8,Data!$A$4:$A$375,0)),"")),IFERROR(INDEX(Data!$BI$4:$BI$375,MATCH($D8,Data!$A$4:$A$375,0)),""),NA()),NA())</f>
        <v/>
      </c>
      <c r="I8" s="345">
        <f>IFERROR(IF(ISNUMBER(IFERROR(INDEX(Data!$AG$4:$AG$375,MATCH($D8,Data!$A$4:$A$375,0)),"")),IFERROR(INDEX(Data!$AG$4:$AG$375,MATCH($D8,Data!$A$4:$A$375,0)),""),NA()),NA())</f>
        <v/>
      </c>
      <c r="J8" s="345">
        <f>IFERROR(IF(ISNUMBER(IFERROR(INDEX(Data!$AR$4:$AR$375,MATCH($D8,Data!$A$4:$A$375,0)),"")),IFERROR(INDEX(Data!$AR$4:$AR$375,MATCH($D8,Data!$A$4:$A$375,0)),""),NA()),NA())</f>
        <v/>
      </c>
      <c r="K8" s="345">
        <f>IFERROR(IF(ISNUMBER(IFERROR(INDEX(Data!$AK$4:$AK$375,MATCH($D8,Data!$A$4:$A$375,0)),"")),IFERROR(INDEX(Data!$AK$4:$AK$375,MATCH($D8,Data!$A$4:$A$375,0)),""),NA()),NA())</f>
        <v/>
      </c>
      <c r="L8" s="345">
        <f>IFERROR(IF(ISNUMBER(IFERROR(INDEX(Data!$AL$4:$AL$375,MATCH($D8,Data!$A$4:$A$375,0)),"")),IFERROR(INDEX(Data!$AL$4:$AL$375,MATCH($D8,Data!$A$4:$A$375,0)),""),NA()),NA())</f>
        <v/>
      </c>
      <c r="M8" s="345">
        <f>IFERROR(IF(ISNUMBER(IFERROR(INDEX(Data!$AM$4:$AM$375,MATCH($D8,Data!$A$4:$A$375,0)),"")),IFERROR(INDEX(Data!$AM$4:$AM$375,MATCH($D8,Data!$A$4:$A$375,0)),""),NA()),NA())</f>
        <v/>
      </c>
      <c r="N8" s="345">
        <f>IFERROR(IF(ISNUMBER(IFERROR(INDEX(Data!$AN$4:$AN$375,MATCH($D8,Data!$A$4:$A$375,0)),"")),IFERROR(INDEX(Data!$AN$4:$AN$375,MATCH($D8,Data!$A$4:$A$375,0)),""),NA()),NA())</f>
        <v/>
      </c>
      <c r="P8" s="346">
        <f>DATE(2026,9,28)+28</f>
        <v/>
      </c>
      <c r="Q8" s="347">
        <f>IFERROR(AVERAGEIFS(Data!$AF$4:$AF$375,Data!$A$4:$A$375,"&gt;="&amp;P8,Data!$A$4:$A$375,"&lt;="&amp;(P8+6),Data!$AF$4:$AF$375,"&gt;0"),NA())</f>
        <v/>
      </c>
      <c r="S8" s="346">
        <f>Body!B21</f>
        <v/>
      </c>
      <c r="T8">
        <f>IF(ISNUMBER(Body!D21),Body!D21,NA())</f>
        <v/>
      </c>
    </row>
    <row r="9">
      <c r="A9" s="341" t="inlineStr">
        <is>
          <t>k_T_pray</t>
        </is>
      </c>
      <c r="B9" s="349">
        <f>IFERROR(INDEX(Data!$G$4:$G$375,MATCH(AsOf,Data!$A$4:$A$375,0)),"")</f>
        <v/>
      </c>
      <c r="D9" s="343">
        <f>AsOf-54</f>
        <v/>
      </c>
      <c r="E9" s="344">
        <f>IFERROR(IF(ISNUMBER(IFERROR(INDEX(Data!$BF$4:$BF$375,MATCH($D9,Data!$A$4:$A$375,0)),"")),IFERROR(INDEX(Data!$BF$4:$BF$375,MATCH($D9,Data!$A$4:$A$375,0)),""),NA()),NA())</f>
        <v/>
      </c>
      <c r="F9" s="344">
        <f>IFERROR(IF(ISNUMBER(IFERROR(INDEX(Data!$BG$4:$BG$375,MATCH($D9,Data!$A$4:$A$375,0)),"")),IFERROR(INDEX(Data!$BG$4:$BG$375,MATCH($D9,Data!$A$4:$A$375,0)),""),NA()),NA())</f>
        <v/>
      </c>
      <c r="G9" s="345">
        <f>IFERROR(IF(ISNUMBER(IFERROR(INDEX(Data!$AF$4:$AF$375,MATCH($D9,Data!$A$4:$A$375,0)),"")),IFERROR(INDEX(Data!$AF$4:$AF$375,MATCH($D9,Data!$A$4:$A$375,0)),""),NA()),NA())</f>
        <v/>
      </c>
      <c r="H9" s="345">
        <f>IFERROR(IF(ISNUMBER(IFERROR(INDEX(Data!$BI$4:$BI$375,MATCH($D9,Data!$A$4:$A$375,0)),"")),IFERROR(INDEX(Data!$BI$4:$BI$375,MATCH($D9,Data!$A$4:$A$375,0)),""),NA()),NA())</f>
        <v/>
      </c>
      <c r="I9" s="345">
        <f>IFERROR(IF(ISNUMBER(IFERROR(INDEX(Data!$AG$4:$AG$375,MATCH($D9,Data!$A$4:$A$375,0)),"")),IFERROR(INDEX(Data!$AG$4:$AG$375,MATCH($D9,Data!$A$4:$A$375,0)),""),NA()),NA())</f>
        <v/>
      </c>
      <c r="J9" s="345">
        <f>IFERROR(IF(ISNUMBER(IFERROR(INDEX(Data!$AR$4:$AR$375,MATCH($D9,Data!$A$4:$A$375,0)),"")),IFERROR(INDEX(Data!$AR$4:$AR$375,MATCH($D9,Data!$A$4:$A$375,0)),""),NA()),NA())</f>
        <v/>
      </c>
      <c r="K9" s="345">
        <f>IFERROR(IF(ISNUMBER(IFERROR(INDEX(Data!$AK$4:$AK$375,MATCH($D9,Data!$A$4:$A$375,0)),"")),IFERROR(INDEX(Data!$AK$4:$AK$375,MATCH($D9,Data!$A$4:$A$375,0)),""),NA()),NA())</f>
        <v/>
      </c>
      <c r="L9" s="345">
        <f>IFERROR(IF(ISNUMBER(IFERROR(INDEX(Data!$AL$4:$AL$375,MATCH($D9,Data!$A$4:$A$375,0)),"")),IFERROR(INDEX(Data!$AL$4:$AL$375,MATCH($D9,Data!$A$4:$A$375,0)),""),NA()),NA())</f>
        <v/>
      </c>
      <c r="M9" s="345">
        <f>IFERROR(IF(ISNUMBER(IFERROR(INDEX(Data!$AM$4:$AM$375,MATCH($D9,Data!$A$4:$A$375,0)),"")),IFERROR(INDEX(Data!$AM$4:$AM$375,MATCH($D9,Data!$A$4:$A$375,0)),""),NA()),NA())</f>
        <v/>
      </c>
      <c r="N9" s="345">
        <f>IFERROR(IF(ISNUMBER(IFERROR(INDEX(Data!$AN$4:$AN$375,MATCH($D9,Data!$A$4:$A$375,0)),"")),IFERROR(INDEX(Data!$AN$4:$AN$375,MATCH($D9,Data!$A$4:$A$375,0)),""),NA()),NA())</f>
        <v/>
      </c>
      <c r="P9" s="346">
        <f>DATE(2026,9,28)+35</f>
        <v/>
      </c>
      <c r="Q9" s="347">
        <f>IFERROR(AVERAGEIFS(Data!$AF$4:$AF$375,Data!$A$4:$A$375,"&gt;="&amp;P9,Data!$A$4:$A$375,"&lt;="&amp;(P9+6),Data!$AF$4:$AF$375,"&gt;0"),NA())</f>
        <v/>
      </c>
      <c r="S9" s="346">
        <f>Body!B22</f>
        <v/>
      </c>
      <c r="T9">
        <f>IF(ISNUMBER(Body!D22),Body!D22,NA())</f>
        <v/>
      </c>
    </row>
    <row r="10">
      <c r="A10" s="341" t="inlineStr">
        <is>
          <t>k_T_mob</t>
        </is>
      </c>
      <c r="B10" s="349">
        <f>IFERROR(INDEX(Data!$H$4:$H$375,MATCH(AsOf,Data!$A$4:$A$375,0)),"")</f>
        <v/>
      </c>
      <c r="D10" s="343">
        <f>AsOf-53</f>
        <v/>
      </c>
      <c r="E10" s="344">
        <f>IFERROR(IF(ISNUMBER(IFERROR(INDEX(Data!$BF$4:$BF$375,MATCH($D10,Data!$A$4:$A$375,0)),"")),IFERROR(INDEX(Data!$BF$4:$BF$375,MATCH($D10,Data!$A$4:$A$375,0)),""),NA()),NA())</f>
        <v/>
      </c>
      <c r="F10" s="344">
        <f>IFERROR(IF(ISNUMBER(IFERROR(INDEX(Data!$BG$4:$BG$375,MATCH($D10,Data!$A$4:$A$375,0)),"")),IFERROR(INDEX(Data!$BG$4:$BG$375,MATCH($D10,Data!$A$4:$A$375,0)),""),NA()),NA())</f>
        <v/>
      </c>
      <c r="G10" s="345">
        <f>IFERROR(IF(ISNUMBER(IFERROR(INDEX(Data!$AF$4:$AF$375,MATCH($D10,Data!$A$4:$A$375,0)),"")),IFERROR(INDEX(Data!$AF$4:$AF$375,MATCH($D10,Data!$A$4:$A$375,0)),""),NA()),NA())</f>
        <v/>
      </c>
      <c r="H10" s="345">
        <f>IFERROR(IF(ISNUMBER(IFERROR(INDEX(Data!$BI$4:$BI$375,MATCH($D10,Data!$A$4:$A$375,0)),"")),IFERROR(INDEX(Data!$BI$4:$BI$375,MATCH($D10,Data!$A$4:$A$375,0)),""),NA()),NA())</f>
        <v/>
      </c>
      <c r="I10" s="345">
        <f>IFERROR(IF(ISNUMBER(IFERROR(INDEX(Data!$AG$4:$AG$375,MATCH($D10,Data!$A$4:$A$375,0)),"")),IFERROR(INDEX(Data!$AG$4:$AG$375,MATCH($D10,Data!$A$4:$A$375,0)),""),NA()),NA())</f>
        <v/>
      </c>
      <c r="J10" s="345">
        <f>IFERROR(IF(ISNUMBER(IFERROR(INDEX(Data!$AR$4:$AR$375,MATCH($D10,Data!$A$4:$A$375,0)),"")),IFERROR(INDEX(Data!$AR$4:$AR$375,MATCH($D10,Data!$A$4:$A$375,0)),""),NA()),NA())</f>
        <v/>
      </c>
      <c r="K10" s="345">
        <f>IFERROR(IF(ISNUMBER(IFERROR(INDEX(Data!$AK$4:$AK$375,MATCH($D10,Data!$A$4:$A$375,0)),"")),IFERROR(INDEX(Data!$AK$4:$AK$375,MATCH($D10,Data!$A$4:$A$375,0)),""),NA()),NA())</f>
        <v/>
      </c>
      <c r="L10" s="345">
        <f>IFERROR(IF(ISNUMBER(IFERROR(INDEX(Data!$AL$4:$AL$375,MATCH($D10,Data!$A$4:$A$375,0)),"")),IFERROR(INDEX(Data!$AL$4:$AL$375,MATCH($D10,Data!$A$4:$A$375,0)),""),NA()),NA())</f>
        <v/>
      </c>
      <c r="M10" s="345">
        <f>IFERROR(IF(ISNUMBER(IFERROR(INDEX(Data!$AM$4:$AM$375,MATCH($D10,Data!$A$4:$A$375,0)),"")),IFERROR(INDEX(Data!$AM$4:$AM$375,MATCH($D10,Data!$A$4:$A$375,0)),""),NA()),NA())</f>
        <v/>
      </c>
      <c r="N10" s="345">
        <f>IFERROR(IF(ISNUMBER(IFERROR(INDEX(Data!$AN$4:$AN$375,MATCH($D10,Data!$A$4:$A$375,0)),"")),IFERROR(INDEX(Data!$AN$4:$AN$375,MATCH($D10,Data!$A$4:$A$375,0)),""),NA()),NA())</f>
        <v/>
      </c>
      <c r="P10" s="346">
        <f>DATE(2026,9,28)+42</f>
        <v/>
      </c>
      <c r="Q10" s="347">
        <f>IFERROR(AVERAGEIFS(Data!$AF$4:$AF$375,Data!$A$4:$A$375,"&gt;="&amp;P10,Data!$A$4:$A$375,"&lt;="&amp;(P10+6),Data!$AF$4:$AF$375,"&gt;0"),NA())</f>
        <v/>
      </c>
      <c r="S10" s="346">
        <f>Body!B23</f>
        <v/>
      </c>
      <c r="T10">
        <f>IF(ISNUMBER(Body!D23),Body!D23,NA())</f>
        <v/>
      </c>
    </row>
    <row r="11">
      <c r="A11" s="341" t="inlineStr">
        <is>
          <t>k_T_move</t>
        </is>
      </c>
      <c r="B11" s="349">
        <f>IFERROR(INDEX(Data!$I$4:$I$375,MATCH(AsOf,Data!$A$4:$A$375,0)),"")</f>
        <v/>
      </c>
      <c r="D11" s="343">
        <f>AsOf-52</f>
        <v/>
      </c>
      <c r="E11" s="344">
        <f>IFERROR(IF(ISNUMBER(IFERROR(INDEX(Data!$BF$4:$BF$375,MATCH($D11,Data!$A$4:$A$375,0)),"")),IFERROR(INDEX(Data!$BF$4:$BF$375,MATCH($D11,Data!$A$4:$A$375,0)),""),NA()),NA())</f>
        <v/>
      </c>
      <c r="F11" s="344">
        <f>IFERROR(IF(ISNUMBER(IFERROR(INDEX(Data!$BG$4:$BG$375,MATCH($D11,Data!$A$4:$A$375,0)),"")),IFERROR(INDEX(Data!$BG$4:$BG$375,MATCH($D11,Data!$A$4:$A$375,0)),""),NA()),NA())</f>
        <v/>
      </c>
      <c r="G11" s="345">
        <f>IFERROR(IF(ISNUMBER(IFERROR(INDEX(Data!$AF$4:$AF$375,MATCH($D11,Data!$A$4:$A$375,0)),"")),IFERROR(INDEX(Data!$AF$4:$AF$375,MATCH($D11,Data!$A$4:$A$375,0)),""),NA()),NA())</f>
        <v/>
      </c>
      <c r="H11" s="345">
        <f>IFERROR(IF(ISNUMBER(IFERROR(INDEX(Data!$BI$4:$BI$375,MATCH($D11,Data!$A$4:$A$375,0)),"")),IFERROR(INDEX(Data!$BI$4:$BI$375,MATCH($D11,Data!$A$4:$A$375,0)),""),NA()),NA())</f>
        <v/>
      </c>
      <c r="I11" s="345">
        <f>IFERROR(IF(ISNUMBER(IFERROR(INDEX(Data!$AG$4:$AG$375,MATCH($D11,Data!$A$4:$A$375,0)),"")),IFERROR(INDEX(Data!$AG$4:$AG$375,MATCH($D11,Data!$A$4:$A$375,0)),""),NA()),NA())</f>
        <v/>
      </c>
      <c r="J11" s="345">
        <f>IFERROR(IF(ISNUMBER(IFERROR(INDEX(Data!$AR$4:$AR$375,MATCH($D11,Data!$A$4:$A$375,0)),"")),IFERROR(INDEX(Data!$AR$4:$AR$375,MATCH($D11,Data!$A$4:$A$375,0)),""),NA()),NA())</f>
        <v/>
      </c>
      <c r="K11" s="345">
        <f>IFERROR(IF(ISNUMBER(IFERROR(INDEX(Data!$AK$4:$AK$375,MATCH($D11,Data!$A$4:$A$375,0)),"")),IFERROR(INDEX(Data!$AK$4:$AK$375,MATCH($D11,Data!$A$4:$A$375,0)),""),NA()),NA())</f>
        <v/>
      </c>
      <c r="L11" s="345">
        <f>IFERROR(IF(ISNUMBER(IFERROR(INDEX(Data!$AL$4:$AL$375,MATCH($D11,Data!$A$4:$A$375,0)),"")),IFERROR(INDEX(Data!$AL$4:$AL$375,MATCH($D11,Data!$A$4:$A$375,0)),""),NA()),NA())</f>
        <v/>
      </c>
      <c r="M11" s="345">
        <f>IFERROR(IF(ISNUMBER(IFERROR(INDEX(Data!$AM$4:$AM$375,MATCH($D11,Data!$A$4:$A$375,0)),"")),IFERROR(INDEX(Data!$AM$4:$AM$375,MATCH($D11,Data!$A$4:$A$375,0)),""),NA()),NA())</f>
        <v/>
      </c>
      <c r="N11" s="345">
        <f>IFERROR(IF(ISNUMBER(IFERROR(INDEX(Data!$AN$4:$AN$375,MATCH($D11,Data!$A$4:$A$375,0)),"")),IFERROR(INDEX(Data!$AN$4:$AN$375,MATCH($D11,Data!$A$4:$A$375,0)),""),NA()),NA())</f>
        <v/>
      </c>
      <c r="P11" s="346">
        <f>DATE(2026,9,28)+49</f>
        <v/>
      </c>
      <c r="Q11" s="347">
        <f>IFERROR(AVERAGEIFS(Data!$AF$4:$AF$375,Data!$A$4:$A$375,"&gt;="&amp;P11,Data!$A$4:$A$375,"&lt;="&amp;(P11+6),Data!$AF$4:$AF$375,"&gt;0"),NA())</f>
        <v/>
      </c>
      <c r="S11" s="346">
        <f>Body!B24</f>
        <v/>
      </c>
      <c r="T11">
        <f>IF(ISNUMBER(Body!D24),Body!D24,NA())</f>
        <v/>
      </c>
    </row>
    <row r="12">
      <c r="A12" s="341" t="inlineStr">
        <is>
          <t>k_T_top3</t>
        </is>
      </c>
      <c r="B12" s="349">
        <f>IFERROR(INDEX(Data!$J$4:$J$375,MATCH(AsOf,Data!$A$4:$A$375,0)),"")</f>
        <v/>
      </c>
      <c r="D12" s="343">
        <f>AsOf-51</f>
        <v/>
      </c>
      <c r="E12" s="344">
        <f>IFERROR(IF(ISNUMBER(IFERROR(INDEX(Data!$BF$4:$BF$375,MATCH($D12,Data!$A$4:$A$375,0)),"")),IFERROR(INDEX(Data!$BF$4:$BF$375,MATCH($D12,Data!$A$4:$A$375,0)),""),NA()),NA())</f>
        <v/>
      </c>
      <c r="F12" s="344">
        <f>IFERROR(IF(ISNUMBER(IFERROR(INDEX(Data!$BG$4:$BG$375,MATCH($D12,Data!$A$4:$A$375,0)),"")),IFERROR(INDEX(Data!$BG$4:$BG$375,MATCH($D12,Data!$A$4:$A$375,0)),""),NA()),NA())</f>
        <v/>
      </c>
      <c r="G12" s="345">
        <f>IFERROR(IF(ISNUMBER(IFERROR(INDEX(Data!$AF$4:$AF$375,MATCH($D12,Data!$A$4:$A$375,0)),"")),IFERROR(INDEX(Data!$AF$4:$AF$375,MATCH($D12,Data!$A$4:$A$375,0)),""),NA()),NA())</f>
        <v/>
      </c>
      <c r="H12" s="345">
        <f>IFERROR(IF(ISNUMBER(IFERROR(INDEX(Data!$BI$4:$BI$375,MATCH($D12,Data!$A$4:$A$375,0)),"")),IFERROR(INDEX(Data!$BI$4:$BI$375,MATCH($D12,Data!$A$4:$A$375,0)),""),NA()),NA())</f>
        <v/>
      </c>
      <c r="I12" s="345">
        <f>IFERROR(IF(ISNUMBER(IFERROR(INDEX(Data!$AG$4:$AG$375,MATCH($D12,Data!$A$4:$A$375,0)),"")),IFERROR(INDEX(Data!$AG$4:$AG$375,MATCH($D12,Data!$A$4:$A$375,0)),""),NA()),NA())</f>
        <v/>
      </c>
      <c r="J12" s="345">
        <f>IFERROR(IF(ISNUMBER(IFERROR(INDEX(Data!$AR$4:$AR$375,MATCH($D12,Data!$A$4:$A$375,0)),"")),IFERROR(INDEX(Data!$AR$4:$AR$375,MATCH($D12,Data!$A$4:$A$375,0)),""),NA()),NA())</f>
        <v/>
      </c>
      <c r="K12" s="345">
        <f>IFERROR(IF(ISNUMBER(IFERROR(INDEX(Data!$AK$4:$AK$375,MATCH($D12,Data!$A$4:$A$375,0)),"")),IFERROR(INDEX(Data!$AK$4:$AK$375,MATCH($D12,Data!$A$4:$A$375,0)),""),NA()),NA())</f>
        <v/>
      </c>
      <c r="L12" s="345">
        <f>IFERROR(IF(ISNUMBER(IFERROR(INDEX(Data!$AL$4:$AL$375,MATCH($D12,Data!$A$4:$A$375,0)),"")),IFERROR(INDEX(Data!$AL$4:$AL$375,MATCH($D12,Data!$A$4:$A$375,0)),""),NA()),NA())</f>
        <v/>
      </c>
      <c r="M12" s="345">
        <f>IFERROR(IF(ISNUMBER(IFERROR(INDEX(Data!$AM$4:$AM$375,MATCH($D12,Data!$A$4:$A$375,0)),"")),IFERROR(INDEX(Data!$AM$4:$AM$375,MATCH($D12,Data!$A$4:$A$375,0)),""),NA()),NA())</f>
        <v/>
      </c>
      <c r="N12" s="345">
        <f>IFERROR(IF(ISNUMBER(IFERROR(INDEX(Data!$AN$4:$AN$375,MATCH($D12,Data!$A$4:$A$375,0)),"")),IFERROR(INDEX(Data!$AN$4:$AN$375,MATCH($D12,Data!$A$4:$A$375,0)),""),NA()),NA())</f>
        <v/>
      </c>
      <c r="P12" s="346">
        <f>DATE(2026,9,28)+56</f>
        <v/>
      </c>
      <c r="Q12" s="347">
        <f>IFERROR(AVERAGEIFS(Data!$AF$4:$AF$375,Data!$A$4:$A$375,"&gt;="&amp;P12,Data!$A$4:$A$375,"&lt;="&amp;(P12+6),Data!$AF$4:$AF$375,"&gt;0"),NA())</f>
        <v/>
      </c>
      <c r="S12" s="346">
        <f>Body!B25</f>
        <v/>
      </c>
      <c r="T12">
        <f>IF(ISNUMBER(Body!D25),Body!D25,NA())</f>
        <v/>
      </c>
    </row>
    <row r="13">
      <c r="A13" s="341" t="inlineStr">
        <is>
          <t>k_T_love</t>
        </is>
      </c>
      <c r="B13" s="349">
        <f>IFERROR(INDEX(Data!$K$4:$K$375,MATCH(AsOf,Data!$A$4:$A$375,0)),"")</f>
        <v/>
      </c>
      <c r="D13" s="343">
        <f>AsOf-50</f>
        <v/>
      </c>
      <c r="E13" s="344">
        <f>IFERROR(IF(ISNUMBER(IFERROR(INDEX(Data!$BF$4:$BF$375,MATCH($D13,Data!$A$4:$A$375,0)),"")),IFERROR(INDEX(Data!$BF$4:$BF$375,MATCH($D13,Data!$A$4:$A$375,0)),""),NA()),NA())</f>
        <v/>
      </c>
      <c r="F13" s="344">
        <f>IFERROR(IF(ISNUMBER(IFERROR(INDEX(Data!$BG$4:$BG$375,MATCH($D13,Data!$A$4:$A$375,0)),"")),IFERROR(INDEX(Data!$BG$4:$BG$375,MATCH($D13,Data!$A$4:$A$375,0)),""),NA()),NA())</f>
        <v/>
      </c>
      <c r="G13" s="345">
        <f>IFERROR(IF(ISNUMBER(IFERROR(INDEX(Data!$AF$4:$AF$375,MATCH($D13,Data!$A$4:$A$375,0)),"")),IFERROR(INDEX(Data!$AF$4:$AF$375,MATCH($D13,Data!$A$4:$A$375,0)),""),NA()),NA())</f>
        <v/>
      </c>
      <c r="H13" s="345">
        <f>IFERROR(IF(ISNUMBER(IFERROR(INDEX(Data!$BI$4:$BI$375,MATCH($D13,Data!$A$4:$A$375,0)),"")),IFERROR(INDEX(Data!$BI$4:$BI$375,MATCH($D13,Data!$A$4:$A$375,0)),""),NA()),NA())</f>
        <v/>
      </c>
      <c r="I13" s="345">
        <f>IFERROR(IF(ISNUMBER(IFERROR(INDEX(Data!$AG$4:$AG$375,MATCH($D13,Data!$A$4:$A$375,0)),"")),IFERROR(INDEX(Data!$AG$4:$AG$375,MATCH($D13,Data!$A$4:$A$375,0)),""),NA()),NA())</f>
        <v/>
      </c>
      <c r="J13" s="345">
        <f>IFERROR(IF(ISNUMBER(IFERROR(INDEX(Data!$AR$4:$AR$375,MATCH($D13,Data!$A$4:$A$375,0)),"")),IFERROR(INDEX(Data!$AR$4:$AR$375,MATCH($D13,Data!$A$4:$A$375,0)),""),NA()),NA())</f>
        <v/>
      </c>
      <c r="K13" s="345">
        <f>IFERROR(IF(ISNUMBER(IFERROR(INDEX(Data!$AK$4:$AK$375,MATCH($D13,Data!$A$4:$A$375,0)),"")),IFERROR(INDEX(Data!$AK$4:$AK$375,MATCH($D13,Data!$A$4:$A$375,0)),""),NA()),NA())</f>
        <v/>
      </c>
      <c r="L13" s="345">
        <f>IFERROR(IF(ISNUMBER(IFERROR(INDEX(Data!$AL$4:$AL$375,MATCH($D13,Data!$A$4:$A$375,0)),"")),IFERROR(INDEX(Data!$AL$4:$AL$375,MATCH($D13,Data!$A$4:$A$375,0)),""),NA()),NA())</f>
        <v/>
      </c>
      <c r="M13" s="345">
        <f>IFERROR(IF(ISNUMBER(IFERROR(INDEX(Data!$AM$4:$AM$375,MATCH($D13,Data!$A$4:$A$375,0)),"")),IFERROR(INDEX(Data!$AM$4:$AM$375,MATCH($D13,Data!$A$4:$A$375,0)),""),NA()),NA())</f>
        <v/>
      </c>
      <c r="N13" s="345">
        <f>IFERROR(IF(ISNUMBER(IFERROR(INDEX(Data!$AN$4:$AN$375,MATCH($D13,Data!$A$4:$A$375,0)),"")),IFERROR(INDEX(Data!$AN$4:$AN$375,MATCH($D13,Data!$A$4:$A$375,0)),""),NA()),NA())</f>
        <v/>
      </c>
      <c r="P13" s="346">
        <f>DATE(2026,9,28)+63</f>
        <v/>
      </c>
      <c r="Q13" s="347">
        <f>IFERROR(AVERAGEIFS(Data!$AF$4:$AF$375,Data!$A$4:$A$375,"&gt;="&amp;P13,Data!$A$4:$A$375,"&lt;="&amp;(P13+6),Data!$AF$4:$AF$375,"&gt;0"),NA())</f>
        <v/>
      </c>
      <c r="S13" s="346">
        <f>Body!B26</f>
        <v/>
      </c>
      <c r="T13">
        <f>IF(ISNUMBER(Body!D26),Body!D26,NA())</f>
        <v/>
      </c>
    </row>
    <row r="14">
      <c r="A14" s="341" t="inlineStr">
        <is>
          <t>k_T_read</t>
        </is>
      </c>
      <c r="B14" s="349">
        <f>IFERROR(INDEX(Data!$L$4:$L$375,MATCH(AsOf,Data!$A$4:$A$375,0)),"")</f>
        <v/>
      </c>
      <c r="D14" s="343">
        <f>AsOf-49</f>
        <v/>
      </c>
      <c r="E14" s="344">
        <f>IFERROR(IF(ISNUMBER(IFERROR(INDEX(Data!$BF$4:$BF$375,MATCH($D14,Data!$A$4:$A$375,0)),"")),IFERROR(INDEX(Data!$BF$4:$BF$375,MATCH($D14,Data!$A$4:$A$375,0)),""),NA()),NA())</f>
        <v/>
      </c>
      <c r="F14" s="344">
        <f>IFERROR(IF(ISNUMBER(IFERROR(INDEX(Data!$BG$4:$BG$375,MATCH($D14,Data!$A$4:$A$375,0)),"")),IFERROR(INDEX(Data!$BG$4:$BG$375,MATCH($D14,Data!$A$4:$A$375,0)),""),NA()),NA())</f>
        <v/>
      </c>
      <c r="G14" s="345">
        <f>IFERROR(IF(ISNUMBER(IFERROR(INDEX(Data!$AF$4:$AF$375,MATCH($D14,Data!$A$4:$A$375,0)),"")),IFERROR(INDEX(Data!$AF$4:$AF$375,MATCH($D14,Data!$A$4:$A$375,0)),""),NA()),NA())</f>
        <v/>
      </c>
      <c r="H14" s="345">
        <f>IFERROR(IF(ISNUMBER(IFERROR(INDEX(Data!$BI$4:$BI$375,MATCH($D14,Data!$A$4:$A$375,0)),"")),IFERROR(INDEX(Data!$BI$4:$BI$375,MATCH($D14,Data!$A$4:$A$375,0)),""),NA()),NA())</f>
        <v/>
      </c>
      <c r="I14" s="345">
        <f>IFERROR(IF(ISNUMBER(IFERROR(INDEX(Data!$AG$4:$AG$375,MATCH($D14,Data!$A$4:$A$375,0)),"")),IFERROR(INDEX(Data!$AG$4:$AG$375,MATCH($D14,Data!$A$4:$A$375,0)),""),NA()),NA())</f>
        <v/>
      </c>
      <c r="J14" s="345">
        <f>IFERROR(IF(ISNUMBER(IFERROR(INDEX(Data!$AR$4:$AR$375,MATCH($D14,Data!$A$4:$A$375,0)),"")),IFERROR(INDEX(Data!$AR$4:$AR$375,MATCH($D14,Data!$A$4:$A$375,0)),""),NA()),NA())</f>
        <v/>
      </c>
      <c r="K14" s="345">
        <f>IFERROR(IF(ISNUMBER(IFERROR(INDEX(Data!$AK$4:$AK$375,MATCH($D14,Data!$A$4:$A$375,0)),"")),IFERROR(INDEX(Data!$AK$4:$AK$375,MATCH($D14,Data!$A$4:$A$375,0)),""),NA()),NA())</f>
        <v/>
      </c>
      <c r="L14" s="345">
        <f>IFERROR(IF(ISNUMBER(IFERROR(INDEX(Data!$AL$4:$AL$375,MATCH($D14,Data!$A$4:$A$375,0)),"")),IFERROR(INDEX(Data!$AL$4:$AL$375,MATCH($D14,Data!$A$4:$A$375,0)),""),NA()),NA())</f>
        <v/>
      </c>
      <c r="M14" s="345">
        <f>IFERROR(IF(ISNUMBER(IFERROR(INDEX(Data!$AM$4:$AM$375,MATCH($D14,Data!$A$4:$A$375,0)),"")),IFERROR(INDEX(Data!$AM$4:$AM$375,MATCH($D14,Data!$A$4:$A$375,0)),""),NA()),NA())</f>
        <v/>
      </c>
      <c r="N14" s="345">
        <f>IFERROR(IF(ISNUMBER(IFERROR(INDEX(Data!$AN$4:$AN$375,MATCH($D14,Data!$A$4:$A$375,0)),"")),IFERROR(INDEX(Data!$AN$4:$AN$375,MATCH($D14,Data!$A$4:$A$375,0)),""),NA()),NA())</f>
        <v/>
      </c>
      <c r="P14" s="346">
        <f>DATE(2026,9,28)+70</f>
        <v/>
      </c>
      <c r="Q14" s="347">
        <f>IFERROR(AVERAGEIFS(Data!$AF$4:$AF$375,Data!$A$4:$A$375,"&gt;="&amp;P14,Data!$A$4:$A$375,"&lt;="&amp;(P14+6),Data!$AF$4:$AF$375,"&gt;0"),NA())</f>
        <v/>
      </c>
      <c r="S14" s="346">
        <f>Body!B27</f>
        <v/>
      </c>
      <c r="T14">
        <f>IF(ISNUMBER(Body!D27),Body!D27,NA())</f>
        <v/>
      </c>
    </row>
    <row r="15">
      <c r="A15" s="341" t="inlineStr">
        <is>
          <t>k_T_shut</t>
        </is>
      </c>
      <c r="B15" s="349">
        <f>IFERROR(INDEX(Data!$M$4:$M$375,MATCH(AsOf,Data!$A$4:$A$375,0)),"")</f>
        <v/>
      </c>
      <c r="D15" s="343">
        <f>AsOf-48</f>
        <v/>
      </c>
      <c r="E15" s="344">
        <f>IFERROR(IF(ISNUMBER(IFERROR(INDEX(Data!$BF$4:$BF$375,MATCH($D15,Data!$A$4:$A$375,0)),"")),IFERROR(INDEX(Data!$BF$4:$BF$375,MATCH($D15,Data!$A$4:$A$375,0)),""),NA()),NA())</f>
        <v/>
      </c>
      <c r="F15" s="344">
        <f>IFERROR(IF(ISNUMBER(IFERROR(INDEX(Data!$BG$4:$BG$375,MATCH($D15,Data!$A$4:$A$375,0)),"")),IFERROR(INDEX(Data!$BG$4:$BG$375,MATCH($D15,Data!$A$4:$A$375,0)),""),NA()),NA())</f>
        <v/>
      </c>
      <c r="G15" s="345">
        <f>IFERROR(IF(ISNUMBER(IFERROR(INDEX(Data!$AF$4:$AF$375,MATCH($D15,Data!$A$4:$A$375,0)),"")),IFERROR(INDEX(Data!$AF$4:$AF$375,MATCH($D15,Data!$A$4:$A$375,0)),""),NA()),NA())</f>
        <v/>
      </c>
      <c r="H15" s="345">
        <f>IFERROR(IF(ISNUMBER(IFERROR(INDEX(Data!$BI$4:$BI$375,MATCH($D15,Data!$A$4:$A$375,0)),"")),IFERROR(INDEX(Data!$BI$4:$BI$375,MATCH($D15,Data!$A$4:$A$375,0)),""),NA()),NA())</f>
        <v/>
      </c>
      <c r="I15" s="345">
        <f>IFERROR(IF(ISNUMBER(IFERROR(INDEX(Data!$AG$4:$AG$375,MATCH($D15,Data!$A$4:$A$375,0)),"")),IFERROR(INDEX(Data!$AG$4:$AG$375,MATCH($D15,Data!$A$4:$A$375,0)),""),NA()),NA())</f>
        <v/>
      </c>
      <c r="J15" s="345">
        <f>IFERROR(IF(ISNUMBER(IFERROR(INDEX(Data!$AR$4:$AR$375,MATCH($D15,Data!$A$4:$A$375,0)),"")),IFERROR(INDEX(Data!$AR$4:$AR$375,MATCH($D15,Data!$A$4:$A$375,0)),""),NA()),NA())</f>
        <v/>
      </c>
      <c r="K15" s="345">
        <f>IFERROR(IF(ISNUMBER(IFERROR(INDEX(Data!$AK$4:$AK$375,MATCH($D15,Data!$A$4:$A$375,0)),"")),IFERROR(INDEX(Data!$AK$4:$AK$375,MATCH($D15,Data!$A$4:$A$375,0)),""),NA()),NA())</f>
        <v/>
      </c>
      <c r="L15" s="345">
        <f>IFERROR(IF(ISNUMBER(IFERROR(INDEX(Data!$AL$4:$AL$375,MATCH($D15,Data!$A$4:$A$375,0)),"")),IFERROR(INDEX(Data!$AL$4:$AL$375,MATCH($D15,Data!$A$4:$A$375,0)),""),NA()),NA())</f>
        <v/>
      </c>
      <c r="M15" s="345">
        <f>IFERROR(IF(ISNUMBER(IFERROR(INDEX(Data!$AM$4:$AM$375,MATCH($D15,Data!$A$4:$A$375,0)),"")),IFERROR(INDEX(Data!$AM$4:$AM$375,MATCH($D15,Data!$A$4:$A$375,0)),""),NA()),NA())</f>
        <v/>
      </c>
      <c r="N15" s="345">
        <f>IFERROR(IF(ISNUMBER(IFERROR(INDEX(Data!$AN$4:$AN$375,MATCH($D15,Data!$A$4:$A$375,0)),"")),IFERROR(INDEX(Data!$AN$4:$AN$375,MATCH($D15,Data!$A$4:$A$375,0)),""),NA()),NA())</f>
        <v/>
      </c>
      <c r="P15" s="346">
        <f>DATE(2026,9,28)+77</f>
        <v/>
      </c>
      <c r="Q15" s="347">
        <f>IFERROR(AVERAGEIFS(Data!$AF$4:$AF$375,Data!$A$4:$A$375,"&gt;="&amp;P15,Data!$A$4:$A$375,"&lt;="&amp;(P15+6),Data!$AF$4:$AF$375,"&gt;0"),NA())</f>
        <v/>
      </c>
      <c r="S15" s="346">
        <f>Body!B28</f>
        <v/>
      </c>
      <c r="T15">
        <f>IF(ISNUMBER(Body!D28),Body!D28,NA())</f>
        <v/>
      </c>
    </row>
    <row r="16">
      <c r="A16" s="341" t="inlineStr">
        <is>
          <t>k_T_sleep</t>
        </is>
      </c>
      <c r="B16" s="349">
        <f>IFERROR(INDEX(Data!$N$4:$N$375,MATCH(AsOf,Data!$A$4:$A$375,0)),"")</f>
        <v/>
      </c>
      <c r="D16" s="343">
        <f>AsOf-47</f>
        <v/>
      </c>
      <c r="E16" s="344">
        <f>IFERROR(IF(ISNUMBER(IFERROR(INDEX(Data!$BF$4:$BF$375,MATCH($D16,Data!$A$4:$A$375,0)),"")),IFERROR(INDEX(Data!$BF$4:$BF$375,MATCH($D16,Data!$A$4:$A$375,0)),""),NA()),NA())</f>
        <v/>
      </c>
      <c r="F16" s="344">
        <f>IFERROR(IF(ISNUMBER(IFERROR(INDEX(Data!$BG$4:$BG$375,MATCH($D16,Data!$A$4:$A$375,0)),"")),IFERROR(INDEX(Data!$BG$4:$BG$375,MATCH($D16,Data!$A$4:$A$375,0)),""),NA()),NA())</f>
        <v/>
      </c>
      <c r="G16" s="345">
        <f>IFERROR(IF(ISNUMBER(IFERROR(INDEX(Data!$AF$4:$AF$375,MATCH($D16,Data!$A$4:$A$375,0)),"")),IFERROR(INDEX(Data!$AF$4:$AF$375,MATCH($D16,Data!$A$4:$A$375,0)),""),NA()),NA())</f>
        <v/>
      </c>
      <c r="H16" s="345">
        <f>IFERROR(IF(ISNUMBER(IFERROR(INDEX(Data!$BI$4:$BI$375,MATCH($D16,Data!$A$4:$A$375,0)),"")),IFERROR(INDEX(Data!$BI$4:$BI$375,MATCH($D16,Data!$A$4:$A$375,0)),""),NA()),NA())</f>
        <v/>
      </c>
      <c r="I16" s="345">
        <f>IFERROR(IF(ISNUMBER(IFERROR(INDEX(Data!$AG$4:$AG$375,MATCH($D16,Data!$A$4:$A$375,0)),"")),IFERROR(INDEX(Data!$AG$4:$AG$375,MATCH($D16,Data!$A$4:$A$375,0)),""),NA()),NA())</f>
        <v/>
      </c>
      <c r="J16" s="345">
        <f>IFERROR(IF(ISNUMBER(IFERROR(INDEX(Data!$AR$4:$AR$375,MATCH($D16,Data!$A$4:$A$375,0)),"")),IFERROR(INDEX(Data!$AR$4:$AR$375,MATCH($D16,Data!$A$4:$A$375,0)),""),NA()),NA())</f>
        <v/>
      </c>
      <c r="K16" s="345">
        <f>IFERROR(IF(ISNUMBER(IFERROR(INDEX(Data!$AK$4:$AK$375,MATCH($D16,Data!$A$4:$A$375,0)),"")),IFERROR(INDEX(Data!$AK$4:$AK$375,MATCH($D16,Data!$A$4:$A$375,0)),""),NA()),NA())</f>
        <v/>
      </c>
      <c r="L16" s="345">
        <f>IFERROR(IF(ISNUMBER(IFERROR(INDEX(Data!$AL$4:$AL$375,MATCH($D16,Data!$A$4:$A$375,0)),"")),IFERROR(INDEX(Data!$AL$4:$AL$375,MATCH($D16,Data!$A$4:$A$375,0)),""),NA()),NA())</f>
        <v/>
      </c>
      <c r="M16" s="345">
        <f>IFERROR(IF(ISNUMBER(IFERROR(INDEX(Data!$AM$4:$AM$375,MATCH($D16,Data!$A$4:$A$375,0)),"")),IFERROR(INDEX(Data!$AM$4:$AM$375,MATCH($D16,Data!$A$4:$A$375,0)),""),NA()),NA())</f>
        <v/>
      </c>
      <c r="N16" s="345">
        <f>IFERROR(IF(ISNUMBER(IFERROR(INDEX(Data!$AN$4:$AN$375,MATCH($D16,Data!$A$4:$A$375,0)),"")),IFERROR(INDEX(Data!$AN$4:$AN$375,MATCH($D16,Data!$A$4:$A$375,0)),""),NA()),NA())</f>
        <v/>
      </c>
      <c r="P16" s="346">
        <f>DATE(2026,9,28)+84</f>
        <v/>
      </c>
      <c r="Q16" s="347">
        <f>IFERROR(AVERAGEIFS(Data!$AF$4:$AF$375,Data!$A$4:$A$375,"&gt;="&amp;P16,Data!$A$4:$A$375,"&lt;="&amp;(P16+6),Data!$AF$4:$AF$375,"&gt;0"),NA())</f>
        <v/>
      </c>
      <c r="S16" s="346">
        <f>Body!B29</f>
        <v/>
      </c>
      <c r="T16">
        <f>IF(ISNUMBER(Body!D29),Body!D29,NA())</f>
        <v/>
      </c>
    </row>
    <row r="17">
      <c r="A17" s="341" t="inlineStr">
        <is>
          <t>k_T_str</t>
        </is>
      </c>
      <c r="B17" s="349">
        <f>IFERROR(INDEX(Data!$O$4:$O$375,MATCH(AsOf,Data!$A$4:$A$375,0)),"")</f>
        <v/>
      </c>
      <c r="D17" s="343">
        <f>AsOf-46</f>
        <v/>
      </c>
      <c r="E17" s="344">
        <f>IFERROR(IF(ISNUMBER(IFERROR(INDEX(Data!$BF$4:$BF$375,MATCH($D17,Data!$A$4:$A$375,0)),"")),IFERROR(INDEX(Data!$BF$4:$BF$375,MATCH($D17,Data!$A$4:$A$375,0)),""),NA()),NA())</f>
        <v/>
      </c>
      <c r="F17" s="344">
        <f>IFERROR(IF(ISNUMBER(IFERROR(INDEX(Data!$BG$4:$BG$375,MATCH($D17,Data!$A$4:$A$375,0)),"")),IFERROR(INDEX(Data!$BG$4:$BG$375,MATCH($D17,Data!$A$4:$A$375,0)),""),NA()),NA())</f>
        <v/>
      </c>
      <c r="G17" s="345">
        <f>IFERROR(IF(ISNUMBER(IFERROR(INDEX(Data!$AF$4:$AF$375,MATCH($D17,Data!$A$4:$A$375,0)),"")),IFERROR(INDEX(Data!$AF$4:$AF$375,MATCH($D17,Data!$A$4:$A$375,0)),""),NA()),NA())</f>
        <v/>
      </c>
      <c r="H17" s="345">
        <f>IFERROR(IF(ISNUMBER(IFERROR(INDEX(Data!$BI$4:$BI$375,MATCH($D17,Data!$A$4:$A$375,0)),"")),IFERROR(INDEX(Data!$BI$4:$BI$375,MATCH($D17,Data!$A$4:$A$375,0)),""),NA()),NA())</f>
        <v/>
      </c>
      <c r="I17" s="345">
        <f>IFERROR(IF(ISNUMBER(IFERROR(INDEX(Data!$AG$4:$AG$375,MATCH($D17,Data!$A$4:$A$375,0)),"")),IFERROR(INDEX(Data!$AG$4:$AG$375,MATCH($D17,Data!$A$4:$A$375,0)),""),NA()),NA())</f>
        <v/>
      </c>
      <c r="J17" s="345">
        <f>IFERROR(IF(ISNUMBER(IFERROR(INDEX(Data!$AR$4:$AR$375,MATCH($D17,Data!$A$4:$A$375,0)),"")),IFERROR(INDEX(Data!$AR$4:$AR$375,MATCH($D17,Data!$A$4:$A$375,0)),""),NA()),NA())</f>
        <v/>
      </c>
      <c r="K17" s="345">
        <f>IFERROR(IF(ISNUMBER(IFERROR(INDEX(Data!$AK$4:$AK$375,MATCH($D17,Data!$A$4:$A$375,0)),"")),IFERROR(INDEX(Data!$AK$4:$AK$375,MATCH($D17,Data!$A$4:$A$375,0)),""),NA()),NA())</f>
        <v/>
      </c>
      <c r="L17" s="345">
        <f>IFERROR(IF(ISNUMBER(IFERROR(INDEX(Data!$AL$4:$AL$375,MATCH($D17,Data!$A$4:$A$375,0)),"")),IFERROR(INDEX(Data!$AL$4:$AL$375,MATCH($D17,Data!$A$4:$A$375,0)),""),NA()),NA())</f>
        <v/>
      </c>
      <c r="M17" s="345">
        <f>IFERROR(IF(ISNUMBER(IFERROR(INDEX(Data!$AM$4:$AM$375,MATCH($D17,Data!$A$4:$A$375,0)),"")),IFERROR(INDEX(Data!$AM$4:$AM$375,MATCH($D17,Data!$A$4:$A$375,0)),""),NA()),NA())</f>
        <v/>
      </c>
      <c r="N17" s="345">
        <f>IFERROR(IF(ISNUMBER(IFERROR(INDEX(Data!$AN$4:$AN$375,MATCH($D17,Data!$A$4:$A$375,0)),"")),IFERROR(INDEX(Data!$AN$4:$AN$375,MATCH($D17,Data!$A$4:$A$375,0)),""),NA()),NA())</f>
        <v/>
      </c>
      <c r="P17" s="346">
        <f>DATE(2026,9,28)+91</f>
        <v/>
      </c>
      <c r="Q17" s="347">
        <f>IFERROR(AVERAGEIFS(Data!$AF$4:$AF$375,Data!$A$4:$A$375,"&gt;="&amp;P17,Data!$A$4:$A$375,"&lt;="&amp;(P17+6),Data!$AF$4:$AF$375,"&gt;0"),NA())</f>
        <v/>
      </c>
      <c r="S17" s="346">
        <f>Body!B30</f>
        <v/>
      </c>
      <c r="T17">
        <f>IF(ISNUMBER(Body!D30),Body!D30,NA())</f>
        <v/>
      </c>
    </row>
    <row r="18">
      <c r="A18" s="341" t="inlineStr">
        <is>
          <t>k_T_prog</t>
        </is>
      </c>
      <c r="B18" s="349">
        <f>IFERROR(INDEX(Data!$P$4:$P$375,MATCH(AsOf,Data!$A$4:$A$375,0)),"")</f>
        <v/>
      </c>
      <c r="D18" s="343">
        <f>AsOf-45</f>
        <v/>
      </c>
      <c r="E18" s="344">
        <f>IFERROR(IF(ISNUMBER(IFERROR(INDEX(Data!$BF$4:$BF$375,MATCH($D18,Data!$A$4:$A$375,0)),"")),IFERROR(INDEX(Data!$BF$4:$BF$375,MATCH($D18,Data!$A$4:$A$375,0)),""),NA()),NA())</f>
        <v/>
      </c>
      <c r="F18" s="344">
        <f>IFERROR(IF(ISNUMBER(IFERROR(INDEX(Data!$BG$4:$BG$375,MATCH($D18,Data!$A$4:$A$375,0)),"")),IFERROR(INDEX(Data!$BG$4:$BG$375,MATCH($D18,Data!$A$4:$A$375,0)),""),NA()),NA())</f>
        <v/>
      </c>
      <c r="G18" s="345">
        <f>IFERROR(IF(ISNUMBER(IFERROR(INDEX(Data!$AF$4:$AF$375,MATCH($D18,Data!$A$4:$A$375,0)),"")),IFERROR(INDEX(Data!$AF$4:$AF$375,MATCH($D18,Data!$A$4:$A$375,0)),""),NA()),NA())</f>
        <v/>
      </c>
      <c r="H18" s="345">
        <f>IFERROR(IF(ISNUMBER(IFERROR(INDEX(Data!$BI$4:$BI$375,MATCH($D18,Data!$A$4:$A$375,0)),"")),IFERROR(INDEX(Data!$BI$4:$BI$375,MATCH($D18,Data!$A$4:$A$375,0)),""),NA()),NA())</f>
        <v/>
      </c>
      <c r="I18" s="345">
        <f>IFERROR(IF(ISNUMBER(IFERROR(INDEX(Data!$AG$4:$AG$375,MATCH($D18,Data!$A$4:$A$375,0)),"")),IFERROR(INDEX(Data!$AG$4:$AG$375,MATCH($D18,Data!$A$4:$A$375,0)),""),NA()),NA())</f>
        <v/>
      </c>
      <c r="J18" s="345">
        <f>IFERROR(IF(ISNUMBER(IFERROR(INDEX(Data!$AR$4:$AR$375,MATCH($D18,Data!$A$4:$A$375,0)),"")),IFERROR(INDEX(Data!$AR$4:$AR$375,MATCH($D18,Data!$A$4:$A$375,0)),""),NA()),NA())</f>
        <v/>
      </c>
      <c r="K18" s="345">
        <f>IFERROR(IF(ISNUMBER(IFERROR(INDEX(Data!$AK$4:$AK$375,MATCH($D18,Data!$A$4:$A$375,0)),"")),IFERROR(INDEX(Data!$AK$4:$AK$375,MATCH($D18,Data!$A$4:$A$375,0)),""),NA()),NA())</f>
        <v/>
      </c>
      <c r="L18" s="345">
        <f>IFERROR(IF(ISNUMBER(IFERROR(INDEX(Data!$AL$4:$AL$375,MATCH($D18,Data!$A$4:$A$375,0)),"")),IFERROR(INDEX(Data!$AL$4:$AL$375,MATCH($D18,Data!$A$4:$A$375,0)),""),NA()),NA())</f>
        <v/>
      </c>
      <c r="M18" s="345">
        <f>IFERROR(IF(ISNUMBER(IFERROR(INDEX(Data!$AM$4:$AM$375,MATCH($D18,Data!$A$4:$A$375,0)),"")),IFERROR(INDEX(Data!$AM$4:$AM$375,MATCH($D18,Data!$A$4:$A$375,0)),""),NA()),NA())</f>
        <v/>
      </c>
      <c r="N18" s="345">
        <f>IFERROR(IF(ISNUMBER(IFERROR(INDEX(Data!$AN$4:$AN$375,MATCH($D18,Data!$A$4:$A$375,0)),"")),IFERROR(INDEX(Data!$AN$4:$AN$375,MATCH($D18,Data!$A$4:$A$375,0)),""),NA()),NA())</f>
        <v/>
      </c>
      <c r="P18" s="346">
        <f>DATE(2026,9,28)+98</f>
        <v/>
      </c>
      <c r="Q18" s="347">
        <f>IFERROR(AVERAGEIFS(Data!$AF$4:$AF$375,Data!$A$4:$A$375,"&gt;="&amp;P18,Data!$A$4:$A$375,"&lt;="&amp;(P18+6),Data!$AF$4:$AF$375,"&gt;0"),NA())</f>
        <v/>
      </c>
      <c r="S18" s="346">
        <f>Body!B31</f>
        <v/>
      </c>
      <c r="T18">
        <f>IF(ISNUMBER(Body!D31),Body!D31,NA())</f>
        <v/>
      </c>
    </row>
    <row r="19">
      <c r="A19" s="341" t="inlineStr">
        <is>
          <t>k_T_core</t>
        </is>
      </c>
      <c r="B19" s="349">
        <f>IFERROR(INDEX(Data!$Q$4:$Q$375,MATCH(AsOf,Data!$A$4:$A$375,0)),"")</f>
        <v/>
      </c>
      <c r="D19" s="343">
        <f>AsOf-44</f>
        <v/>
      </c>
      <c r="E19" s="344">
        <f>IFERROR(IF(ISNUMBER(IFERROR(INDEX(Data!$BF$4:$BF$375,MATCH($D19,Data!$A$4:$A$375,0)),"")),IFERROR(INDEX(Data!$BF$4:$BF$375,MATCH($D19,Data!$A$4:$A$375,0)),""),NA()),NA())</f>
        <v/>
      </c>
      <c r="F19" s="344">
        <f>IFERROR(IF(ISNUMBER(IFERROR(INDEX(Data!$BG$4:$BG$375,MATCH($D19,Data!$A$4:$A$375,0)),"")),IFERROR(INDEX(Data!$BG$4:$BG$375,MATCH($D19,Data!$A$4:$A$375,0)),""),NA()),NA())</f>
        <v/>
      </c>
      <c r="G19" s="345">
        <f>IFERROR(IF(ISNUMBER(IFERROR(INDEX(Data!$AF$4:$AF$375,MATCH($D19,Data!$A$4:$A$375,0)),"")),IFERROR(INDEX(Data!$AF$4:$AF$375,MATCH($D19,Data!$A$4:$A$375,0)),""),NA()),NA())</f>
        <v/>
      </c>
      <c r="H19" s="345">
        <f>IFERROR(IF(ISNUMBER(IFERROR(INDEX(Data!$BI$4:$BI$375,MATCH($D19,Data!$A$4:$A$375,0)),"")),IFERROR(INDEX(Data!$BI$4:$BI$375,MATCH($D19,Data!$A$4:$A$375,0)),""),NA()),NA())</f>
        <v/>
      </c>
      <c r="I19" s="345">
        <f>IFERROR(IF(ISNUMBER(IFERROR(INDEX(Data!$AG$4:$AG$375,MATCH($D19,Data!$A$4:$A$375,0)),"")),IFERROR(INDEX(Data!$AG$4:$AG$375,MATCH($D19,Data!$A$4:$A$375,0)),""),NA()),NA())</f>
        <v/>
      </c>
      <c r="J19" s="345">
        <f>IFERROR(IF(ISNUMBER(IFERROR(INDEX(Data!$AR$4:$AR$375,MATCH($D19,Data!$A$4:$A$375,0)),"")),IFERROR(INDEX(Data!$AR$4:$AR$375,MATCH($D19,Data!$A$4:$A$375,0)),""),NA()),NA())</f>
        <v/>
      </c>
      <c r="K19" s="345">
        <f>IFERROR(IF(ISNUMBER(IFERROR(INDEX(Data!$AK$4:$AK$375,MATCH($D19,Data!$A$4:$A$375,0)),"")),IFERROR(INDEX(Data!$AK$4:$AK$375,MATCH($D19,Data!$A$4:$A$375,0)),""),NA()),NA())</f>
        <v/>
      </c>
      <c r="L19" s="345">
        <f>IFERROR(IF(ISNUMBER(IFERROR(INDEX(Data!$AL$4:$AL$375,MATCH($D19,Data!$A$4:$A$375,0)),"")),IFERROR(INDEX(Data!$AL$4:$AL$375,MATCH($D19,Data!$A$4:$A$375,0)),""),NA()),NA())</f>
        <v/>
      </c>
      <c r="M19" s="345">
        <f>IFERROR(IF(ISNUMBER(IFERROR(INDEX(Data!$AM$4:$AM$375,MATCH($D19,Data!$A$4:$A$375,0)),"")),IFERROR(INDEX(Data!$AM$4:$AM$375,MATCH($D19,Data!$A$4:$A$375,0)),""),NA()),NA())</f>
        <v/>
      </c>
      <c r="N19" s="345">
        <f>IFERROR(IF(ISNUMBER(IFERROR(INDEX(Data!$AN$4:$AN$375,MATCH($D19,Data!$A$4:$A$375,0)),"")),IFERROR(INDEX(Data!$AN$4:$AN$375,MATCH($D19,Data!$A$4:$A$375,0)),""),NA()),NA())</f>
        <v/>
      </c>
      <c r="P19" s="346">
        <f>DATE(2026,9,28)+105</f>
        <v/>
      </c>
      <c r="Q19" s="347">
        <f>IFERROR(AVERAGEIFS(Data!$AF$4:$AF$375,Data!$A$4:$A$375,"&gt;="&amp;P19,Data!$A$4:$A$375,"&lt;="&amp;(P19+6),Data!$AF$4:$AF$375,"&gt;0"),NA())</f>
        <v/>
      </c>
      <c r="S19" s="346">
        <f>Body!B32</f>
        <v/>
      </c>
      <c r="T19">
        <f>IF(ISNUMBER(Body!D32),Body!D32,NA())</f>
        <v/>
      </c>
    </row>
    <row r="20">
      <c r="A20" s="341" t="inlineStr">
        <is>
          <t>k_T_calf</t>
        </is>
      </c>
      <c r="B20" s="349">
        <f>IFERROR(INDEX(Data!$R$4:$R$375,MATCH(AsOf,Data!$A$4:$A$375,0)),"")</f>
        <v/>
      </c>
      <c r="D20" s="343">
        <f>AsOf-43</f>
        <v/>
      </c>
      <c r="E20" s="344">
        <f>IFERROR(IF(ISNUMBER(IFERROR(INDEX(Data!$BF$4:$BF$375,MATCH($D20,Data!$A$4:$A$375,0)),"")),IFERROR(INDEX(Data!$BF$4:$BF$375,MATCH($D20,Data!$A$4:$A$375,0)),""),NA()),NA())</f>
        <v/>
      </c>
      <c r="F20" s="344">
        <f>IFERROR(IF(ISNUMBER(IFERROR(INDEX(Data!$BG$4:$BG$375,MATCH($D20,Data!$A$4:$A$375,0)),"")),IFERROR(INDEX(Data!$BG$4:$BG$375,MATCH($D20,Data!$A$4:$A$375,0)),""),NA()),NA())</f>
        <v/>
      </c>
      <c r="G20" s="345">
        <f>IFERROR(IF(ISNUMBER(IFERROR(INDEX(Data!$AF$4:$AF$375,MATCH($D20,Data!$A$4:$A$375,0)),"")),IFERROR(INDEX(Data!$AF$4:$AF$375,MATCH($D20,Data!$A$4:$A$375,0)),""),NA()),NA())</f>
        <v/>
      </c>
      <c r="H20" s="345">
        <f>IFERROR(IF(ISNUMBER(IFERROR(INDEX(Data!$BI$4:$BI$375,MATCH($D20,Data!$A$4:$A$375,0)),"")),IFERROR(INDEX(Data!$BI$4:$BI$375,MATCH($D20,Data!$A$4:$A$375,0)),""),NA()),NA())</f>
        <v/>
      </c>
      <c r="I20" s="345">
        <f>IFERROR(IF(ISNUMBER(IFERROR(INDEX(Data!$AG$4:$AG$375,MATCH($D20,Data!$A$4:$A$375,0)),"")),IFERROR(INDEX(Data!$AG$4:$AG$375,MATCH($D20,Data!$A$4:$A$375,0)),""),NA()),NA())</f>
        <v/>
      </c>
      <c r="J20" s="345">
        <f>IFERROR(IF(ISNUMBER(IFERROR(INDEX(Data!$AR$4:$AR$375,MATCH($D20,Data!$A$4:$A$375,0)),"")),IFERROR(INDEX(Data!$AR$4:$AR$375,MATCH($D20,Data!$A$4:$A$375,0)),""),NA()),NA())</f>
        <v/>
      </c>
      <c r="K20" s="345">
        <f>IFERROR(IF(ISNUMBER(IFERROR(INDEX(Data!$AK$4:$AK$375,MATCH($D20,Data!$A$4:$A$375,0)),"")),IFERROR(INDEX(Data!$AK$4:$AK$375,MATCH($D20,Data!$A$4:$A$375,0)),""),NA()),NA())</f>
        <v/>
      </c>
      <c r="L20" s="345">
        <f>IFERROR(IF(ISNUMBER(IFERROR(INDEX(Data!$AL$4:$AL$375,MATCH($D20,Data!$A$4:$A$375,0)),"")),IFERROR(INDEX(Data!$AL$4:$AL$375,MATCH($D20,Data!$A$4:$A$375,0)),""),NA()),NA())</f>
        <v/>
      </c>
      <c r="M20" s="345">
        <f>IFERROR(IF(ISNUMBER(IFERROR(INDEX(Data!$AM$4:$AM$375,MATCH($D20,Data!$A$4:$A$375,0)),"")),IFERROR(INDEX(Data!$AM$4:$AM$375,MATCH($D20,Data!$A$4:$A$375,0)),""),NA()),NA())</f>
        <v/>
      </c>
      <c r="N20" s="345">
        <f>IFERROR(IF(ISNUMBER(IFERROR(INDEX(Data!$AN$4:$AN$375,MATCH($D20,Data!$A$4:$A$375,0)),"")),IFERROR(INDEX(Data!$AN$4:$AN$375,MATCH($D20,Data!$A$4:$A$375,0)),""),NA()),NA())</f>
        <v/>
      </c>
      <c r="P20" s="346">
        <f>DATE(2026,9,28)+112</f>
        <v/>
      </c>
      <c r="Q20" s="347">
        <f>IFERROR(AVERAGEIFS(Data!$AF$4:$AF$375,Data!$A$4:$A$375,"&gt;="&amp;P20,Data!$A$4:$A$375,"&lt;="&amp;(P20+6),Data!$AF$4:$AF$375,"&gt;0"),NA())</f>
        <v/>
      </c>
      <c r="S20" s="346">
        <f>Body!B33</f>
        <v/>
      </c>
      <c r="T20">
        <f>IF(ISNUMBER(Body!D33),Body!D33,NA())</f>
        <v/>
      </c>
    </row>
    <row r="21">
      <c r="A21" s="341" t="inlineStr">
        <is>
          <t>k_T_cardio</t>
        </is>
      </c>
      <c r="B21" s="349">
        <f>IFERROR(INDEX(Data!$S$4:$S$375,MATCH(AsOf,Data!$A$4:$A$375,0)),"")</f>
        <v/>
      </c>
      <c r="D21" s="343">
        <f>AsOf-42</f>
        <v/>
      </c>
      <c r="E21" s="344">
        <f>IFERROR(IF(ISNUMBER(IFERROR(INDEX(Data!$BF$4:$BF$375,MATCH($D21,Data!$A$4:$A$375,0)),"")),IFERROR(INDEX(Data!$BF$4:$BF$375,MATCH($D21,Data!$A$4:$A$375,0)),""),NA()),NA())</f>
        <v/>
      </c>
      <c r="F21" s="344">
        <f>IFERROR(IF(ISNUMBER(IFERROR(INDEX(Data!$BG$4:$BG$375,MATCH($D21,Data!$A$4:$A$375,0)),"")),IFERROR(INDEX(Data!$BG$4:$BG$375,MATCH($D21,Data!$A$4:$A$375,0)),""),NA()),NA())</f>
        <v/>
      </c>
      <c r="G21" s="345">
        <f>IFERROR(IF(ISNUMBER(IFERROR(INDEX(Data!$AF$4:$AF$375,MATCH($D21,Data!$A$4:$A$375,0)),"")),IFERROR(INDEX(Data!$AF$4:$AF$375,MATCH($D21,Data!$A$4:$A$375,0)),""),NA()),NA())</f>
        <v/>
      </c>
      <c r="H21" s="345">
        <f>IFERROR(IF(ISNUMBER(IFERROR(INDEX(Data!$BI$4:$BI$375,MATCH($D21,Data!$A$4:$A$375,0)),"")),IFERROR(INDEX(Data!$BI$4:$BI$375,MATCH($D21,Data!$A$4:$A$375,0)),""),NA()),NA())</f>
        <v/>
      </c>
      <c r="I21" s="345">
        <f>IFERROR(IF(ISNUMBER(IFERROR(INDEX(Data!$AG$4:$AG$375,MATCH($D21,Data!$A$4:$A$375,0)),"")),IFERROR(INDEX(Data!$AG$4:$AG$375,MATCH($D21,Data!$A$4:$A$375,0)),""),NA()),NA())</f>
        <v/>
      </c>
      <c r="J21" s="345">
        <f>IFERROR(IF(ISNUMBER(IFERROR(INDEX(Data!$AR$4:$AR$375,MATCH($D21,Data!$A$4:$A$375,0)),"")),IFERROR(INDEX(Data!$AR$4:$AR$375,MATCH($D21,Data!$A$4:$A$375,0)),""),NA()),NA())</f>
        <v/>
      </c>
      <c r="K21" s="345">
        <f>IFERROR(IF(ISNUMBER(IFERROR(INDEX(Data!$AK$4:$AK$375,MATCH($D21,Data!$A$4:$A$375,0)),"")),IFERROR(INDEX(Data!$AK$4:$AK$375,MATCH($D21,Data!$A$4:$A$375,0)),""),NA()),NA())</f>
        <v/>
      </c>
      <c r="L21" s="345">
        <f>IFERROR(IF(ISNUMBER(IFERROR(INDEX(Data!$AL$4:$AL$375,MATCH($D21,Data!$A$4:$A$375,0)),"")),IFERROR(INDEX(Data!$AL$4:$AL$375,MATCH($D21,Data!$A$4:$A$375,0)),""),NA()),NA())</f>
        <v/>
      </c>
      <c r="M21" s="345">
        <f>IFERROR(IF(ISNUMBER(IFERROR(INDEX(Data!$AM$4:$AM$375,MATCH($D21,Data!$A$4:$A$375,0)),"")),IFERROR(INDEX(Data!$AM$4:$AM$375,MATCH($D21,Data!$A$4:$A$375,0)),""),NA()),NA())</f>
        <v/>
      </c>
      <c r="N21" s="345">
        <f>IFERROR(IF(ISNUMBER(IFERROR(INDEX(Data!$AN$4:$AN$375,MATCH($D21,Data!$A$4:$A$375,0)),"")),IFERROR(INDEX(Data!$AN$4:$AN$375,MATCH($D21,Data!$A$4:$A$375,0)),""),NA()),NA())</f>
        <v/>
      </c>
      <c r="P21" s="346">
        <f>DATE(2026,9,28)+119</f>
        <v/>
      </c>
      <c r="Q21" s="347">
        <f>IFERROR(AVERAGEIFS(Data!$AF$4:$AF$375,Data!$A$4:$A$375,"&gt;="&amp;P21,Data!$A$4:$A$375,"&lt;="&amp;(P21+6),Data!$AF$4:$AF$375,"&gt;0"),NA())</f>
        <v/>
      </c>
      <c r="S21" s="346">
        <f>Body!B34</f>
        <v/>
      </c>
      <c r="T21">
        <f>IF(ISNUMBER(Body!D34),Body!D34,NA())</f>
        <v/>
      </c>
    </row>
    <row r="22">
      <c r="A22" s="341" t="inlineStr">
        <is>
          <t>k_T_deep</t>
        </is>
      </c>
      <c r="B22" s="349">
        <f>IFERROR(INDEX(Data!$T$4:$T$375,MATCH(AsOf,Data!$A$4:$A$375,0)),"")</f>
        <v/>
      </c>
      <c r="D22" s="343">
        <f>AsOf-41</f>
        <v/>
      </c>
      <c r="E22" s="344">
        <f>IFERROR(IF(ISNUMBER(IFERROR(INDEX(Data!$BF$4:$BF$375,MATCH($D22,Data!$A$4:$A$375,0)),"")),IFERROR(INDEX(Data!$BF$4:$BF$375,MATCH($D22,Data!$A$4:$A$375,0)),""),NA()),NA())</f>
        <v/>
      </c>
      <c r="F22" s="344">
        <f>IFERROR(IF(ISNUMBER(IFERROR(INDEX(Data!$BG$4:$BG$375,MATCH($D22,Data!$A$4:$A$375,0)),"")),IFERROR(INDEX(Data!$BG$4:$BG$375,MATCH($D22,Data!$A$4:$A$375,0)),""),NA()),NA())</f>
        <v/>
      </c>
      <c r="G22" s="345">
        <f>IFERROR(IF(ISNUMBER(IFERROR(INDEX(Data!$AF$4:$AF$375,MATCH($D22,Data!$A$4:$A$375,0)),"")),IFERROR(INDEX(Data!$AF$4:$AF$375,MATCH($D22,Data!$A$4:$A$375,0)),""),NA()),NA())</f>
        <v/>
      </c>
      <c r="H22" s="345">
        <f>IFERROR(IF(ISNUMBER(IFERROR(INDEX(Data!$BI$4:$BI$375,MATCH($D22,Data!$A$4:$A$375,0)),"")),IFERROR(INDEX(Data!$BI$4:$BI$375,MATCH($D22,Data!$A$4:$A$375,0)),""),NA()),NA())</f>
        <v/>
      </c>
      <c r="I22" s="345">
        <f>IFERROR(IF(ISNUMBER(IFERROR(INDEX(Data!$AG$4:$AG$375,MATCH($D22,Data!$A$4:$A$375,0)),"")),IFERROR(INDEX(Data!$AG$4:$AG$375,MATCH($D22,Data!$A$4:$A$375,0)),""),NA()),NA())</f>
        <v/>
      </c>
      <c r="J22" s="345">
        <f>IFERROR(IF(ISNUMBER(IFERROR(INDEX(Data!$AR$4:$AR$375,MATCH($D22,Data!$A$4:$A$375,0)),"")),IFERROR(INDEX(Data!$AR$4:$AR$375,MATCH($D22,Data!$A$4:$A$375,0)),""),NA()),NA())</f>
        <v/>
      </c>
      <c r="K22" s="345">
        <f>IFERROR(IF(ISNUMBER(IFERROR(INDEX(Data!$AK$4:$AK$375,MATCH($D22,Data!$A$4:$A$375,0)),"")),IFERROR(INDEX(Data!$AK$4:$AK$375,MATCH($D22,Data!$A$4:$A$375,0)),""),NA()),NA())</f>
        <v/>
      </c>
      <c r="L22" s="345">
        <f>IFERROR(IF(ISNUMBER(IFERROR(INDEX(Data!$AL$4:$AL$375,MATCH($D22,Data!$A$4:$A$375,0)),"")),IFERROR(INDEX(Data!$AL$4:$AL$375,MATCH($D22,Data!$A$4:$A$375,0)),""),NA()),NA())</f>
        <v/>
      </c>
      <c r="M22" s="345">
        <f>IFERROR(IF(ISNUMBER(IFERROR(INDEX(Data!$AM$4:$AM$375,MATCH($D22,Data!$A$4:$A$375,0)),"")),IFERROR(INDEX(Data!$AM$4:$AM$375,MATCH($D22,Data!$A$4:$A$375,0)),""),NA()),NA())</f>
        <v/>
      </c>
      <c r="N22" s="345">
        <f>IFERROR(IF(ISNUMBER(IFERROR(INDEX(Data!$AN$4:$AN$375,MATCH($D22,Data!$A$4:$A$375,0)),"")),IFERROR(INDEX(Data!$AN$4:$AN$375,MATCH($D22,Data!$A$4:$A$375,0)),""),NA()),NA())</f>
        <v/>
      </c>
      <c r="P22" s="346">
        <f>DATE(2026,9,28)+126</f>
        <v/>
      </c>
      <c r="Q22" s="347">
        <f>IFERROR(AVERAGEIFS(Data!$AF$4:$AF$375,Data!$A$4:$A$375,"&gt;="&amp;P22,Data!$A$4:$A$375,"&lt;="&amp;(P22+6),Data!$AF$4:$AF$375,"&gt;0"),NA())</f>
        <v/>
      </c>
      <c r="S22" s="346">
        <f>Body!B35</f>
        <v/>
      </c>
      <c r="T22">
        <f>IF(ISNUMBER(Body!D35),Body!D35,NA())</f>
        <v/>
      </c>
    </row>
    <row r="23">
      <c r="A23" s="341" t="inlineStr">
        <is>
          <t>k_T_brk</t>
        </is>
      </c>
      <c r="B23" s="349">
        <f>IFERROR(INDEX(Data!$U$4:$U$375,MATCH(AsOf,Data!$A$4:$A$375,0)),"")</f>
        <v/>
      </c>
      <c r="D23" s="343">
        <f>AsOf-40</f>
        <v/>
      </c>
      <c r="E23" s="344">
        <f>IFERROR(IF(ISNUMBER(IFERROR(INDEX(Data!$BF$4:$BF$375,MATCH($D23,Data!$A$4:$A$375,0)),"")),IFERROR(INDEX(Data!$BF$4:$BF$375,MATCH($D23,Data!$A$4:$A$375,0)),""),NA()),NA())</f>
        <v/>
      </c>
      <c r="F23" s="344">
        <f>IFERROR(IF(ISNUMBER(IFERROR(INDEX(Data!$BG$4:$BG$375,MATCH($D23,Data!$A$4:$A$375,0)),"")),IFERROR(INDEX(Data!$BG$4:$BG$375,MATCH($D23,Data!$A$4:$A$375,0)),""),NA()),NA())</f>
        <v/>
      </c>
      <c r="G23" s="345">
        <f>IFERROR(IF(ISNUMBER(IFERROR(INDEX(Data!$AF$4:$AF$375,MATCH($D23,Data!$A$4:$A$375,0)),"")),IFERROR(INDEX(Data!$AF$4:$AF$375,MATCH($D23,Data!$A$4:$A$375,0)),""),NA()),NA())</f>
        <v/>
      </c>
      <c r="H23" s="345">
        <f>IFERROR(IF(ISNUMBER(IFERROR(INDEX(Data!$BI$4:$BI$375,MATCH($D23,Data!$A$4:$A$375,0)),"")),IFERROR(INDEX(Data!$BI$4:$BI$375,MATCH($D23,Data!$A$4:$A$375,0)),""),NA()),NA())</f>
        <v/>
      </c>
      <c r="I23" s="345">
        <f>IFERROR(IF(ISNUMBER(IFERROR(INDEX(Data!$AG$4:$AG$375,MATCH($D23,Data!$A$4:$A$375,0)),"")),IFERROR(INDEX(Data!$AG$4:$AG$375,MATCH($D23,Data!$A$4:$A$375,0)),""),NA()),NA())</f>
        <v/>
      </c>
      <c r="J23" s="345">
        <f>IFERROR(IF(ISNUMBER(IFERROR(INDEX(Data!$AR$4:$AR$375,MATCH($D23,Data!$A$4:$A$375,0)),"")),IFERROR(INDEX(Data!$AR$4:$AR$375,MATCH($D23,Data!$A$4:$A$375,0)),""),NA()),NA())</f>
        <v/>
      </c>
      <c r="K23" s="345">
        <f>IFERROR(IF(ISNUMBER(IFERROR(INDEX(Data!$AK$4:$AK$375,MATCH($D23,Data!$A$4:$A$375,0)),"")),IFERROR(INDEX(Data!$AK$4:$AK$375,MATCH($D23,Data!$A$4:$A$375,0)),""),NA()),NA())</f>
        <v/>
      </c>
      <c r="L23" s="345">
        <f>IFERROR(IF(ISNUMBER(IFERROR(INDEX(Data!$AL$4:$AL$375,MATCH($D23,Data!$A$4:$A$375,0)),"")),IFERROR(INDEX(Data!$AL$4:$AL$375,MATCH($D23,Data!$A$4:$A$375,0)),""),NA()),NA())</f>
        <v/>
      </c>
      <c r="M23" s="345">
        <f>IFERROR(IF(ISNUMBER(IFERROR(INDEX(Data!$AM$4:$AM$375,MATCH($D23,Data!$A$4:$A$375,0)),"")),IFERROR(INDEX(Data!$AM$4:$AM$375,MATCH($D23,Data!$A$4:$A$375,0)),""),NA()),NA())</f>
        <v/>
      </c>
      <c r="N23" s="345">
        <f>IFERROR(IF(ISNUMBER(IFERROR(INDEX(Data!$AN$4:$AN$375,MATCH($D23,Data!$A$4:$A$375,0)),"")),IFERROR(INDEX(Data!$AN$4:$AN$375,MATCH($D23,Data!$A$4:$A$375,0)),""),NA()),NA())</f>
        <v/>
      </c>
      <c r="P23" s="346">
        <f>DATE(2026,9,28)+133</f>
        <v/>
      </c>
      <c r="Q23" s="347">
        <f>IFERROR(AVERAGEIFS(Data!$AF$4:$AF$375,Data!$A$4:$A$375,"&gt;="&amp;P23,Data!$A$4:$A$375,"&lt;="&amp;(P23+6),Data!$AF$4:$AF$375,"&gt;0"),NA())</f>
        <v/>
      </c>
      <c r="S23" s="346">
        <f>Body!B36</f>
        <v/>
      </c>
      <c r="T23">
        <f>IF(ISNUMBER(Body!D36),Body!D36,NA())</f>
        <v/>
      </c>
    </row>
    <row r="24">
      <c r="A24" s="341" t="inlineStr">
        <is>
          <t>k_T_home</t>
        </is>
      </c>
      <c r="B24" s="349">
        <f>IFERROR(INDEX(Data!$V$4:$V$375,MATCH(AsOf,Data!$A$4:$A$375,0)),"")</f>
        <v/>
      </c>
      <c r="D24" s="343">
        <f>AsOf-39</f>
        <v/>
      </c>
      <c r="E24" s="344">
        <f>IFERROR(IF(ISNUMBER(IFERROR(INDEX(Data!$BF$4:$BF$375,MATCH($D24,Data!$A$4:$A$375,0)),"")),IFERROR(INDEX(Data!$BF$4:$BF$375,MATCH($D24,Data!$A$4:$A$375,0)),""),NA()),NA())</f>
        <v/>
      </c>
      <c r="F24" s="344">
        <f>IFERROR(IF(ISNUMBER(IFERROR(INDEX(Data!$BG$4:$BG$375,MATCH($D24,Data!$A$4:$A$375,0)),"")),IFERROR(INDEX(Data!$BG$4:$BG$375,MATCH($D24,Data!$A$4:$A$375,0)),""),NA()),NA())</f>
        <v/>
      </c>
      <c r="G24" s="345">
        <f>IFERROR(IF(ISNUMBER(IFERROR(INDEX(Data!$AF$4:$AF$375,MATCH($D24,Data!$A$4:$A$375,0)),"")),IFERROR(INDEX(Data!$AF$4:$AF$375,MATCH($D24,Data!$A$4:$A$375,0)),""),NA()),NA())</f>
        <v/>
      </c>
      <c r="H24" s="345">
        <f>IFERROR(IF(ISNUMBER(IFERROR(INDEX(Data!$BI$4:$BI$375,MATCH($D24,Data!$A$4:$A$375,0)),"")),IFERROR(INDEX(Data!$BI$4:$BI$375,MATCH($D24,Data!$A$4:$A$375,0)),""),NA()),NA())</f>
        <v/>
      </c>
      <c r="I24" s="345">
        <f>IFERROR(IF(ISNUMBER(IFERROR(INDEX(Data!$AG$4:$AG$375,MATCH($D24,Data!$A$4:$A$375,0)),"")),IFERROR(INDEX(Data!$AG$4:$AG$375,MATCH($D24,Data!$A$4:$A$375,0)),""),NA()),NA())</f>
        <v/>
      </c>
      <c r="J24" s="345">
        <f>IFERROR(IF(ISNUMBER(IFERROR(INDEX(Data!$AR$4:$AR$375,MATCH($D24,Data!$A$4:$A$375,0)),"")),IFERROR(INDEX(Data!$AR$4:$AR$375,MATCH($D24,Data!$A$4:$A$375,0)),""),NA()),NA())</f>
        <v/>
      </c>
      <c r="K24" s="345">
        <f>IFERROR(IF(ISNUMBER(IFERROR(INDEX(Data!$AK$4:$AK$375,MATCH($D24,Data!$A$4:$A$375,0)),"")),IFERROR(INDEX(Data!$AK$4:$AK$375,MATCH($D24,Data!$A$4:$A$375,0)),""),NA()),NA())</f>
        <v/>
      </c>
      <c r="L24" s="345">
        <f>IFERROR(IF(ISNUMBER(IFERROR(INDEX(Data!$AL$4:$AL$375,MATCH($D24,Data!$A$4:$A$375,0)),"")),IFERROR(INDEX(Data!$AL$4:$AL$375,MATCH($D24,Data!$A$4:$A$375,0)),""),NA()),NA())</f>
        <v/>
      </c>
      <c r="M24" s="345">
        <f>IFERROR(IF(ISNUMBER(IFERROR(INDEX(Data!$AM$4:$AM$375,MATCH($D24,Data!$A$4:$A$375,0)),"")),IFERROR(INDEX(Data!$AM$4:$AM$375,MATCH($D24,Data!$A$4:$A$375,0)),""),NA()),NA())</f>
        <v/>
      </c>
      <c r="N24" s="345">
        <f>IFERROR(IF(ISNUMBER(IFERROR(INDEX(Data!$AN$4:$AN$375,MATCH($D24,Data!$A$4:$A$375,0)),"")),IFERROR(INDEX(Data!$AN$4:$AN$375,MATCH($D24,Data!$A$4:$A$375,0)),""),NA()),NA())</f>
        <v/>
      </c>
      <c r="P24" s="346">
        <f>DATE(2026,9,28)+140</f>
        <v/>
      </c>
      <c r="Q24" s="347">
        <f>IFERROR(AVERAGEIFS(Data!$AF$4:$AF$375,Data!$A$4:$A$375,"&gt;="&amp;P24,Data!$A$4:$A$375,"&lt;="&amp;(P24+6),Data!$AF$4:$AF$375,"&gt;0"),NA())</f>
        <v/>
      </c>
      <c r="S24" s="346">
        <f>Body!B37</f>
        <v/>
      </c>
      <c r="T24">
        <f>IF(ISNUMBER(Body!D37),Body!D37,NA())</f>
        <v/>
      </c>
    </row>
    <row r="25">
      <c r="A25" s="341" t="inlineStr">
        <is>
          <t>k_T_son</t>
        </is>
      </c>
      <c r="B25" s="349">
        <f>IFERROR(INDEX(Data!$W$4:$W$375,MATCH(AsOf,Data!$A$4:$A$375,0)),"")</f>
        <v/>
      </c>
      <c r="D25" s="343">
        <f>AsOf-38</f>
        <v/>
      </c>
      <c r="E25" s="344">
        <f>IFERROR(IF(ISNUMBER(IFERROR(INDEX(Data!$BF$4:$BF$375,MATCH($D25,Data!$A$4:$A$375,0)),"")),IFERROR(INDEX(Data!$BF$4:$BF$375,MATCH($D25,Data!$A$4:$A$375,0)),""),NA()),NA())</f>
        <v/>
      </c>
      <c r="F25" s="344">
        <f>IFERROR(IF(ISNUMBER(IFERROR(INDEX(Data!$BG$4:$BG$375,MATCH($D25,Data!$A$4:$A$375,0)),"")),IFERROR(INDEX(Data!$BG$4:$BG$375,MATCH($D25,Data!$A$4:$A$375,0)),""),NA()),NA())</f>
        <v/>
      </c>
      <c r="G25" s="345">
        <f>IFERROR(IF(ISNUMBER(IFERROR(INDEX(Data!$AF$4:$AF$375,MATCH($D25,Data!$A$4:$A$375,0)),"")),IFERROR(INDEX(Data!$AF$4:$AF$375,MATCH($D25,Data!$A$4:$A$375,0)),""),NA()),NA())</f>
        <v/>
      </c>
      <c r="H25" s="345">
        <f>IFERROR(IF(ISNUMBER(IFERROR(INDEX(Data!$BI$4:$BI$375,MATCH($D25,Data!$A$4:$A$375,0)),"")),IFERROR(INDEX(Data!$BI$4:$BI$375,MATCH($D25,Data!$A$4:$A$375,0)),""),NA()),NA())</f>
        <v/>
      </c>
      <c r="I25" s="345">
        <f>IFERROR(IF(ISNUMBER(IFERROR(INDEX(Data!$AG$4:$AG$375,MATCH($D25,Data!$A$4:$A$375,0)),"")),IFERROR(INDEX(Data!$AG$4:$AG$375,MATCH($D25,Data!$A$4:$A$375,0)),""),NA()),NA())</f>
        <v/>
      </c>
      <c r="J25" s="345">
        <f>IFERROR(IF(ISNUMBER(IFERROR(INDEX(Data!$AR$4:$AR$375,MATCH($D25,Data!$A$4:$A$375,0)),"")),IFERROR(INDEX(Data!$AR$4:$AR$375,MATCH($D25,Data!$A$4:$A$375,0)),""),NA()),NA())</f>
        <v/>
      </c>
      <c r="K25" s="345">
        <f>IFERROR(IF(ISNUMBER(IFERROR(INDEX(Data!$AK$4:$AK$375,MATCH($D25,Data!$A$4:$A$375,0)),"")),IFERROR(INDEX(Data!$AK$4:$AK$375,MATCH($D25,Data!$A$4:$A$375,0)),""),NA()),NA())</f>
        <v/>
      </c>
      <c r="L25" s="345">
        <f>IFERROR(IF(ISNUMBER(IFERROR(INDEX(Data!$AL$4:$AL$375,MATCH($D25,Data!$A$4:$A$375,0)),"")),IFERROR(INDEX(Data!$AL$4:$AL$375,MATCH($D25,Data!$A$4:$A$375,0)),""),NA()),NA())</f>
        <v/>
      </c>
      <c r="M25" s="345">
        <f>IFERROR(IF(ISNUMBER(IFERROR(INDEX(Data!$AM$4:$AM$375,MATCH($D25,Data!$A$4:$A$375,0)),"")),IFERROR(INDEX(Data!$AM$4:$AM$375,MATCH($D25,Data!$A$4:$A$375,0)),""),NA()),NA())</f>
        <v/>
      </c>
      <c r="N25" s="345">
        <f>IFERROR(IF(ISNUMBER(IFERROR(INDEX(Data!$AN$4:$AN$375,MATCH($D25,Data!$A$4:$A$375,0)),"")),IFERROR(INDEX(Data!$AN$4:$AN$375,MATCH($D25,Data!$A$4:$A$375,0)),""),NA()),NA())</f>
        <v/>
      </c>
      <c r="P25" s="346">
        <f>DATE(2026,9,28)+147</f>
        <v/>
      </c>
      <c r="Q25" s="347">
        <f>IFERROR(AVERAGEIFS(Data!$AF$4:$AF$375,Data!$A$4:$A$375,"&gt;="&amp;P25,Data!$A$4:$A$375,"&lt;="&amp;(P25+6),Data!$AF$4:$AF$375,"&gt;0"),NA())</f>
        <v/>
      </c>
      <c r="S25" s="346">
        <f>Body!B38</f>
        <v/>
      </c>
      <c r="T25">
        <f>IF(ISNUMBER(Body!D38),Body!D38,NA())</f>
        <v/>
      </c>
    </row>
    <row r="26">
      <c r="A26" s="341" t="inlineStr">
        <is>
          <t>k_T_couple</t>
        </is>
      </c>
      <c r="B26" s="349">
        <f>IFERROR(INDEX(Data!$X$4:$X$375,MATCH(AsOf,Data!$A$4:$A$375,0)),"")</f>
        <v/>
      </c>
      <c r="D26" s="343">
        <f>AsOf-37</f>
        <v/>
      </c>
      <c r="E26" s="344">
        <f>IFERROR(IF(ISNUMBER(IFERROR(INDEX(Data!$BF$4:$BF$375,MATCH($D26,Data!$A$4:$A$375,0)),"")),IFERROR(INDEX(Data!$BF$4:$BF$375,MATCH($D26,Data!$A$4:$A$375,0)),""),NA()),NA())</f>
        <v/>
      </c>
      <c r="F26" s="344">
        <f>IFERROR(IF(ISNUMBER(IFERROR(INDEX(Data!$BG$4:$BG$375,MATCH($D26,Data!$A$4:$A$375,0)),"")),IFERROR(INDEX(Data!$BG$4:$BG$375,MATCH($D26,Data!$A$4:$A$375,0)),""),NA()),NA())</f>
        <v/>
      </c>
      <c r="G26" s="345">
        <f>IFERROR(IF(ISNUMBER(IFERROR(INDEX(Data!$AF$4:$AF$375,MATCH($D26,Data!$A$4:$A$375,0)),"")),IFERROR(INDEX(Data!$AF$4:$AF$375,MATCH($D26,Data!$A$4:$A$375,0)),""),NA()),NA())</f>
        <v/>
      </c>
      <c r="H26" s="345">
        <f>IFERROR(IF(ISNUMBER(IFERROR(INDEX(Data!$BI$4:$BI$375,MATCH($D26,Data!$A$4:$A$375,0)),"")),IFERROR(INDEX(Data!$BI$4:$BI$375,MATCH($D26,Data!$A$4:$A$375,0)),""),NA()),NA())</f>
        <v/>
      </c>
      <c r="I26" s="345">
        <f>IFERROR(IF(ISNUMBER(IFERROR(INDEX(Data!$AG$4:$AG$375,MATCH($D26,Data!$A$4:$A$375,0)),"")),IFERROR(INDEX(Data!$AG$4:$AG$375,MATCH($D26,Data!$A$4:$A$375,0)),""),NA()),NA())</f>
        <v/>
      </c>
      <c r="J26" s="345">
        <f>IFERROR(IF(ISNUMBER(IFERROR(INDEX(Data!$AR$4:$AR$375,MATCH($D26,Data!$A$4:$A$375,0)),"")),IFERROR(INDEX(Data!$AR$4:$AR$375,MATCH($D26,Data!$A$4:$A$375,0)),""),NA()),NA())</f>
        <v/>
      </c>
      <c r="K26" s="345">
        <f>IFERROR(IF(ISNUMBER(IFERROR(INDEX(Data!$AK$4:$AK$375,MATCH($D26,Data!$A$4:$A$375,0)),"")),IFERROR(INDEX(Data!$AK$4:$AK$375,MATCH($D26,Data!$A$4:$A$375,0)),""),NA()),NA())</f>
        <v/>
      </c>
      <c r="L26" s="345">
        <f>IFERROR(IF(ISNUMBER(IFERROR(INDEX(Data!$AL$4:$AL$375,MATCH($D26,Data!$A$4:$A$375,0)),"")),IFERROR(INDEX(Data!$AL$4:$AL$375,MATCH($D26,Data!$A$4:$A$375,0)),""),NA()),NA())</f>
        <v/>
      </c>
      <c r="M26" s="345">
        <f>IFERROR(IF(ISNUMBER(IFERROR(INDEX(Data!$AM$4:$AM$375,MATCH($D26,Data!$A$4:$A$375,0)),"")),IFERROR(INDEX(Data!$AM$4:$AM$375,MATCH($D26,Data!$A$4:$A$375,0)),""),NA()),NA())</f>
        <v/>
      </c>
      <c r="N26" s="345">
        <f>IFERROR(IF(ISNUMBER(IFERROR(INDEX(Data!$AN$4:$AN$375,MATCH($D26,Data!$A$4:$A$375,0)),"")),IFERROR(INDEX(Data!$AN$4:$AN$375,MATCH($D26,Data!$A$4:$A$375,0)),""),NA()),NA())</f>
        <v/>
      </c>
      <c r="P26" s="346">
        <f>DATE(2026,9,28)+154</f>
        <v/>
      </c>
      <c r="Q26" s="347">
        <f>IFERROR(AVERAGEIFS(Data!$AF$4:$AF$375,Data!$A$4:$A$375,"&gt;="&amp;P26,Data!$A$4:$A$375,"&lt;="&amp;(P26+6),Data!$AF$4:$AF$375,"&gt;0"),NA())</f>
        <v/>
      </c>
      <c r="S26" s="346">
        <f>Body!B39</f>
        <v/>
      </c>
      <c r="T26">
        <f>IF(ISNUMBER(Body!D39),Body!D39,NA())</f>
        <v/>
      </c>
    </row>
    <row r="27">
      <c r="A27" s="341" t="inlineStr">
        <is>
          <t>k_T_family</t>
        </is>
      </c>
      <c r="B27" s="349">
        <f>IFERROR(INDEX(Data!$Y$4:$Y$375,MATCH(AsOf,Data!$A$4:$A$375,0)),"")</f>
        <v/>
      </c>
      <c r="D27" s="343">
        <f>AsOf-36</f>
        <v/>
      </c>
      <c r="E27" s="344">
        <f>IFERROR(IF(ISNUMBER(IFERROR(INDEX(Data!$BF$4:$BF$375,MATCH($D27,Data!$A$4:$A$375,0)),"")),IFERROR(INDEX(Data!$BF$4:$BF$375,MATCH($D27,Data!$A$4:$A$375,0)),""),NA()),NA())</f>
        <v/>
      </c>
      <c r="F27" s="344">
        <f>IFERROR(IF(ISNUMBER(IFERROR(INDEX(Data!$BG$4:$BG$375,MATCH($D27,Data!$A$4:$A$375,0)),"")),IFERROR(INDEX(Data!$BG$4:$BG$375,MATCH($D27,Data!$A$4:$A$375,0)),""),NA()),NA())</f>
        <v/>
      </c>
      <c r="G27" s="345">
        <f>IFERROR(IF(ISNUMBER(IFERROR(INDEX(Data!$AF$4:$AF$375,MATCH($D27,Data!$A$4:$A$375,0)),"")),IFERROR(INDEX(Data!$AF$4:$AF$375,MATCH($D27,Data!$A$4:$A$375,0)),""),NA()),NA())</f>
        <v/>
      </c>
      <c r="H27" s="345">
        <f>IFERROR(IF(ISNUMBER(IFERROR(INDEX(Data!$BI$4:$BI$375,MATCH($D27,Data!$A$4:$A$375,0)),"")),IFERROR(INDEX(Data!$BI$4:$BI$375,MATCH($D27,Data!$A$4:$A$375,0)),""),NA()),NA())</f>
        <v/>
      </c>
      <c r="I27" s="345">
        <f>IFERROR(IF(ISNUMBER(IFERROR(INDEX(Data!$AG$4:$AG$375,MATCH($D27,Data!$A$4:$A$375,0)),"")),IFERROR(INDEX(Data!$AG$4:$AG$375,MATCH($D27,Data!$A$4:$A$375,0)),""),NA()),NA())</f>
        <v/>
      </c>
      <c r="J27" s="345">
        <f>IFERROR(IF(ISNUMBER(IFERROR(INDEX(Data!$AR$4:$AR$375,MATCH($D27,Data!$A$4:$A$375,0)),"")),IFERROR(INDEX(Data!$AR$4:$AR$375,MATCH($D27,Data!$A$4:$A$375,0)),""),NA()),NA())</f>
        <v/>
      </c>
      <c r="K27" s="345">
        <f>IFERROR(IF(ISNUMBER(IFERROR(INDEX(Data!$AK$4:$AK$375,MATCH($D27,Data!$A$4:$A$375,0)),"")),IFERROR(INDEX(Data!$AK$4:$AK$375,MATCH($D27,Data!$A$4:$A$375,0)),""),NA()),NA())</f>
        <v/>
      </c>
      <c r="L27" s="345">
        <f>IFERROR(IF(ISNUMBER(IFERROR(INDEX(Data!$AL$4:$AL$375,MATCH($D27,Data!$A$4:$A$375,0)),"")),IFERROR(INDEX(Data!$AL$4:$AL$375,MATCH($D27,Data!$A$4:$A$375,0)),""),NA()),NA())</f>
        <v/>
      </c>
      <c r="M27" s="345">
        <f>IFERROR(IF(ISNUMBER(IFERROR(INDEX(Data!$AM$4:$AM$375,MATCH($D27,Data!$A$4:$A$375,0)),"")),IFERROR(INDEX(Data!$AM$4:$AM$375,MATCH($D27,Data!$A$4:$A$375,0)),""),NA()),NA())</f>
        <v/>
      </c>
      <c r="N27" s="345">
        <f>IFERROR(IF(ISNUMBER(IFERROR(INDEX(Data!$AN$4:$AN$375,MATCH($D27,Data!$A$4:$A$375,0)),"")),IFERROR(INDEX(Data!$AN$4:$AN$375,MATCH($D27,Data!$A$4:$A$375,0)),""),NA()),NA())</f>
        <v/>
      </c>
      <c r="P27" s="346">
        <f>DATE(2026,9,28)+161</f>
        <v/>
      </c>
      <c r="Q27" s="347">
        <f>IFERROR(AVERAGEIFS(Data!$AF$4:$AF$375,Data!$A$4:$A$375,"&gt;="&amp;P27,Data!$A$4:$A$375,"&lt;="&amp;(P27+6),Data!$AF$4:$AF$375,"&gt;0"),NA())</f>
        <v/>
      </c>
      <c r="S27" s="346">
        <f>Body!B40</f>
        <v/>
      </c>
      <c r="T27">
        <f>IF(ISNUMBER(Body!D40),Body!D40,NA())</f>
        <v/>
      </c>
    </row>
    <row r="28">
      <c r="A28" s="341" t="inlineStr">
        <is>
          <t>k_T_church</t>
        </is>
      </c>
      <c r="B28" s="349">
        <f>IFERROR(INDEX(Data!$Z$4:$Z$375,MATCH(AsOf,Data!$A$4:$A$375,0)),"")</f>
        <v/>
      </c>
      <c r="D28" s="343">
        <f>AsOf-35</f>
        <v/>
      </c>
      <c r="E28" s="344">
        <f>IFERROR(IF(ISNUMBER(IFERROR(INDEX(Data!$BF$4:$BF$375,MATCH($D28,Data!$A$4:$A$375,0)),"")),IFERROR(INDEX(Data!$BF$4:$BF$375,MATCH($D28,Data!$A$4:$A$375,0)),""),NA()),NA())</f>
        <v/>
      </c>
      <c r="F28" s="344">
        <f>IFERROR(IF(ISNUMBER(IFERROR(INDEX(Data!$BG$4:$BG$375,MATCH($D28,Data!$A$4:$A$375,0)),"")),IFERROR(INDEX(Data!$BG$4:$BG$375,MATCH($D28,Data!$A$4:$A$375,0)),""),NA()),NA())</f>
        <v/>
      </c>
      <c r="G28" s="345">
        <f>IFERROR(IF(ISNUMBER(IFERROR(INDEX(Data!$AF$4:$AF$375,MATCH($D28,Data!$A$4:$A$375,0)),"")),IFERROR(INDEX(Data!$AF$4:$AF$375,MATCH($D28,Data!$A$4:$A$375,0)),""),NA()),NA())</f>
        <v/>
      </c>
      <c r="H28" s="345">
        <f>IFERROR(IF(ISNUMBER(IFERROR(INDEX(Data!$BI$4:$BI$375,MATCH($D28,Data!$A$4:$A$375,0)),"")),IFERROR(INDEX(Data!$BI$4:$BI$375,MATCH($D28,Data!$A$4:$A$375,0)),""),NA()),NA())</f>
        <v/>
      </c>
      <c r="I28" s="345">
        <f>IFERROR(IF(ISNUMBER(IFERROR(INDEX(Data!$AG$4:$AG$375,MATCH($D28,Data!$A$4:$A$375,0)),"")),IFERROR(INDEX(Data!$AG$4:$AG$375,MATCH($D28,Data!$A$4:$A$375,0)),""),NA()),NA())</f>
        <v/>
      </c>
      <c r="J28" s="345">
        <f>IFERROR(IF(ISNUMBER(IFERROR(INDEX(Data!$AR$4:$AR$375,MATCH($D28,Data!$A$4:$A$375,0)),"")),IFERROR(INDEX(Data!$AR$4:$AR$375,MATCH($D28,Data!$A$4:$A$375,0)),""),NA()),NA())</f>
        <v/>
      </c>
      <c r="K28" s="345">
        <f>IFERROR(IF(ISNUMBER(IFERROR(INDEX(Data!$AK$4:$AK$375,MATCH($D28,Data!$A$4:$A$375,0)),"")),IFERROR(INDEX(Data!$AK$4:$AK$375,MATCH($D28,Data!$A$4:$A$375,0)),""),NA()),NA())</f>
        <v/>
      </c>
      <c r="L28" s="345">
        <f>IFERROR(IF(ISNUMBER(IFERROR(INDEX(Data!$AL$4:$AL$375,MATCH($D28,Data!$A$4:$A$375,0)),"")),IFERROR(INDEX(Data!$AL$4:$AL$375,MATCH($D28,Data!$A$4:$A$375,0)),""),NA()),NA())</f>
        <v/>
      </c>
      <c r="M28" s="345">
        <f>IFERROR(IF(ISNUMBER(IFERROR(INDEX(Data!$AM$4:$AM$375,MATCH($D28,Data!$A$4:$A$375,0)),"")),IFERROR(INDEX(Data!$AM$4:$AM$375,MATCH($D28,Data!$A$4:$A$375,0)),""),NA()),NA())</f>
        <v/>
      </c>
      <c r="N28" s="345">
        <f>IFERROR(IF(ISNUMBER(IFERROR(INDEX(Data!$AN$4:$AN$375,MATCH($D28,Data!$A$4:$A$375,0)),"")),IFERROR(INDEX(Data!$AN$4:$AN$375,MATCH($D28,Data!$A$4:$A$375,0)),""),NA()),NA())</f>
        <v/>
      </c>
      <c r="P28" s="346">
        <f>DATE(2026,9,28)+168</f>
        <v/>
      </c>
      <c r="Q28" s="347">
        <f>IFERROR(AVERAGEIFS(Data!$AF$4:$AF$375,Data!$A$4:$A$375,"&gt;="&amp;P28,Data!$A$4:$A$375,"&lt;="&amp;(P28+6),Data!$AF$4:$AF$375,"&gt;0"),NA())</f>
        <v/>
      </c>
      <c r="S28" s="346">
        <f>Body!B41</f>
        <v/>
      </c>
      <c r="T28">
        <f>IF(ISNUMBER(Body!D41),Body!D41,NA())</f>
        <v/>
      </c>
    </row>
    <row r="29">
      <c r="A29" s="341" t="inlineStr">
        <is>
          <t>k_T_prep</t>
        </is>
      </c>
      <c r="B29" s="349">
        <f>IFERROR(INDEX(Data!$AA$4:$AA$375,MATCH(AsOf,Data!$A$4:$A$375,0)),"")</f>
        <v/>
      </c>
      <c r="D29" s="343">
        <f>AsOf-34</f>
        <v/>
      </c>
      <c r="E29" s="344">
        <f>IFERROR(IF(ISNUMBER(IFERROR(INDEX(Data!$BF$4:$BF$375,MATCH($D29,Data!$A$4:$A$375,0)),"")),IFERROR(INDEX(Data!$BF$4:$BF$375,MATCH($D29,Data!$A$4:$A$375,0)),""),NA()),NA())</f>
        <v/>
      </c>
      <c r="F29" s="344">
        <f>IFERROR(IF(ISNUMBER(IFERROR(INDEX(Data!$BG$4:$BG$375,MATCH($D29,Data!$A$4:$A$375,0)),"")),IFERROR(INDEX(Data!$BG$4:$BG$375,MATCH($D29,Data!$A$4:$A$375,0)),""),NA()),NA())</f>
        <v/>
      </c>
      <c r="G29" s="345">
        <f>IFERROR(IF(ISNUMBER(IFERROR(INDEX(Data!$AF$4:$AF$375,MATCH($D29,Data!$A$4:$A$375,0)),"")),IFERROR(INDEX(Data!$AF$4:$AF$375,MATCH($D29,Data!$A$4:$A$375,0)),""),NA()),NA())</f>
        <v/>
      </c>
      <c r="H29" s="345">
        <f>IFERROR(IF(ISNUMBER(IFERROR(INDEX(Data!$BI$4:$BI$375,MATCH($D29,Data!$A$4:$A$375,0)),"")),IFERROR(INDEX(Data!$BI$4:$BI$375,MATCH($D29,Data!$A$4:$A$375,0)),""),NA()),NA())</f>
        <v/>
      </c>
      <c r="I29" s="345">
        <f>IFERROR(IF(ISNUMBER(IFERROR(INDEX(Data!$AG$4:$AG$375,MATCH($D29,Data!$A$4:$A$375,0)),"")),IFERROR(INDEX(Data!$AG$4:$AG$375,MATCH($D29,Data!$A$4:$A$375,0)),""),NA()),NA())</f>
        <v/>
      </c>
      <c r="J29" s="345">
        <f>IFERROR(IF(ISNUMBER(IFERROR(INDEX(Data!$AR$4:$AR$375,MATCH($D29,Data!$A$4:$A$375,0)),"")),IFERROR(INDEX(Data!$AR$4:$AR$375,MATCH($D29,Data!$A$4:$A$375,0)),""),NA()),NA())</f>
        <v/>
      </c>
      <c r="K29" s="345">
        <f>IFERROR(IF(ISNUMBER(IFERROR(INDEX(Data!$AK$4:$AK$375,MATCH($D29,Data!$A$4:$A$375,0)),"")),IFERROR(INDEX(Data!$AK$4:$AK$375,MATCH($D29,Data!$A$4:$A$375,0)),""),NA()),NA())</f>
        <v/>
      </c>
      <c r="L29" s="345">
        <f>IFERROR(IF(ISNUMBER(IFERROR(INDEX(Data!$AL$4:$AL$375,MATCH($D29,Data!$A$4:$A$375,0)),"")),IFERROR(INDEX(Data!$AL$4:$AL$375,MATCH($D29,Data!$A$4:$A$375,0)),""),NA()),NA())</f>
        <v/>
      </c>
      <c r="M29" s="345">
        <f>IFERROR(IF(ISNUMBER(IFERROR(INDEX(Data!$AM$4:$AM$375,MATCH($D29,Data!$A$4:$A$375,0)),"")),IFERROR(INDEX(Data!$AM$4:$AM$375,MATCH($D29,Data!$A$4:$A$375,0)),""),NA()),NA())</f>
        <v/>
      </c>
      <c r="N29" s="345">
        <f>IFERROR(IF(ISNUMBER(IFERROR(INDEX(Data!$AN$4:$AN$375,MATCH($D29,Data!$A$4:$A$375,0)),"")),IFERROR(INDEX(Data!$AN$4:$AN$375,MATCH($D29,Data!$A$4:$A$375,0)),""),NA()),NA())</f>
        <v/>
      </c>
      <c r="P29" s="346">
        <f>DATE(2026,9,28)+175</f>
        <v/>
      </c>
      <c r="Q29" s="347">
        <f>IFERROR(AVERAGEIFS(Data!$AF$4:$AF$375,Data!$A$4:$A$375,"&gt;="&amp;P29,Data!$A$4:$A$375,"&lt;="&amp;(P29+6),Data!$AF$4:$AF$375,"&gt;0"),NA())</f>
        <v/>
      </c>
      <c r="S29" s="346">
        <f>Body!B42</f>
        <v/>
      </c>
      <c r="T29">
        <f>IF(ISNUMBER(Body!D42),Body!D42,NA())</f>
        <v/>
      </c>
    </row>
    <row r="30">
      <c r="A30" s="341" t="inlineStr">
        <is>
          <t>k_T_med</t>
        </is>
      </c>
      <c r="B30" s="349">
        <f>IFERROR(INDEX(Data!$AB$4:$AB$375,MATCH(AsOf,Data!$A$4:$A$375,0)),"")</f>
        <v/>
      </c>
      <c r="D30" s="343">
        <f>AsOf-33</f>
        <v/>
      </c>
      <c r="E30" s="344">
        <f>IFERROR(IF(ISNUMBER(IFERROR(INDEX(Data!$BF$4:$BF$375,MATCH($D30,Data!$A$4:$A$375,0)),"")),IFERROR(INDEX(Data!$BF$4:$BF$375,MATCH($D30,Data!$A$4:$A$375,0)),""),NA()),NA())</f>
        <v/>
      </c>
      <c r="F30" s="344">
        <f>IFERROR(IF(ISNUMBER(IFERROR(INDEX(Data!$BG$4:$BG$375,MATCH($D30,Data!$A$4:$A$375,0)),"")),IFERROR(INDEX(Data!$BG$4:$BG$375,MATCH($D30,Data!$A$4:$A$375,0)),""),NA()),NA())</f>
        <v/>
      </c>
      <c r="G30" s="345">
        <f>IFERROR(IF(ISNUMBER(IFERROR(INDEX(Data!$AF$4:$AF$375,MATCH($D30,Data!$A$4:$A$375,0)),"")),IFERROR(INDEX(Data!$AF$4:$AF$375,MATCH($D30,Data!$A$4:$A$375,0)),""),NA()),NA())</f>
        <v/>
      </c>
      <c r="H30" s="345">
        <f>IFERROR(IF(ISNUMBER(IFERROR(INDEX(Data!$BI$4:$BI$375,MATCH($D30,Data!$A$4:$A$375,0)),"")),IFERROR(INDEX(Data!$BI$4:$BI$375,MATCH($D30,Data!$A$4:$A$375,0)),""),NA()),NA())</f>
        <v/>
      </c>
      <c r="I30" s="345">
        <f>IFERROR(IF(ISNUMBER(IFERROR(INDEX(Data!$AG$4:$AG$375,MATCH($D30,Data!$A$4:$A$375,0)),"")),IFERROR(INDEX(Data!$AG$4:$AG$375,MATCH($D30,Data!$A$4:$A$375,0)),""),NA()),NA())</f>
        <v/>
      </c>
      <c r="J30" s="345">
        <f>IFERROR(IF(ISNUMBER(IFERROR(INDEX(Data!$AR$4:$AR$375,MATCH($D30,Data!$A$4:$A$375,0)),"")),IFERROR(INDEX(Data!$AR$4:$AR$375,MATCH($D30,Data!$A$4:$A$375,0)),""),NA()),NA())</f>
        <v/>
      </c>
      <c r="K30" s="345">
        <f>IFERROR(IF(ISNUMBER(IFERROR(INDEX(Data!$AK$4:$AK$375,MATCH($D30,Data!$A$4:$A$375,0)),"")),IFERROR(INDEX(Data!$AK$4:$AK$375,MATCH($D30,Data!$A$4:$A$375,0)),""),NA()),NA())</f>
        <v/>
      </c>
      <c r="L30" s="345">
        <f>IFERROR(IF(ISNUMBER(IFERROR(INDEX(Data!$AL$4:$AL$375,MATCH($D30,Data!$A$4:$A$375,0)),"")),IFERROR(INDEX(Data!$AL$4:$AL$375,MATCH($D30,Data!$A$4:$A$375,0)),""),NA()),NA())</f>
        <v/>
      </c>
      <c r="M30" s="345">
        <f>IFERROR(IF(ISNUMBER(IFERROR(INDEX(Data!$AM$4:$AM$375,MATCH($D30,Data!$A$4:$A$375,0)),"")),IFERROR(INDEX(Data!$AM$4:$AM$375,MATCH($D30,Data!$A$4:$A$375,0)),""),NA()),NA())</f>
        <v/>
      </c>
      <c r="N30" s="345">
        <f>IFERROR(IF(ISNUMBER(IFERROR(INDEX(Data!$AN$4:$AN$375,MATCH($D30,Data!$A$4:$A$375,0)),"")),IFERROR(INDEX(Data!$AN$4:$AN$375,MATCH($D30,Data!$A$4:$A$375,0)),""),NA()),NA())</f>
        <v/>
      </c>
      <c r="P30" s="346">
        <f>DATE(2026,9,28)+182</f>
        <v/>
      </c>
      <c r="Q30" s="347">
        <f>IFERROR(AVERAGEIFS(Data!$AF$4:$AF$375,Data!$A$4:$A$375,"&gt;="&amp;P30,Data!$A$4:$A$375,"&lt;="&amp;(P30+6),Data!$AF$4:$AF$375,"&gt;0"),NA())</f>
        <v/>
      </c>
      <c r="S30" s="346">
        <f>Body!B43</f>
        <v/>
      </c>
      <c r="T30">
        <f>IF(ISNUMBER(Body!D43),Body!D43,NA())</f>
        <v/>
      </c>
    </row>
    <row r="31">
      <c r="A31" s="341" t="inlineStr">
        <is>
          <t>k_T_xcardio</t>
        </is>
      </c>
      <c r="B31" s="349">
        <f>IFERROR(INDEX(Data!$AC$4:$AC$375,MATCH(AsOf,Data!$A$4:$A$375,0)),"")</f>
        <v/>
      </c>
      <c r="D31" s="343">
        <f>AsOf-32</f>
        <v/>
      </c>
      <c r="E31" s="344">
        <f>IFERROR(IF(ISNUMBER(IFERROR(INDEX(Data!$BF$4:$BF$375,MATCH($D31,Data!$A$4:$A$375,0)),"")),IFERROR(INDEX(Data!$BF$4:$BF$375,MATCH($D31,Data!$A$4:$A$375,0)),""),NA()),NA())</f>
        <v/>
      </c>
      <c r="F31" s="344">
        <f>IFERROR(IF(ISNUMBER(IFERROR(INDEX(Data!$BG$4:$BG$375,MATCH($D31,Data!$A$4:$A$375,0)),"")),IFERROR(INDEX(Data!$BG$4:$BG$375,MATCH($D31,Data!$A$4:$A$375,0)),""),NA()),NA())</f>
        <v/>
      </c>
      <c r="G31" s="345">
        <f>IFERROR(IF(ISNUMBER(IFERROR(INDEX(Data!$AF$4:$AF$375,MATCH($D31,Data!$A$4:$A$375,0)),"")),IFERROR(INDEX(Data!$AF$4:$AF$375,MATCH($D31,Data!$A$4:$A$375,0)),""),NA()),NA())</f>
        <v/>
      </c>
      <c r="H31" s="345">
        <f>IFERROR(IF(ISNUMBER(IFERROR(INDEX(Data!$BI$4:$BI$375,MATCH($D31,Data!$A$4:$A$375,0)),"")),IFERROR(INDEX(Data!$BI$4:$BI$375,MATCH($D31,Data!$A$4:$A$375,0)),""),NA()),NA())</f>
        <v/>
      </c>
      <c r="I31" s="345">
        <f>IFERROR(IF(ISNUMBER(IFERROR(INDEX(Data!$AG$4:$AG$375,MATCH($D31,Data!$A$4:$A$375,0)),"")),IFERROR(INDEX(Data!$AG$4:$AG$375,MATCH($D31,Data!$A$4:$A$375,0)),""),NA()),NA())</f>
        <v/>
      </c>
      <c r="J31" s="345">
        <f>IFERROR(IF(ISNUMBER(IFERROR(INDEX(Data!$AR$4:$AR$375,MATCH($D31,Data!$A$4:$A$375,0)),"")),IFERROR(INDEX(Data!$AR$4:$AR$375,MATCH($D31,Data!$A$4:$A$375,0)),""),NA()),NA())</f>
        <v/>
      </c>
      <c r="K31" s="345">
        <f>IFERROR(IF(ISNUMBER(IFERROR(INDEX(Data!$AK$4:$AK$375,MATCH($D31,Data!$A$4:$A$375,0)),"")),IFERROR(INDEX(Data!$AK$4:$AK$375,MATCH($D31,Data!$A$4:$A$375,0)),""),NA()),NA())</f>
        <v/>
      </c>
      <c r="L31" s="345">
        <f>IFERROR(IF(ISNUMBER(IFERROR(INDEX(Data!$AL$4:$AL$375,MATCH($D31,Data!$A$4:$A$375,0)),"")),IFERROR(INDEX(Data!$AL$4:$AL$375,MATCH($D31,Data!$A$4:$A$375,0)),""),NA()),NA())</f>
        <v/>
      </c>
      <c r="M31" s="345">
        <f>IFERROR(IF(ISNUMBER(IFERROR(INDEX(Data!$AM$4:$AM$375,MATCH($D31,Data!$A$4:$A$375,0)),"")),IFERROR(INDEX(Data!$AM$4:$AM$375,MATCH($D31,Data!$A$4:$A$375,0)),""),NA()),NA())</f>
        <v/>
      </c>
      <c r="N31" s="345">
        <f>IFERROR(IF(ISNUMBER(IFERROR(INDEX(Data!$AN$4:$AN$375,MATCH($D31,Data!$A$4:$A$375,0)),"")),IFERROR(INDEX(Data!$AN$4:$AN$375,MATCH($D31,Data!$A$4:$A$375,0)),""),NA()),NA())</f>
        <v/>
      </c>
      <c r="P31" s="346">
        <f>DATE(2026,9,28)+189</f>
        <v/>
      </c>
      <c r="Q31" s="347">
        <f>IFERROR(AVERAGEIFS(Data!$AF$4:$AF$375,Data!$A$4:$A$375,"&gt;="&amp;P31,Data!$A$4:$A$375,"&lt;="&amp;(P31+6),Data!$AF$4:$AF$375,"&gt;0"),NA())</f>
        <v/>
      </c>
    </row>
    <row r="32">
      <c r="A32" s="341" t="inlineStr">
        <is>
          <t>k_T_xmob</t>
        </is>
      </c>
      <c r="B32" s="349">
        <f>IFERROR(INDEX(Data!$AD$4:$AD$375,MATCH(AsOf,Data!$A$4:$A$375,0)),"")</f>
        <v/>
      </c>
      <c r="D32" s="343">
        <f>AsOf-31</f>
        <v/>
      </c>
      <c r="E32" s="344">
        <f>IFERROR(IF(ISNUMBER(IFERROR(INDEX(Data!$BF$4:$BF$375,MATCH($D32,Data!$A$4:$A$375,0)),"")),IFERROR(INDEX(Data!$BF$4:$BF$375,MATCH($D32,Data!$A$4:$A$375,0)),""),NA()),NA())</f>
        <v/>
      </c>
      <c r="F32" s="344">
        <f>IFERROR(IF(ISNUMBER(IFERROR(INDEX(Data!$BG$4:$BG$375,MATCH($D32,Data!$A$4:$A$375,0)),"")),IFERROR(INDEX(Data!$BG$4:$BG$375,MATCH($D32,Data!$A$4:$A$375,0)),""),NA()),NA())</f>
        <v/>
      </c>
      <c r="G32" s="345">
        <f>IFERROR(IF(ISNUMBER(IFERROR(INDEX(Data!$AF$4:$AF$375,MATCH($D32,Data!$A$4:$A$375,0)),"")),IFERROR(INDEX(Data!$AF$4:$AF$375,MATCH($D32,Data!$A$4:$A$375,0)),""),NA()),NA())</f>
        <v/>
      </c>
      <c r="H32" s="345">
        <f>IFERROR(IF(ISNUMBER(IFERROR(INDEX(Data!$BI$4:$BI$375,MATCH($D32,Data!$A$4:$A$375,0)),"")),IFERROR(INDEX(Data!$BI$4:$BI$375,MATCH($D32,Data!$A$4:$A$375,0)),""),NA()),NA())</f>
        <v/>
      </c>
      <c r="I32" s="345">
        <f>IFERROR(IF(ISNUMBER(IFERROR(INDEX(Data!$AG$4:$AG$375,MATCH($D32,Data!$A$4:$A$375,0)),"")),IFERROR(INDEX(Data!$AG$4:$AG$375,MATCH($D32,Data!$A$4:$A$375,0)),""),NA()),NA())</f>
        <v/>
      </c>
      <c r="J32" s="345">
        <f>IFERROR(IF(ISNUMBER(IFERROR(INDEX(Data!$AR$4:$AR$375,MATCH($D32,Data!$A$4:$A$375,0)),"")),IFERROR(INDEX(Data!$AR$4:$AR$375,MATCH($D32,Data!$A$4:$A$375,0)),""),NA()),NA())</f>
        <v/>
      </c>
      <c r="K32" s="345">
        <f>IFERROR(IF(ISNUMBER(IFERROR(INDEX(Data!$AK$4:$AK$375,MATCH($D32,Data!$A$4:$A$375,0)),"")),IFERROR(INDEX(Data!$AK$4:$AK$375,MATCH($D32,Data!$A$4:$A$375,0)),""),NA()),NA())</f>
        <v/>
      </c>
      <c r="L32" s="345">
        <f>IFERROR(IF(ISNUMBER(IFERROR(INDEX(Data!$AL$4:$AL$375,MATCH($D32,Data!$A$4:$A$375,0)),"")),IFERROR(INDEX(Data!$AL$4:$AL$375,MATCH($D32,Data!$A$4:$A$375,0)),""),NA()),NA())</f>
        <v/>
      </c>
      <c r="M32" s="345">
        <f>IFERROR(IF(ISNUMBER(IFERROR(INDEX(Data!$AM$4:$AM$375,MATCH($D32,Data!$A$4:$A$375,0)),"")),IFERROR(INDEX(Data!$AM$4:$AM$375,MATCH($D32,Data!$A$4:$A$375,0)),""),NA()),NA())</f>
        <v/>
      </c>
      <c r="N32" s="345">
        <f>IFERROR(IF(ISNUMBER(IFERROR(INDEX(Data!$AN$4:$AN$375,MATCH($D32,Data!$A$4:$A$375,0)),"")),IFERROR(INDEX(Data!$AN$4:$AN$375,MATCH($D32,Data!$A$4:$A$375,0)),""),NA()),NA())</f>
        <v/>
      </c>
      <c r="P32" s="346">
        <f>DATE(2026,9,28)+196</f>
        <v/>
      </c>
      <c r="Q32" s="347">
        <f>IFERROR(AVERAGEIFS(Data!$AF$4:$AF$375,Data!$A$4:$A$375,"&gt;="&amp;P32,Data!$A$4:$A$375,"&lt;="&amp;(P32+6),Data!$AF$4:$AF$375,"&gt;0"),NA())</f>
        <v/>
      </c>
    </row>
    <row r="33">
      <c r="A33" s="341" t="inlineStr">
        <is>
          <t>k_T_xread</t>
        </is>
      </c>
      <c r="B33" s="349">
        <f>IFERROR(INDEX(Data!$AE$4:$AE$375,MATCH(AsOf,Data!$A$4:$A$375,0)),"")</f>
        <v/>
      </c>
      <c r="D33" s="343">
        <f>AsOf-30</f>
        <v/>
      </c>
      <c r="E33" s="344">
        <f>IFERROR(IF(ISNUMBER(IFERROR(INDEX(Data!$BF$4:$BF$375,MATCH($D33,Data!$A$4:$A$375,0)),"")),IFERROR(INDEX(Data!$BF$4:$BF$375,MATCH($D33,Data!$A$4:$A$375,0)),""),NA()),NA())</f>
        <v/>
      </c>
      <c r="F33" s="344">
        <f>IFERROR(IF(ISNUMBER(IFERROR(INDEX(Data!$BG$4:$BG$375,MATCH($D33,Data!$A$4:$A$375,0)),"")),IFERROR(INDEX(Data!$BG$4:$BG$375,MATCH($D33,Data!$A$4:$A$375,0)),""),NA()),NA())</f>
        <v/>
      </c>
      <c r="G33" s="345">
        <f>IFERROR(IF(ISNUMBER(IFERROR(INDEX(Data!$AF$4:$AF$375,MATCH($D33,Data!$A$4:$A$375,0)),"")),IFERROR(INDEX(Data!$AF$4:$AF$375,MATCH($D33,Data!$A$4:$A$375,0)),""),NA()),NA())</f>
        <v/>
      </c>
      <c r="H33" s="345">
        <f>IFERROR(IF(ISNUMBER(IFERROR(INDEX(Data!$BI$4:$BI$375,MATCH($D33,Data!$A$4:$A$375,0)),"")),IFERROR(INDEX(Data!$BI$4:$BI$375,MATCH($D33,Data!$A$4:$A$375,0)),""),NA()),NA())</f>
        <v/>
      </c>
      <c r="I33" s="345">
        <f>IFERROR(IF(ISNUMBER(IFERROR(INDEX(Data!$AG$4:$AG$375,MATCH($D33,Data!$A$4:$A$375,0)),"")),IFERROR(INDEX(Data!$AG$4:$AG$375,MATCH($D33,Data!$A$4:$A$375,0)),""),NA()),NA())</f>
        <v/>
      </c>
      <c r="J33" s="345">
        <f>IFERROR(IF(ISNUMBER(IFERROR(INDEX(Data!$AR$4:$AR$375,MATCH($D33,Data!$A$4:$A$375,0)),"")),IFERROR(INDEX(Data!$AR$4:$AR$375,MATCH($D33,Data!$A$4:$A$375,0)),""),NA()),NA())</f>
        <v/>
      </c>
      <c r="K33" s="345">
        <f>IFERROR(IF(ISNUMBER(IFERROR(INDEX(Data!$AK$4:$AK$375,MATCH($D33,Data!$A$4:$A$375,0)),"")),IFERROR(INDEX(Data!$AK$4:$AK$375,MATCH($D33,Data!$A$4:$A$375,0)),""),NA()),NA())</f>
        <v/>
      </c>
      <c r="L33" s="345">
        <f>IFERROR(IF(ISNUMBER(IFERROR(INDEX(Data!$AL$4:$AL$375,MATCH($D33,Data!$A$4:$A$375,0)),"")),IFERROR(INDEX(Data!$AL$4:$AL$375,MATCH($D33,Data!$A$4:$A$375,0)),""),NA()),NA())</f>
        <v/>
      </c>
      <c r="M33" s="345">
        <f>IFERROR(IF(ISNUMBER(IFERROR(INDEX(Data!$AM$4:$AM$375,MATCH($D33,Data!$A$4:$A$375,0)),"")),IFERROR(INDEX(Data!$AM$4:$AM$375,MATCH($D33,Data!$A$4:$A$375,0)),""),NA()),NA())</f>
        <v/>
      </c>
      <c r="N33" s="345">
        <f>IFERROR(IF(ISNUMBER(IFERROR(INDEX(Data!$AN$4:$AN$375,MATCH($D33,Data!$A$4:$A$375,0)),"")),IFERROR(INDEX(Data!$AN$4:$AN$375,MATCH($D33,Data!$A$4:$A$375,0)),""),NA()),NA())</f>
        <v/>
      </c>
      <c r="P33" s="346">
        <f>DATE(2026,9,28)+203</f>
        <v/>
      </c>
      <c r="Q33" s="347">
        <f>IFERROR(AVERAGEIFS(Data!$AF$4:$AF$375,Data!$A$4:$A$375,"&gt;="&amp;P33,Data!$A$4:$A$375,"&lt;="&amp;(P33+6),Data!$AF$4:$AF$375,"&gt;0"),NA())</f>
        <v/>
      </c>
    </row>
    <row r="34">
      <c r="A34" s="341" t="inlineStr">
        <is>
          <t>k_T_weight</t>
        </is>
      </c>
      <c r="B34" s="349">
        <f>IFERROR(INDEX(Data!$AF$4:$AF$375,MATCH(AsOf,Data!$A$4:$A$375,0)),"")</f>
        <v/>
      </c>
      <c r="D34" s="343">
        <f>AsOf-29</f>
        <v/>
      </c>
      <c r="E34" s="344">
        <f>IFERROR(IF(ISNUMBER(IFERROR(INDEX(Data!$BF$4:$BF$375,MATCH($D34,Data!$A$4:$A$375,0)),"")),IFERROR(INDEX(Data!$BF$4:$BF$375,MATCH($D34,Data!$A$4:$A$375,0)),""),NA()),NA())</f>
        <v/>
      </c>
      <c r="F34" s="344">
        <f>IFERROR(IF(ISNUMBER(IFERROR(INDEX(Data!$BG$4:$BG$375,MATCH($D34,Data!$A$4:$A$375,0)),"")),IFERROR(INDEX(Data!$BG$4:$BG$375,MATCH($D34,Data!$A$4:$A$375,0)),""),NA()),NA())</f>
        <v/>
      </c>
      <c r="G34" s="345">
        <f>IFERROR(IF(ISNUMBER(IFERROR(INDEX(Data!$AF$4:$AF$375,MATCH($D34,Data!$A$4:$A$375,0)),"")),IFERROR(INDEX(Data!$AF$4:$AF$375,MATCH($D34,Data!$A$4:$A$375,0)),""),NA()),NA())</f>
        <v/>
      </c>
      <c r="H34" s="345">
        <f>IFERROR(IF(ISNUMBER(IFERROR(INDEX(Data!$BI$4:$BI$375,MATCH($D34,Data!$A$4:$A$375,0)),"")),IFERROR(INDEX(Data!$BI$4:$BI$375,MATCH($D34,Data!$A$4:$A$375,0)),""),NA()),NA())</f>
        <v/>
      </c>
      <c r="I34" s="345">
        <f>IFERROR(IF(ISNUMBER(IFERROR(INDEX(Data!$AG$4:$AG$375,MATCH($D34,Data!$A$4:$A$375,0)),"")),IFERROR(INDEX(Data!$AG$4:$AG$375,MATCH($D34,Data!$A$4:$A$375,0)),""),NA()),NA())</f>
        <v/>
      </c>
      <c r="J34" s="345">
        <f>IFERROR(IF(ISNUMBER(IFERROR(INDEX(Data!$AR$4:$AR$375,MATCH($D34,Data!$A$4:$A$375,0)),"")),IFERROR(INDEX(Data!$AR$4:$AR$375,MATCH($D34,Data!$A$4:$A$375,0)),""),NA()),NA())</f>
        <v/>
      </c>
      <c r="K34" s="345">
        <f>IFERROR(IF(ISNUMBER(IFERROR(INDEX(Data!$AK$4:$AK$375,MATCH($D34,Data!$A$4:$A$375,0)),"")),IFERROR(INDEX(Data!$AK$4:$AK$375,MATCH($D34,Data!$A$4:$A$375,0)),""),NA()),NA())</f>
        <v/>
      </c>
      <c r="L34" s="345">
        <f>IFERROR(IF(ISNUMBER(IFERROR(INDEX(Data!$AL$4:$AL$375,MATCH($D34,Data!$A$4:$A$375,0)),"")),IFERROR(INDEX(Data!$AL$4:$AL$375,MATCH($D34,Data!$A$4:$A$375,0)),""),NA()),NA())</f>
        <v/>
      </c>
      <c r="M34" s="345">
        <f>IFERROR(IF(ISNUMBER(IFERROR(INDEX(Data!$AM$4:$AM$375,MATCH($D34,Data!$A$4:$A$375,0)),"")),IFERROR(INDEX(Data!$AM$4:$AM$375,MATCH($D34,Data!$A$4:$A$375,0)),""),NA()),NA())</f>
        <v/>
      </c>
      <c r="N34" s="345">
        <f>IFERROR(IF(ISNUMBER(IFERROR(INDEX(Data!$AN$4:$AN$375,MATCH($D34,Data!$A$4:$A$375,0)),"")),IFERROR(INDEX(Data!$AN$4:$AN$375,MATCH($D34,Data!$A$4:$A$375,0)),""),NA()),NA())</f>
        <v/>
      </c>
      <c r="P34" s="346">
        <f>DATE(2026,9,28)+210</f>
        <v/>
      </c>
      <c r="Q34" s="347">
        <f>IFERROR(AVERAGEIFS(Data!$AF$4:$AF$375,Data!$A$4:$A$375,"&gt;="&amp;P34,Data!$A$4:$A$375,"&lt;="&amp;(P34+6),Data!$AF$4:$AF$375,"&gt;0"),NA())</f>
        <v/>
      </c>
    </row>
    <row r="35">
      <c r="A35" s="341" t="inlineStr">
        <is>
          <t>k_T_steps</t>
        </is>
      </c>
      <c r="B35" s="349">
        <f>IFERROR(INDEX(Data!$AG$4:$AG$375,MATCH(AsOf,Data!$A$4:$A$375,0)),"")</f>
        <v/>
      </c>
      <c r="D35" s="343">
        <f>AsOf-28</f>
        <v/>
      </c>
      <c r="E35" s="344">
        <f>IFERROR(IF(ISNUMBER(IFERROR(INDEX(Data!$BF$4:$BF$375,MATCH($D35,Data!$A$4:$A$375,0)),"")),IFERROR(INDEX(Data!$BF$4:$BF$375,MATCH($D35,Data!$A$4:$A$375,0)),""),NA()),NA())</f>
        <v/>
      </c>
      <c r="F35" s="344">
        <f>IFERROR(IF(ISNUMBER(IFERROR(INDEX(Data!$BG$4:$BG$375,MATCH($D35,Data!$A$4:$A$375,0)),"")),IFERROR(INDEX(Data!$BG$4:$BG$375,MATCH($D35,Data!$A$4:$A$375,0)),""),NA()),NA())</f>
        <v/>
      </c>
      <c r="G35" s="345">
        <f>IFERROR(IF(ISNUMBER(IFERROR(INDEX(Data!$AF$4:$AF$375,MATCH($D35,Data!$A$4:$A$375,0)),"")),IFERROR(INDEX(Data!$AF$4:$AF$375,MATCH($D35,Data!$A$4:$A$375,0)),""),NA()),NA())</f>
        <v/>
      </c>
      <c r="H35" s="345">
        <f>IFERROR(IF(ISNUMBER(IFERROR(INDEX(Data!$BI$4:$BI$375,MATCH($D35,Data!$A$4:$A$375,0)),"")),IFERROR(INDEX(Data!$BI$4:$BI$375,MATCH($D35,Data!$A$4:$A$375,0)),""),NA()),NA())</f>
        <v/>
      </c>
      <c r="I35" s="345">
        <f>IFERROR(IF(ISNUMBER(IFERROR(INDEX(Data!$AG$4:$AG$375,MATCH($D35,Data!$A$4:$A$375,0)),"")),IFERROR(INDEX(Data!$AG$4:$AG$375,MATCH($D35,Data!$A$4:$A$375,0)),""),NA()),NA())</f>
        <v/>
      </c>
      <c r="J35" s="345">
        <f>IFERROR(IF(ISNUMBER(IFERROR(INDEX(Data!$AR$4:$AR$375,MATCH($D35,Data!$A$4:$A$375,0)),"")),IFERROR(INDEX(Data!$AR$4:$AR$375,MATCH($D35,Data!$A$4:$A$375,0)),""),NA()),NA())</f>
        <v/>
      </c>
      <c r="K35" s="345">
        <f>IFERROR(IF(ISNUMBER(IFERROR(INDEX(Data!$AK$4:$AK$375,MATCH($D35,Data!$A$4:$A$375,0)),"")),IFERROR(INDEX(Data!$AK$4:$AK$375,MATCH($D35,Data!$A$4:$A$375,0)),""),NA()),NA())</f>
        <v/>
      </c>
      <c r="L35" s="345">
        <f>IFERROR(IF(ISNUMBER(IFERROR(INDEX(Data!$AL$4:$AL$375,MATCH($D35,Data!$A$4:$A$375,0)),"")),IFERROR(INDEX(Data!$AL$4:$AL$375,MATCH($D35,Data!$A$4:$A$375,0)),""),NA()),NA())</f>
        <v/>
      </c>
      <c r="M35" s="345">
        <f>IFERROR(IF(ISNUMBER(IFERROR(INDEX(Data!$AM$4:$AM$375,MATCH($D35,Data!$A$4:$A$375,0)),"")),IFERROR(INDEX(Data!$AM$4:$AM$375,MATCH($D35,Data!$A$4:$A$375,0)),""),NA()),NA())</f>
        <v/>
      </c>
      <c r="N35" s="345">
        <f>IFERROR(IF(ISNUMBER(IFERROR(INDEX(Data!$AN$4:$AN$375,MATCH($D35,Data!$A$4:$A$375,0)),"")),IFERROR(INDEX(Data!$AN$4:$AN$375,MATCH($D35,Data!$A$4:$A$375,0)),""),NA()),NA())</f>
        <v/>
      </c>
      <c r="P35" s="346">
        <f>DATE(2026,9,28)+217</f>
        <v/>
      </c>
      <c r="Q35" s="347">
        <f>IFERROR(AVERAGEIFS(Data!$AF$4:$AF$375,Data!$A$4:$A$375,"&gt;="&amp;P35,Data!$A$4:$A$375,"&lt;="&amp;(P35+6),Data!$AF$4:$AF$375,"&gt;0"),NA())</f>
        <v/>
      </c>
    </row>
    <row r="36">
      <c r="A36" s="341" t="inlineStr">
        <is>
          <t>k_T_protein</t>
        </is>
      </c>
      <c r="B36" s="349">
        <f>IFERROR(INDEX(Data!$AH$4:$AH$375,MATCH(AsOf,Data!$A$4:$A$375,0)),"")</f>
        <v/>
      </c>
      <c r="D36" s="343">
        <f>AsOf-27</f>
        <v/>
      </c>
      <c r="E36" s="344">
        <f>IFERROR(IF(ISNUMBER(IFERROR(INDEX(Data!$BF$4:$BF$375,MATCH($D36,Data!$A$4:$A$375,0)),"")),IFERROR(INDEX(Data!$BF$4:$BF$375,MATCH($D36,Data!$A$4:$A$375,0)),""),NA()),NA())</f>
        <v/>
      </c>
      <c r="F36" s="344">
        <f>IFERROR(IF(ISNUMBER(IFERROR(INDEX(Data!$BG$4:$BG$375,MATCH($D36,Data!$A$4:$A$375,0)),"")),IFERROR(INDEX(Data!$BG$4:$BG$375,MATCH($D36,Data!$A$4:$A$375,0)),""),NA()),NA())</f>
        <v/>
      </c>
      <c r="G36" s="345">
        <f>IFERROR(IF(ISNUMBER(IFERROR(INDEX(Data!$AF$4:$AF$375,MATCH($D36,Data!$A$4:$A$375,0)),"")),IFERROR(INDEX(Data!$AF$4:$AF$375,MATCH($D36,Data!$A$4:$A$375,0)),""),NA()),NA())</f>
        <v/>
      </c>
      <c r="H36" s="345">
        <f>IFERROR(IF(ISNUMBER(IFERROR(INDEX(Data!$BI$4:$BI$375,MATCH($D36,Data!$A$4:$A$375,0)),"")),IFERROR(INDEX(Data!$BI$4:$BI$375,MATCH($D36,Data!$A$4:$A$375,0)),""),NA()),NA())</f>
        <v/>
      </c>
      <c r="I36" s="345">
        <f>IFERROR(IF(ISNUMBER(IFERROR(INDEX(Data!$AG$4:$AG$375,MATCH($D36,Data!$A$4:$A$375,0)),"")),IFERROR(INDEX(Data!$AG$4:$AG$375,MATCH($D36,Data!$A$4:$A$375,0)),""),NA()),NA())</f>
        <v/>
      </c>
      <c r="J36" s="345">
        <f>IFERROR(IF(ISNUMBER(IFERROR(INDEX(Data!$AR$4:$AR$375,MATCH($D36,Data!$A$4:$A$375,0)),"")),IFERROR(INDEX(Data!$AR$4:$AR$375,MATCH($D36,Data!$A$4:$A$375,0)),""),NA()),NA())</f>
        <v/>
      </c>
      <c r="K36" s="345">
        <f>IFERROR(IF(ISNUMBER(IFERROR(INDEX(Data!$AK$4:$AK$375,MATCH($D36,Data!$A$4:$A$375,0)),"")),IFERROR(INDEX(Data!$AK$4:$AK$375,MATCH($D36,Data!$A$4:$A$375,0)),""),NA()),NA())</f>
        <v/>
      </c>
      <c r="L36" s="345">
        <f>IFERROR(IF(ISNUMBER(IFERROR(INDEX(Data!$AL$4:$AL$375,MATCH($D36,Data!$A$4:$A$375,0)),"")),IFERROR(INDEX(Data!$AL$4:$AL$375,MATCH($D36,Data!$A$4:$A$375,0)),""),NA()),NA())</f>
        <v/>
      </c>
      <c r="M36" s="345">
        <f>IFERROR(IF(ISNUMBER(IFERROR(INDEX(Data!$AM$4:$AM$375,MATCH($D36,Data!$A$4:$A$375,0)),"")),IFERROR(INDEX(Data!$AM$4:$AM$375,MATCH($D36,Data!$A$4:$A$375,0)),""),NA()),NA())</f>
        <v/>
      </c>
      <c r="N36" s="345">
        <f>IFERROR(IF(ISNUMBER(IFERROR(INDEX(Data!$AN$4:$AN$375,MATCH($D36,Data!$A$4:$A$375,0)),"")),IFERROR(INDEX(Data!$AN$4:$AN$375,MATCH($D36,Data!$A$4:$A$375,0)),""),NA()),NA())</f>
        <v/>
      </c>
      <c r="P36" s="346">
        <f>DATE(2026,9,28)+224</f>
        <v/>
      </c>
      <c r="Q36" s="347">
        <f>IFERROR(AVERAGEIFS(Data!$AF$4:$AF$375,Data!$A$4:$A$375,"&gt;="&amp;P36,Data!$A$4:$A$375,"&lt;="&amp;(P36+6),Data!$AF$4:$AF$375,"&gt;0"),NA())</f>
        <v/>
      </c>
    </row>
    <row r="37">
      <c r="A37" s="341" t="inlineStr">
        <is>
          <t>k_T_water</t>
        </is>
      </c>
      <c r="B37" s="349">
        <f>IFERROR(INDEX(Data!$AI$4:$AI$375,MATCH(AsOf,Data!$A$4:$A$375,0)),"")</f>
        <v/>
      </c>
      <c r="D37" s="343">
        <f>AsOf-26</f>
        <v/>
      </c>
      <c r="E37" s="344">
        <f>IFERROR(IF(ISNUMBER(IFERROR(INDEX(Data!$BF$4:$BF$375,MATCH($D37,Data!$A$4:$A$375,0)),"")),IFERROR(INDEX(Data!$BF$4:$BF$375,MATCH($D37,Data!$A$4:$A$375,0)),""),NA()),NA())</f>
        <v/>
      </c>
      <c r="F37" s="344">
        <f>IFERROR(IF(ISNUMBER(IFERROR(INDEX(Data!$BG$4:$BG$375,MATCH($D37,Data!$A$4:$A$375,0)),"")),IFERROR(INDEX(Data!$BG$4:$BG$375,MATCH($D37,Data!$A$4:$A$375,0)),""),NA()),NA())</f>
        <v/>
      </c>
      <c r="G37" s="345">
        <f>IFERROR(IF(ISNUMBER(IFERROR(INDEX(Data!$AF$4:$AF$375,MATCH($D37,Data!$A$4:$A$375,0)),"")),IFERROR(INDEX(Data!$AF$4:$AF$375,MATCH($D37,Data!$A$4:$A$375,0)),""),NA()),NA())</f>
        <v/>
      </c>
      <c r="H37" s="345">
        <f>IFERROR(IF(ISNUMBER(IFERROR(INDEX(Data!$BI$4:$BI$375,MATCH($D37,Data!$A$4:$A$375,0)),"")),IFERROR(INDEX(Data!$BI$4:$BI$375,MATCH($D37,Data!$A$4:$A$375,0)),""),NA()),NA())</f>
        <v/>
      </c>
      <c r="I37" s="345">
        <f>IFERROR(IF(ISNUMBER(IFERROR(INDEX(Data!$AG$4:$AG$375,MATCH($D37,Data!$A$4:$A$375,0)),"")),IFERROR(INDEX(Data!$AG$4:$AG$375,MATCH($D37,Data!$A$4:$A$375,0)),""),NA()),NA())</f>
        <v/>
      </c>
      <c r="J37" s="345">
        <f>IFERROR(IF(ISNUMBER(IFERROR(INDEX(Data!$AR$4:$AR$375,MATCH($D37,Data!$A$4:$A$375,0)),"")),IFERROR(INDEX(Data!$AR$4:$AR$375,MATCH($D37,Data!$A$4:$A$375,0)),""),NA()),NA())</f>
        <v/>
      </c>
      <c r="K37" s="345">
        <f>IFERROR(IF(ISNUMBER(IFERROR(INDEX(Data!$AK$4:$AK$375,MATCH($D37,Data!$A$4:$A$375,0)),"")),IFERROR(INDEX(Data!$AK$4:$AK$375,MATCH($D37,Data!$A$4:$A$375,0)),""),NA()),NA())</f>
        <v/>
      </c>
      <c r="L37" s="345">
        <f>IFERROR(IF(ISNUMBER(IFERROR(INDEX(Data!$AL$4:$AL$375,MATCH($D37,Data!$A$4:$A$375,0)),"")),IFERROR(INDEX(Data!$AL$4:$AL$375,MATCH($D37,Data!$A$4:$A$375,0)),""),NA()),NA())</f>
        <v/>
      </c>
      <c r="M37" s="345">
        <f>IFERROR(IF(ISNUMBER(IFERROR(INDEX(Data!$AM$4:$AM$375,MATCH($D37,Data!$A$4:$A$375,0)),"")),IFERROR(INDEX(Data!$AM$4:$AM$375,MATCH($D37,Data!$A$4:$A$375,0)),""),NA()),NA())</f>
        <v/>
      </c>
      <c r="N37" s="345">
        <f>IFERROR(IF(ISNUMBER(IFERROR(INDEX(Data!$AN$4:$AN$375,MATCH($D37,Data!$A$4:$A$375,0)),"")),IFERROR(INDEX(Data!$AN$4:$AN$375,MATCH($D37,Data!$A$4:$A$375,0)),""),NA()),NA())</f>
        <v/>
      </c>
      <c r="P37" s="346">
        <f>DATE(2026,9,28)+231</f>
        <v/>
      </c>
      <c r="Q37" s="347">
        <f>IFERROR(AVERAGEIFS(Data!$AF$4:$AF$375,Data!$A$4:$A$375,"&gt;="&amp;P37,Data!$A$4:$A$375,"&lt;="&amp;(P37+6),Data!$AF$4:$AF$375,"&gt;0"),NA())</f>
        <v/>
      </c>
    </row>
    <row r="38">
      <c r="A38" s="341" t="inlineStr">
        <is>
          <t>k_T_kcal</t>
        </is>
      </c>
      <c r="B38" s="349">
        <f>IFERROR(INDEX(Data!$AJ$4:$AJ$375,MATCH(AsOf,Data!$A$4:$A$375,0)),"")</f>
        <v/>
      </c>
      <c r="D38" s="343">
        <f>AsOf-25</f>
        <v/>
      </c>
      <c r="E38" s="344">
        <f>IFERROR(IF(ISNUMBER(IFERROR(INDEX(Data!$BF$4:$BF$375,MATCH($D38,Data!$A$4:$A$375,0)),"")),IFERROR(INDEX(Data!$BF$4:$BF$375,MATCH($D38,Data!$A$4:$A$375,0)),""),NA()),NA())</f>
        <v/>
      </c>
      <c r="F38" s="344">
        <f>IFERROR(IF(ISNUMBER(IFERROR(INDEX(Data!$BG$4:$BG$375,MATCH($D38,Data!$A$4:$A$375,0)),"")),IFERROR(INDEX(Data!$BG$4:$BG$375,MATCH($D38,Data!$A$4:$A$375,0)),""),NA()),NA())</f>
        <v/>
      </c>
      <c r="G38" s="345">
        <f>IFERROR(IF(ISNUMBER(IFERROR(INDEX(Data!$AF$4:$AF$375,MATCH($D38,Data!$A$4:$A$375,0)),"")),IFERROR(INDEX(Data!$AF$4:$AF$375,MATCH($D38,Data!$A$4:$A$375,0)),""),NA()),NA())</f>
        <v/>
      </c>
      <c r="H38" s="345">
        <f>IFERROR(IF(ISNUMBER(IFERROR(INDEX(Data!$BI$4:$BI$375,MATCH($D38,Data!$A$4:$A$375,0)),"")),IFERROR(INDEX(Data!$BI$4:$BI$375,MATCH($D38,Data!$A$4:$A$375,0)),""),NA()),NA())</f>
        <v/>
      </c>
      <c r="I38" s="345">
        <f>IFERROR(IF(ISNUMBER(IFERROR(INDEX(Data!$AG$4:$AG$375,MATCH($D38,Data!$A$4:$A$375,0)),"")),IFERROR(INDEX(Data!$AG$4:$AG$375,MATCH($D38,Data!$A$4:$A$375,0)),""),NA()),NA())</f>
        <v/>
      </c>
      <c r="J38" s="345">
        <f>IFERROR(IF(ISNUMBER(IFERROR(INDEX(Data!$AR$4:$AR$375,MATCH($D38,Data!$A$4:$A$375,0)),"")),IFERROR(INDEX(Data!$AR$4:$AR$375,MATCH($D38,Data!$A$4:$A$375,0)),""),NA()),NA())</f>
        <v/>
      </c>
      <c r="K38" s="345">
        <f>IFERROR(IF(ISNUMBER(IFERROR(INDEX(Data!$AK$4:$AK$375,MATCH($D38,Data!$A$4:$A$375,0)),"")),IFERROR(INDEX(Data!$AK$4:$AK$375,MATCH($D38,Data!$A$4:$A$375,0)),""),NA()),NA())</f>
        <v/>
      </c>
      <c r="L38" s="345">
        <f>IFERROR(IF(ISNUMBER(IFERROR(INDEX(Data!$AL$4:$AL$375,MATCH($D38,Data!$A$4:$A$375,0)),"")),IFERROR(INDEX(Data!$AL$4:$AL$375,MATCH($D38,Data!$A$4:$A$375,0)),""),NA()),NA())</f>
        <v/>
      </c>
      <c r="M38" s="345">
        <f>IFERROR(IF(ISNUMBER(IFERROR(INDEX(Data!$AM$4:$AM$375,MATCH($D38,Data!$A$4:$A$375,0)),"")),IFERROR(INDEX(Data!$AM$4:$AM$375,MATCH($D38,Data!$A$4:$A$375,0)),""),NA()),NA())</f>
        <v/>
      </c>
      <c r="N38" s="345">
        <f>IFERROR(IF(ISNUMBER(IFERROR(INDEX(Data!$AN$4:$AN$375,MATCH($D38,Data!$A$4:$A$375,0)),"")),IFERROR(INDEX(Data!$AN$4:$AN$375,MATCH($D38,Data!$A$4:$A$375,0)),""),NA()),NA())</f>
        <v/>
      </c>
      <c r="P38" s="346">
        <f>DATE(2026,9,28)+238</f>
        <v/>
      </c>
      <c r="Q38" s="347">
        <f>IFERROR(AVERAGEIFS(Data!$AF$4:$AF$375,Data!$A$4:$A$375,"&gt;="&amp;P38,Data!$A$4:$A$375,"&lt;="&amp;(P38+6),Data!$AF$4:$AF$375,"&gt;0"),NA())</f>
        <v/>
      </c>
    </row>
    <row r="39">
      <c r="A39" s="341" t="inlineStr">
        <is>
          <t>k_T_sleeph</t>
        </is>
      </c>
      <c r="B39" s="349">
        <f>IFERROR(INDEX(Data!$AK$4:$AK$375,MATCH(AsOf,Data!$A$4:$A$375,0)),"")</f>
        <v/>
      </c>
      <c r="D39" s="343">
        <f>AsOf-24</f>
        <v/>
      </c>
      <c r="E39" s="344">
        <f>IFERROR(IF(ISNUMBER(IFERROR(INDEX(Data!$BF$4:$BF$375,MATCH($D39,Data!$A$4:$A$375,0)),"")),IFERROR(INDEX(Data!$BF$4:$BF$375,MATCH($D39,Data!$A$4:$A$375,0)),""),NA()),NA())</f>
        <v/>
      </c>
      <c r="F39" s="344">
        <f>IFERROR(IF(ISNUMBER(IFERROR(INDEX(Data!$BG$4:$BG$375,MATCH($D39,Data!$A$4:$A$375,0)),"")),IFERROR(INDEX(Data!$BG$4:$BG$375,MATCH($D39,Data!$A$4:$A$375,0)),""),NA()),NA())</f>
        <v/>
      </c>
      <c r="G39" s="345">
        <f>IFERROR(IF(ISNUMBER(IFERROR(INDEX(Data!$AF$4:$AF$375,MATCH($D39,Data!$A$4:$A$375,0)),"")),IFERROR(INDEX(Data!$AF$4:$AF$375,MATCH($D39,Data!$A$4:$A$375,0)),""),NA()),NA())</f>
        <v/>
      </c>
      <c r="H39" s="345">
        <f>IFERROR(IF(ISNUMBER(IFERROR(INDEX(Data!$BI$4:$BI$375,MATCH($D39,Data!$A$4:$A$375,0)),"")),IFERROR(INDEX(Data!$BI$4:$BI$375,MATCH($D39,Data!$A$4:$A$375,0)),""),NA()),NA())</f>
        <v/>
      </c>
      <c r="I39" s="345">
        <f>IFERROR(IF(ISNUMBER(IFERROR(INDEX(Data!$AG$4:$AG$375,MATCH($D39,Data!$A$4:$A$375,0)),"")),IFERROR(INDEX(Data!$AG$4:$AG$375,MATCH($D39,Data!$A$4:$A$375,0)),""),NA()),NA())</f>
        <v/>
      </c>
      <c r="J39" s="345">
        <f>IFERROR(IF(ISNUMBER(IFERROR(INDEX(Data!$AR$4:$AR$375,MATCH($D39,Data!$A$4:$A$375,0)),"")),IFERROR(INDEX(Data!$AR$4:$AR$375,MATCH($D39,Data!$A$4:$A$375,0)),""),NA()),NA())</f>
        <v/>
      </c>
      <c r="K39" s="345">
        <f>IFERROR(IF(ISNUMBER(IFERROR(INDEX(Data!$AK$4:$AK$375,MATCH($D39,Data!$A$4:$A$375,0)),"")),IFERROR(INDEX(Data!$AK$4:$AK$375,MATCH($D39,Data!$A$4:$A$375,0)),""),NA()),NA())</f>
        <v/>
      </c>
      <c r="L39" s="345">
        <f>IFERROR(IF(ISNUMBER(IFERROR(INDEX(Data!$AL$4:$AL$375,MATCH($D39,Data!$A$4:$A$375,0)),"")),IFERROR(INDEX(Data!$AL$4:$AL$375,MATCH($D39,Data!$A$4:$A$375,0)),""),NA()),NA())</f>
        <v/>
      </c>
      <c r="M39" s="345">
        <f>IFERROR(IF(ISNUMBER(IFERROR(INDEX(Data!$AM$4:$AM$375,MATCH($D39,Data!$A$4:$A$375,0)),"")),IFERROR(INDEX(Data!$AM$4:$AM$375,MATCH($D39,Data!$A$4:$A$375,0)),""),NA()),NA())</f>
        <v/>
      </c>
      <c r="N39" s="345">
        <f>IFERROR(IF(ISNUMBER(IFERROR(INDEX(Data!$AN$4:$AN$375,MATCH($D39,Data!$A$4:$A$375,0)),"")),IFERROR(INDEX(Data!$AN$4:$AN$375,MATCH($D39,Data!$A$4:$A$375,0)),""),NA()),NA())</f>
        <v/>
      </c>
      <c r="P39" s="346">
        <f>DATE(2026,9,28)+245</f>
        <v/>
      </c>
      <c r="Q39" s="347">
        <f>IFERROR(AVERAGEIFS(Data!$AF$4:$AF$375,Data!$A$4:$A$375,"&gt;="&amp;P39,Data!$A$4:$A$375,"&lt;="&amp;(P39+6),Data!$AF$4:$AF$375,"&gt;0"),NA())</f>
        <v/>
      </c>
    </row>
    <row r="40">
      <c r="A40" s="341" t="inlineStr">
        <is>
          <t>k_T_energy</t>
        </is>
      </c>
      <c r="B40" s="349">
        <f>IFERROR(INDEX(Data!$AL$4:$AL$375,MATCH(AsOf,Data!$A$4:$A$375,0)),"")</f>
        <v/>
      </c>
      <c r="D40" s="343">
        <f>AsOf-23</f>
        <v/>
      </c>
      <c r="E40" s="344">
        <f>IFERROR(IF(ISNUMBER(IFERROR(INDEX(Data!$BF$4:$BF$375,MATCH($D40,Data!$A$4:$A$375,0)),"")),IFERROR(INDEX(Data!$BF$4:$BF$375,MATCH($D40,Data!$A$4:$A$375,0)),""),NA()),NA())</f>
        <v/>
      </c>
      <c r="F40" s="344">
        <f>IFERROR(IF(ISNUMBER(IFERROR(INDEX(Data!$BG$4:$BG$375,MATCH($D40,Data!$A$4:$A$375,0)),"")),IFERROR(INDEX(Data!$BG$4:$BG$375,MATCH($D40,Data!$A$4:$A$375,0)),""),NA()),NA())</f>
        <v/>
      </c>
      <c r="G40" s="345">
        <f>IFERROR(IF(ISNUMBER(IFERROR(INDEX(Data!$AF$4:$AF$375,MATCH($D40,Data!$A$4:$A$375,0)),"")),IFERROR(INDEX(Data!$AF$4:$AF$375,MATCH($D40,Data!$A$4:$A$375,0)),""),NA()),NA())</f>
        <v/>
      </c>
      <c r="H40" s="345">
        <f>IFERROR(IF(ISNUMBER(IFERROR(INDEX(Data!$BI$4:$BI$375,MATCH($D40,Data!$A$4:$A$375,0)),"")),IFERROR(INDEX(Data!$BI$4:$BI$375,MATCH($D40,Data!$A$4:$A$375,0)),""),NA()),NA())</f>
        <v/>
      </c>
      <c r="I40" s="345">
        <f>IFERROR(IF(ISNUMBER(IFERROR(INDEX(Data!$AG$4:$AG$375,MATCH($D40,Data!$A$4:$A$375,0)),"")),IFERROR(INDEX(Data!$AG$4:$AG$375,MATCH($D40,Data!$A$4:$A$375,0)),""),NA()),NA())</f>
        <v/>
      </c>
      <c r="J40" s="345">
        <f>IFERROR(IF(ISNUMBER(IFERROR(INDEX(Data!$AR$4:$AR$375,MATCH($D40,Data!$A$4:$A$375,0)),"")),IFERROR(INDEX(Data!$AR$4:$AR$375,MATCH($D40,Data!$A$4:$A$375,0)),""),NA()),NA())</f>
        <v/>
      </c>
      <c r="K40" s="345">
        <f>IFERROR(IF(ISNUMBER(IFERROR(INDEX(Data!$AK$4:$AK$375,MATCH($D40,Data!$A$4:$A$375,0)),"")),IFERROR(INDEX(Data!$AK$4:$AK$375,MATCH($D40,Data!$A$4:$A$375,0)),""),NA()),NA())</f>
        <v/>
      </c>
      <c r="L40" s="345">
        <f>IFERROR(IF(ISNUMBER(IFERROR(INDEX(Data!$AL$4:$AL$375,MATCH($D40,Data!$A$4:$A$375,0)),"")),IFERROR(INDEX(Data!$AL$4:$AL$375,MATCH($D40,Data!$A$4:$A$375,0)),""),NA()),NA())</f>
        <v/>
      </c>
      <c r="M40" s="345">
        <f>IFERROR(IF(ISNUMBER(IFERROR(INDEX(Data!$AM$4:$AM$375,MATCH($D40,Data!$A$4:$A$375,0)),"")),IFERROR(INDEX(Data!$AM$4:$AM$375,MATCH($D40,Data!$A$4:$A$375,0)),""),NA()),NA())</f>
        <v/>
      </c>
      <c r="N40" s="345">
        <f>IFERROR(IF(ISNUMBER(IFERROR(INDEX(Data!$AN$4:$AN$375,MATCH($D40,Data!$A$4:$A$375,0)),"")),IFERROR(INDEX(Data!$AN$4:$AN$375,MATCH($D40,Data!$A$4:$A$375,0)),""),NA()),NA())</f>
        <v/>
      </c>
      <c r="P40" s="346">
        <f>DATE(2026,9,28)+252</f>
        <v/>
      </c>
      <c r="Q40" s="347">
        <f>IFERROR(AVERAGEIFS(Data!$AF$4:$AF$375,Data!$A$4:$A$375,"&gt;="&amp;P40,Data!$A$4:$A$375,"&lt;="&amp;(P40+6),Data!$AF$4:$AF$375,"&gt;0"),NA())</f>
        <v/>
      </c>
    </row>
    <row r="41">
      <c r="A41" s="341" t="inlineStr">
        <is>
          <t>k_T_stress</t>
        </is>
      </c>
      <c r="B41" s="349">
        <f>IFERROR(INDEX(Data!$AM$4:$AM$375,MATCH(AsOf,Data!$A$4:$A$375,0)),"")</f>
        <v/>
      </c>
      <c r="D41" s="343">
        <f>AsOf-22</f>
        <v/>
      </c>
      <c r="E41" s="344">
        <f>IFERROR(IF(ISNUMBER(IFERROR(INDEX(Data!$BF$4:$BF$375,MATCH($D41,Data!$A$4:$A$375,0)),"")),IFERROR(INDEX(Data!$BF$4:$BF$375,MATCH($D41,Data!$A$4:$A$375,0)),""),NA()),NA())</f>
        <v/>
      </c>
      <c r="F41" s="344">
        <f>IFERROR(IF(ISNUMBER(IFERROR(INDEX(Data!$BG$4:$BG$375,MATCH($D41,Data!$A$4:$A$375,0)),"")),IFERROR(INDEX(Data!$BG$4:$BG$375,MATCH($D41,Data!$A$4:$A$375,0)),""),NA()),NA())</f>
        <v/>
      </c>
      <c r="G41" s="345">
        <f>IFERROR(IF(ISNUMBER(IFERROR(INDEX(Data!$AF$4:$AF$375,MATCH($D41,Data!$A$4:$A$375,0)),"")),IFERROR(INDEX(Data!$AF$4:$AF$375,MATCH($D41,Data!$A$4:$A$375,0)),""),NA()),NA())</f>
        <v/>
      </c>
      <c r="H41" s="345">
        <f>IFERROR(IF(ISNUMBER(IFERROR(INDEX(Data!$BI$4:$BI$375,MATCH($D41,Data!$A$4:$A$375,0)),"")),IFERROR(INDEX(Data!$BI$4:$BI$375,MATCH($D41,Data!$A$4:$A$375,0)),""),NA()),NA())</f>
        <v/>
      </c>
      <c r="I41" s="345">
        <f>IFERROR(IF(ISNUMBER(IFERROR(INDEX(Data!$AG$4:$AG$375,MATCH($D41,Data!$A$4:$A$375,0)),"")),IFERROR(INDEX(Data!$AG$4:$AG$375,MATCH($D41,Data!$A$4:$A$375,0)),""),NA()),NA())</f>
        <v/>
      </c>
      <c r="J41" s="345">
        <f>IFERROR(IF(ISNUMBER(IFERROR(INDEX(Data!$AR$4:$AR$375,MATCH($D41,Data!$A$4:$A$375,0)),"")),IFERROR(INDEX(Data!$AR$4:$AR$375,MATCH($D41,Data!$A$4:$A$375,0)),""),NA()),NA())</f>
        <v/>
      </c>
      <c r="K41" s="345">
        <f>IFERROR(IF(ISNUMBER(IFERROR(INDEX(Data!$AK$4:$AK$375,MATCH($D41,Data!$A$4:$A$375,0)),"")),IFERROR(INDEX(Data!$AK$4:$AK$375,MATCH($D41,Data!$A$4:$A$375,0)),""),NA()),NA())</f>
        <v/>
      </c>
      <c r="L41" s="345">
        <f>IFERROR(IF(ISNUMBER(IFERROR(INDEX(Data!$AL$4:$AL$375,MATCH($D41,Data!$A$4:$A$375,0)),"")),IFERROR(INDEX(Data!$AL$4:$AL$375,MATCH($D41,Data!$A$4:$A$375,0)),""),NA()),NA())</f>
        <v/>
      </c>
      <c r="M41" s="345">
        <f>IFERROR(IF(ISNUMBER(IFERROR(INDEX(Data!$AM$4:$AM$375,MATCH($D41,Data!$A$4:$A$375,0)),"")),IFERROR(INDEX(Data!$AM$4:$AM$375,MATCH($D41,Data!$A$4:$A$375,0)),""),NA()),NA())</f>
        <v/>
      </c>
      <c r="N41" s="345">
        <f>IFERROR(IF(ISNUMBER(IFERROR(INDEX(Data!$AN$4:$AN$375,MATCH($D41,Data!$A$4:$A$375,0)),"")),IFERROR(INDEX(Data!$AN$4:$AN$375,MATCH($D41,Data!$A$4:$A$375,0)),""),NA()),NA())</f>
        <v/>
      </c>
      <c r="P41" s="346">
        <f>DATE(2026,9,28)+259</f>
        <v/>
      </c>
      <c r="Q41" s="347">
        <f>IFERROR(AVERAGEIFS(Data!$AF$4:$AF$375,Data!$A$4:$A$375,"&gt;="&amp;P41,Data!$A$4:$A$375,"&lt;="&amp;(P41+6),Data!$AF$4:$AF$375,"&gt;0"),NA())</f>
        <v/>
      </c>
    </row>
    <row r="42">
      <c r="A42" s="341" t="inlineStr">
        <is>
          <t>k_T_mood</t>
        </is>
      </c>
      <c r="B42" s="349">
        <f>IFERROR(INDEX(Data!$AN$4:$AN$375,MATCH(AsOf,Data!$A$4:$A$375,0)),"")</f>
        <v/>
      </c>
      <c r="D42" s="343">
        <f>AsOf-21</f>
        <v/>
      </c>
      <c r="E42" s="344">
        <f>IFERROR(IF(ISNUMBER(IFERROR(INDEX(Data!$BF$4:$BF$375,MATCH($D42,Data!$A$4:$A$375,0)),"")),IFERROR(INDEX(Data!$BF$4:$BF$375,MATCH($D42,Data!$A$4:$A$375,0)),""),NA()),NA())</f>
        <v/>
      </c>
      <c r="F42" s="344">
        <f>IFERROR(IF(ISNUMBER(IFERROR(INDEX(Data!$BG$4:$BG$375,MATCH($D42,Data!$A$4:$A$375,0)),"")),IFERROR(INDEX(Data!$BG$4:$BG$375,MATCH($D42,Data!$A$4:$A$375,0)),""),NA()),NA())</f>
        <v/>
      </c>
      <c r="G42" s="345">
        <f>IFERROR(IF(ISNUMBER(IFERROR(INDEX(Data!$AF$4:$AF$375,MATCH($D42,Data!$A$4:$A$375,0)),"")),IFERROR(INDEX(Data!$AF$4:$AF$375,MATCH($D42,Data!$A$4:$A$375,0)),""),NA()),NA())</f>
        <v/>
      </c>
      <c r="H42" s="345">
        <f>IFERROR(IF(ISNUMBER(IFERROR(INDEX(Data!$BI$4:$BI$375,MATCH($D42,Data!$A$4:$A$375,0)),"")),IFERROR(INDEX(Data!$BI$4:$BI$375,MATCH($D42,Data!$A$4:$A$375,0)),""),NA()),NA())</f>
        <v/>
      </c>
      <c r="I42" s="345">
        <f>IFERROR(IF(ISNUMBER(IFERROR(INDEX(Data!$AG$4:$AG$375,MATCH($D42,Data!$A$4:$A$375,0)),"")),IFERROR(INDEX(Data!$AG$4:$AG$375,MATCH($D42,Data!$A$4:$A$375,0)),""),NA()),NA())</f>
        <v/>
      </c>
      <c r="J42" s="345">
        <f>IFERROR(IF(ISNUMBER(IFERROR(INDEX(Data!$AR$4:$AR$375,MATCH($D42,Data!$A$4:$A$375,0)),"")),IFERROR(INDEX(Data!$AR$4:$AR$375,MATCH($D42,Data!$A$4:$A$375,0)),""),NA()),NA())</f>
        <v/>
      </c>
      <c r="K42" s="345">
        <f>IFERROR(IF(ISNUMBER(IFERROR(INDEX(Data!$AK$4:$AK$375,MATCH($D42,Data!$A$4:$A$375,0)),"")),IFERROR(INDEX(Data!$AK$4:$AK$375,MATCH($D42,Data!$A$4:$A$375,0)),""),NA()),NA())</f>
        <v/>
      </c>
      <c r="L42" s="345">
        <f>IFERROR(IF(ISNUMBER(IFERROR(INDEX(Data!$AL$4:$AL$375,MATCH($D42,Data!$A$4:$A$375,0)),"")),IFERROR(INDEX(Data!$AL$4:$AL$375,MATCH($D42,Data!$A$4:$A$375,0)),""),NA()),NA())</f>
        <v/>
      </c>
      <c r="M42" s="345">
        <f>IFERROR(IF(ISNUMBER(IFERROR(INDEX(Data!$AM$4:$AM$375,MATCH($D42,Data!$A$4:$A$375,0)),"")),IFERROR(INDEX(Data!$AM$4:$AM$375,MATCH($D42,Data!$A$4:$A$375,0)),""),NA()),NA())</f>
        <v/>
      </c>
      <c r="N42" s="345">
        <f>IFERROR(IF(ISNUMBER(IFERROR(INDEX(Data!$AN$4:$AN$375,MATCH($D42,Data!$A$4:$A$375,0)),"")),IFERROR(INDEX(Data!$AN$4:$AN$375,MATCH($D42,Data!$A$4:$A$375,0)),""),NA()),NA())</f>
        <v/>
      </c>
      <c r="P42" s="346">
        <f>DATE(2026,9,28)+266</f>
        <v/>
      </c>
      <c r="Q42" s="347">
        <f>IFERROR(AVERAGEIFS(Data!$AF$4:$AF$375,Data!$A$4:$A$375,"&gt;="&amp;P42,Data!$A$4:$A$375,"&lt;="&amp;(P42+6),Data!$AF$4:$AF$375,"&gt;0"),NA())</f>
        <v/>
      </c>
    </row>
    <row r="43">
      <c r="A43" s="341" t="inlineStr">
        <is>
          <t>k_T_stepT</t>
        </is>
      </c>
      <c r="B43" s="349">
        <f>IFERROR(INDEX(Data!$AR$4:$AR$375,MATCH(AsOf,Data!$A$4:$A$375,0)),"")</f>
        <v/>
      </c>
      <c r="D43" s="343">
        <f>AsOf-20</f>
        <v/>
      </c>
      <c r="E43" s="344">
        <f>IFERROR(IF(ISNUMBER(IFERROR(INDEX(Data!$BF$4:$BF$375,MATCH($D43,Data!$A$4:$A$375,0)),"")),IFERROR(INDEX(Data!$BF$4:$BF$375,MATCH($D43,Data!$A$4:$A$375,0)),""),NA()),NA())</f>
        <v/>
      </c>
      <c r="F43" s="344">
        <f>IFERROR(IF(ISNUMBER(IFERROR(INDEX(Data!$BG$4:$BG$375,MATCH($D43,Data!$A$4:$A$375,0)),"")),IFERROR(INDEX(Data!$BG$4:$BG$375,MATCH($D43,Data!$A$4:$A$375,0)),""),NA()),NA())</f>
        <v/>
      </c>
      <c r="G43" s="345">
        <f>IFERROR(IF(ISNUMBER(IFERROR(INDEX(Data!$AF$4:$AF$375,MATCH($D43,Data!$A$4:$A$375,0)),"")),IFERROR(INDEX(Data!$AF$4:$AF$375,MATCH($D43,Data!$A$4:$A$375,0)),""),NA()),NA())</f>
        <v/>
      </c>
      <c r="H43" s="345">
        <f>IFERROR(IF(ISNUMBER(IFERROR(INDEX(Data!$BI$4:$BI$375,MATCH($D43,Data!$A$4:$A$375,0)),"")),IFERROR(INDEX(Data!$BI$4:$BI$375,MATCH($D43,Data!$A$4:$A$375,0)),""),NA()),NA())</f>
        <v/>
      </c>
      <c r="I43" s="345">
        <f>IFERROR(IF(ISNUMBER(IFERROR(INDEX(Data!$AG$4:$AG$375,MATCH($D43,Data!$A$4:$A$375,0)),"")),IFERROR(INDEX(Data!$AG$4:$AG$375,MATCH($D43,Data!$A$4:$A$375,0)),""),NA()),NA())</f>
        <v/>
      </c>
      <c r="J43" s="345">
        <f>IFERROR(IF(ISNUMBER(IFERROR(INDEX(Data!$AR$4:$AR$375,MATCH($D43,Data!$A$4:$A$375,0)),"")),IFERROR(INDEX(Data!$AR$4:$AR$375,MATCH($D43,Data!$A$4:$A$375,0)),""),NA()),NA())</f>
        <v/>
      </c>
      <c r="K43" s="345">
        <f>IFERROR(IF(ISNUMBER(IFERROR(INDEX(Data!$AK$4:$AK$375,MATCH($D43,Data!$A$4:$A$375,0)),"")),IFERROR(INDEX(Data!$AK$4:$AK$375,MATCH($D43,Data!$A$4:$A$375,0)),""),NA()),NA())</f>
        <v/>
      </c>
      <c r="L43" s="345">
        <f>IFERROR(IF(ISNUMBER(IFERROR(INDEX(Data!$AL$4:$AL$375,MATCH($D43,Data!$A$4:$A$375,0)),"")),IFERROR(INDEX(Data!$AL$4:$AL$375,MATCH($D43,Data!$A$4:$A$375,0)),""),NA()),NA())</f>
        <v/>
      </c>
      <c r="M43" s="345">
        <f>IFERROR(IF(ISNUMBER(IFERROR(INDEX(Data!$AM$4:$AM$375,MATCH($D43,Data!$A$4:$A$375,0)),"")),IFERROR(INDEX(Data!$AM$4:$AM$375,MATCH($D43,Data!$A$4:$A$375,0)),""),NA()),NA())</f>
        <v/>
      </c>
      <c r="N43" s="345">
        <f>IFERROR(IF(ISNUMBER(IFERROR(INDEX(Data!$AN$4:$AN$375,MATCH($D43,Data!$A$4:$A$375,0)),"")),IFERROR(INDEX(Data!$AN$4:$AN$375,MATCH($D43,Data!$A$4:$A$375,0)),""),NA()),NA())</f>
        <v/>
      </c>
      <c r="P43" s="346">
        <f>DATE(2026,9,28)+273</f>
        <v/>
      </c>
      <c r="Q43" s="347">
        <f>IFERROR(AVERAGEIFS(Data!$AF$4:$AF$375,Data!$A$4:$A$375,"&gt;="&amp;P43,Data!$A$4:$A$375,"&lt;="&amp;(P43+6),Data!$AF$4:$AF$375,"&gt;0"),NA())</f>
        <v/>
      </c>
    </row>
    <row r="44">
      <c r="A44" s="341" t="inlineStr">
        <is>
          <t>k_T_score</t>
        </is>
      </c>
      <c r="B44" s="349">
        <f>IFERROR(INDEX(Data!$BF$4:$BF$375,MATCH(AsOf,Data!$A$4:$A$375,0)),"")</f>
        <v/>
      </c>
      <c r="D44" s="343">
        <f>AsOf-19</f>
        <v/>
      </c>
      <c r="E44" s="344">
        <f>IFERROR(IF(ISNUMBER(IFERROR(INDEX(Data!$BF$4:$BF$375,MATCH($D44,Data!$A$4:$A$375,0)),"")),IFERROR(INDEX(Data!$BF$4:$BF$375,MATCH($D44,Data!$A$4:$A$375,0)),""),NA()),NA())</f>
        <v/>
      </c>
      <c r="F44" s="344">
        <f>IFERROR(IF(ISNUMBER(IFERROR(INDEX(Data!$BG$4:$BG$375,MATCH($D44,Data!$A$4:$A$375,0)),"")),IFERROR(INDEX(Data!$BG$4:$BG$375,MATCH($D44,Data!$A$4:$A$375,0)),""),NA()),NA())</f>
        <v/>
      </c>
      <c r="G44" s="345">
        <f>IFERROR(IF(ISNUMBER(IFERROR(INDEX(Data!$AF$4:$AF$375,MATCH($D44,Data!$A$4:$A$375,0)),"")),IFERROR(INDEX(Data!$AF$4:$AF$375,MATCH($D44,Data!$A$4:$A$375,0)),""),NA()),NA())</f>
        <v/>
      </c>
      <c r="H44" s="345">
        <f>IFERROR(IF(ISNUMBER(IFERROR(INDEX(Data!$BI$4:$BI$375,MATCH($D44,Data!$A$4:$A$375,0)),"")),IFERROR(INDEX(Data!$BI$4:$BI$375,MATCH($D44,Data!$A$4:$A$375,0)),""),NA()),NA())</f>
        <v/>
      </c>
      <c r="I44" s="345">
        <f>IFERROR(IF(ISNUMBER(IFERROR(INDEX(Data!$AG$4:$AG$375,MATCH($D44,Data!$A$4:$A$375,0)),"")),IFERROR(INDEX(Data!$AG$4:$AG$375,MATCH($D44,Data!$A$4:$A$375,0)),""),NA()),NA())</f>
        <v/>
      </c>
      <c r="J44" s="345">
        <f>IFERROR(IF(ISNUMBER(IFERROR(INDEX(Data!$AR$4:$AR$375,MATCH($D44,Data!$A$4:$A$375,0)),"")),IFERROR(INDEX(Data!$AR$4:$AR$375,MATCH($D44,Data!$A$4:$A$375,0)),""),NA()),NA())</f>
        <v/>
      </c>
      <c r="K44" s="345">
        <f>IFERROR(IF(ISNUMBER(IFERROR(INDEX(Data!$AK$4:$AK$375,MATCH($D44,Data!$A$4:$A$375,0)),"")),IFERROR(INDEX(Data!$AK$4:$AK$375,MATCH($D44,Data!$A$4:$A$375,0)),""),NA()),NA())</f>
        <v/>
      </c>
      <c r="L44" s="345">
        <f>IFERROR(IF(ISNUMBER(IFERROR(INDEX(Data!$AL$4:$AL$375,MATCH($D44,Data!$A$4:$A$375,0)),"")),IFERROR(INDEX(Data!$AL$4:$AL$375,MATCH($D44,Data!$A$4:$A$375,0)),""),NA()),NA())</f>
        <v/>
      </c>
      <c r="M44" s="345">
        <f>IFERROR(IF(ISNUMBER(IFERROR(INDEX(Data!$AM$4:$AM$375,MATCH($D44,Data!$A$4:$A$375,0)),"")),IFERROR(INDEX(Data!$AM$4:$AM$375,MATCH($D44,Data!$A$4:$A$375,0)),""),NA()),NA())</f>
        <v/>
      </c>
      <c r="N44" s="345">
        <f>IFERROR(IF(ISNUMBER(IFERROR(INDEX(Data!$AN$4:$AN$375,MATCH($D44,Data!$A$4:$A$375,0)),"")),IFERROR(INDEX(Data!$AN$4:$AN$375,MATCH($D44,Data!$A$4:$A$375,0)),""),NA()),NA())</f>
        <v/>
      </c>
      <c r="P44" s="346">
        <f>DATE(2026,9,28)+280</f>
        <v/>
      </c>
      <c r="Q44" s="347">
        <f>IFERROR(AVERAGEIFS(Data!$AF$4:$AF$375,Data!$A$4:$A$375,"&gt;="&amp;P44,Data!$A$4:$A$375,"&lt;="&amp;(P44+6),Data!$AF$4:$AF$375,"&gt;0"),NA())</f>
        <v/>
      </c>
    </row>
    <row r="45">
      <c r="A45" s="341" t="inlineStr">
        <is>
          <t>k_T_r7</t>
        </is>
      </c>
      <c r="B45" s="349">
        <f>IFERROR(INDEX(Data!$BG$4:$BG$375,MATCH(AsOf,Data!$A$4:$A$375,0)),"")</f>
        <v/>
      </c>
      <c r="D45" s="343">
        <f>AsOf-18</f>
        <v/>
      </c>
      <c r="E45" s="344">
        <f>IFERROR(IF(ISNUMBER(IFERROR(INDEX(Data!$BF$4:$BF$375,MATCH($D45,Data!$A$4:$A$375,0)),"")),IFERROR(INDEX(Data!$BF$4:$BF$375,MATCH($D45,Data!$A$4:$A$375,0)),""),NA()),NA())</f>
        <v/>
      </c>
      <c r="F45" s="344">
        <f>IFERROR(IF(ISNUMBER(IFERROR(INDEX(Data!$BG$4:$BG$375,MATCH($D45,Data!$A$4:$A$375,0)),"")),IFERROR(INDEX(Data!$BG$4:$BG$375,MATCH($D45,Data!$A$4:$A$375,0)),""),NA()),NA())</f>
        <v/>
      </c>
      <c r="G45" s="345">
        <f>IFERROR(IF(ISNUMBER(IFERROR(INDEX(Data!$AF$4:$AF$375,MATCH($D45,Data!$A$4:$A$375,0)),"")),IFERROR(INDEX(Data!$AF$4:$AF$375,MATCH($D45,Data!$A$4:$A$375,0)),""),NA()),NA())</f>
        <v/>
      </c>
      <c r="H45" s="345">
        <f>IFERROR(IF(ISNUMBER(IFERROR(INDEX(Data!$BI$4:$BI$375,MATCH($D45,Data!$A$4:$A$375,0)),"")),IFERROR(INDEX(Data!$BI$4:$BI$375,MATCH($D45,Data!$A$4:$A$375,0)),""),NA()),NA())</f>
        <v/>
      </c>
      <c r="I45" s="345">
        <f>IFERROR(IF(ISNUMBER(IFERROR(INDEX(Data!$AG$4:$AG$375,MATCH($D45,Data!$A$4:$A$375,0)),"")),IFERROR(INDEX(Data!$AG$4:$AG$375,MATCH($D45,Data!$A$4:$A$375,0)),""),NA()),NA())</f>
        <v/>
      </c>
      <c r="J45" s="345">
        <f>IFERROR(IF(ISNUMBER(IFERROR(INDEX(Data!$AR$4:$AR$375,MATCH($D45,Data!$A$4:$A$375,0)),"")),IFERROR(INDEX(Data!$AR$4:$AR$375,MATCH($D45,Data!$A$4:$A$375,0)),""),NA()),NA())</f>
        <v/>
      </c>
      <c r="K45" s="345">
        <f>IFERROR(IF(ISNUMBER(IFERROR(INDEX(Data!$AK$4:$AK$375,MATCH($D45,Data!$A$4:$A$375,0)),"")),IFERROR(INDEX(Data!$AK$4:$AK$375,MATCH($D45,Data!$A$4:$A$375,0)),""),NA()),NA())</f>
        <v/>
      </c>
      <c r="L45" s="345">
        <f>IFERROR(IF(ISNUMBER(IFERROR(INDEX(Data!$AL$4:$AL$375,MATCH($D45,Data!$A$4:$A$375,0)),"")),IFERROR(INDEX(Data!$AL$4:$AL$375,MATCH($D45,Data!$A$4:$A$375,0)),""),NA()),NA())</f>
        <v/>
      </c>
      <c r="M45" s="345">
        <f>IFERROR(IF(ISNUMBER(IFERROR(INDEX(Data!$AM$4:$AM$375,MATCH($D45,Data!$A$4:$A$375,0)),"")),IFERROR(INDEX(Data!$AM$4:$AM$375,MATCH($D45,Data!$A$4:$A$375,0)),""),NA()),NA())</f>
        <v/>
      </c>
      <c r="N45" s="345">
        <f>IFERROR(IF(ISNUMBER(IFERROR(INDEX(Data!$AN$4:$AN$375,MATCH($D45,Data!$A$4:$A$375,0)),"")),IFERROR(INDEX(Data!$AN$4:$AN$375,MATCH($D45,Data!$A$4:$A$375,0)),""),NA()),NA())</f>
        <v/>
      </c>
      <c r="P45" s="346">
        <f>DATE(2026,9,28)+287</f>
        <v/>
      </c>
      <c r="Q45" s="347">
        <f>IFERROR(AVERAGEIFS(Data!$AF$4:$AF$375,Data!$A$4:$A$375,"&gt;="&amp;P45,Data!$A$4:$A$375,"&lt;="&amp;(P45+6),Data!$AF$4:$AF$375,"&gt;0"),NA())</f>
        <v/>
      </c>
    </row>
    <row r="46">
      <c r="A46" s="341" t="inlineStr">
        <is>
          <t>k_T_r30</t>
        </is>
      </c>
      <c r="B46" s="349">
        <f>IFERROR(INDEX(Data!$BH$4:$BH$375,MATCH(AsOf,Data!$A$4:$A$375,0)),"")</f>
        <v/>
      </c>
      <c r="D46" s="343">
        <f>AsOf-17</f>
        <v/>
      </c>
      <c r="E46" s="344">
        <f>IFERROR(IF(ISNUMBER(IFERROR(INDEX(Data!$BF$4:$BF$375,MATCH($D46,Data!$A$4:$A$375,0)),"")),IFERROR(INDEX(Data!$BF$4:$BF$375,MATCH($D46,Data!$A$4:$A$375,0)),""),NA()),NA())</f>
        <v/>
      </c>
      <c r="F46" s="344">
        <f>IFERROR(IF(ISNUMBER(IFERROR(INDEX(Data!$BG$4:$BG$375,MATCH($D46,Data!$A$4:$A$375,0)),"")),IFERROR(INDEX(Data!$BG$4:$BG$375,MATCH($D46,Data!$A$4:$A$375,0)),""),NA()),NA())</f>
        <v/>
      </c>
      <c r="G46" s="345">
        <f>IFERROR(IF(ISNUMBER(IFERROR(INDEX(Data!$AF$4:$AF$375,MATCH($D46,Data!$A$4:$A$375,0)),"")),IFERROR(INDEX(Data!$AF$4:$AF$375,MATCH($D46,Data!$A$4:$A$375,0)),""),NA()),NA())</f>
        <v/>
      </c>
      <c r="H46" s="345">
        <f>IFERROR(IF(ISNUMBER(IFERROR(INDEX(Data!$BI$4:$BI$375,MATCH($D46,Data!$A$4:$A$375,0)),"")),IFERROR(INDEX(Data!$BI$4:$BI$375,MATCH($D46,Data!$A$4:$A$375,0)),""),NA()),NA())</f>
        <v/>
      </c>
      <c r="I46" s="345">
        <f>IFERROR(IF(ISNUMBER(IFERROR(INDEX(Data!$AG$4:$AG$375,MATCH($D46,Data!$A$4:$A$375,0)),"")),IFERROR(INDEX(Data!$AG$4:$AG$375,MATCH($D46,Data!$A$4:$A$375,0)),""),NA()),NA())</f>
        <v/>
      </c>
      <c r="J46" s="345">
        <f>IFERROR(IF(ISNUMBER(IFERROR(INDEX(Data!$AR$4:$AR$375,MATCH($D46,Data!$A$4:$A$375,0)),"")),IFERROR(INDEX(Data!$AR$4:$AR$375,MATCH($D46,Data!$A$4:$A$375,0)),""),NA()),NA())</f>
        <v/>
      </c>
      <c r="K46" s="345">
        <f>IFERROR(IF(ISNUMBER(IFERROR(INDEX(Data!$AK$4:$AK$375,MATCH($D46,Data!$A$4:$A$375,0)),"")),IFERROR(INDEX(Data!$AK$4:$AK$375,MATCH($D46,Data!$A$4:$A$375,0)),""),NA()),NA())</f>
        <v/>
      </c>
      <c r="L46" s="345">
        <f>IFERROR(IF(ISNUMBER(IFERROR(INDEX(Data!$AL$4:$AL$375,MATCH($D46,Data!$A$4:$A$375,0)),"")),IFERROR(INDEX(Data!$AL$4:$AL$375,MATCH($D46,Data!$A$4:$A$375,0)),""),NA()),NA())</f>
        <v/>
      </c>
      <c r="M46" s="345">
        <f>IFERROR(IF(ISNUMBER(IFERROR(INDEX(Data!$AM$4:$AM$375,MATCH($D46,Data!$A$4:$A$375,0)),"")),IFERROR(INDEX(Data!$AM$4:$AM$375,MATCH($D46,Data!$A$4:$A$375,0)),""),NA()),NA())</f>
        <v/>
      </c>
      <c r="N46" s="345">
        <f>IFERROR(IF(ISNUMBER(IFERROR(INDEX(Data!$AN$4:$AN$375,MATCH($D46,Data!$A$4:$A$375,0)),"")),IFERROR(INDEX(Data!$AN$4:$AN$375,MATCH($D46,Data!$A$4:$A$375,0)),""),NA()),NA())</f>
        <v/>
      </c>
      <c r="P46" s="346">
        <f>DATE(2026,9,28)+294</f>
        <v/>
      </c>
      <c r="Q46" s="347">
        <f>IFERROR(AVERAGEIFS(Data!$AF$4:$AF$375,Data!$A$4:$A$375,"&gt;="&amp;P46,Data!$A$4:$A$375,"&lt;="&amp;(P46+6),Data!$AF$4:$AF$375,"&gt;0"),NA())</f>
        <v/>
      </c>
    </row>
    <row r="47">
      <c r="A47" s="341" t="inlineStr">
        <is>
          <t>k_T_w7</t>
        </is>
      </c>
      <c r="B47" s="349">
        <f>IFERROR(INDEX(Data!$BI$4:$BI$375,MATCH(AsOf,Data!$A$4:$A$375,0)),"")</f>
        <v/>
      </c>
      <c r="D47" s="343">
        <f>AsOf-16</f>
        <v/>
      </c>
      <c r="E47" s="344">
        <f>IFERROR(IF(ISNUMBER(IFERROR(INDEX(Data!$BF$4:$BF$375,MATCH($D47,Data!$A$4:$A$375,0)),"")),IFERROR(INDEX(Data!$BF$4:$BF$375,MATCH($D47,Data!$A$4:$A$375,0)),""),NA()),NA())</f>
        <v/>
      </c>
      <c r="F47" s="344">
        <f>IFERROR(IF(ISNUMBER(IFERROR(INDEX(Data!$BG$4:$BG$375,MATCH($D47,Data!$A$4:$A$375,0)),"")),IFERROR(INDEX(Data!$BG$4:$BG$375,MATCH($D47,Data!$A$4:$A$375,0)),""),NA()),NA())</f>
        <v/>
      </c>
      <c r="G47" s="345">
        <f>IFERROR(IF(ISNUMBER(IFERROR(INDEX(Data!$AF$4:$AF$375,MATCH($D47,Data!$A$4:$A$375,0)),"")),IFERROR(INDEX(Data!$AF$4:$AF$375,MATCH($D47,Data!$A$4:$A$375,0)),""),NA()),NA())</f>
        <v/>
      </c>
      <c r="H47" s="345">
        <f>IFERROR(IF(ISNUMBER(IFERROR(INDEX(Data!$BI$4:$BI$375,MATCH($D47,Data!$A$4:$A$375,0)),"")),IFERROR(INDEX(Data!$BI$4:$BI$375,MATCH($D47,Data!$A$4:$A$375,0)),""),NA()),NA())</f>
        <v/>
      </c>
      <c r="I47" s="345">
        <f>IFERROR(IF(ISNUMBER(IFERROR(INDEX(Data!$AG$4:$AG$375,MATCH($D47,Data!$A$4:$A$375,0)),"")),IFERROR(INDEX(Data!$AG$4:$AG$375,MATCH($D47,Data!$A$4:$A$375,0)),""),NA()),NA())</f>
        <v/>
      </c>
      <c r="J47" s="345">
        <f>IFERROR(IF(ISNUMBER(IFERROR(INDEX(Data!$AR$4:$AR$375,MATCH($D47,Data!$A$4:$A$375,0)),"")),IFERROR(INDEX(Data!$AR$4:$AR$375,MATCH($D47,Data!$A$4:$A$375,0)),""),NA()),NA())</f>
        <v/>
      </c>
      <c r="K47" s="345">
        <f>IFERROR(IF(ISNUMBER(IFERROR(INDEX(Data!$AK$4:$AK$375,MATCH($D47,Data!$A$4:$A$375,0)),"")),IFERROR(INDEX(Data!$AK$4:$AK$375,MATCH($D47,Data!$A$4:$A$375,0)),""),NA()),NA())</f>
        <v/>
      </c>
      <c r="L47" s="345">
        <f>IFERROR(IF(ISNUMBER(IFERROR(INDEX(Data!$AL$4:$AL$375,MATCH($D47,Data!$A$4:$A$375,0)),"")),IFERROR(INDEX(Data!$AL$4:$AL$375,MATCH($D47,Data!$A$4:$A$375,0)),""),NA()),NA())</f>
        <v/>
      </c>
      <c r="M47" s="345">
        <f>IFERROR(IF(ISNUMBER(IFERROR(INDEX(Data!$AM$4:$AM$375,MATCH($D47,Data!$A$4:$A$375,0)),"")),IFERROR(INDEX(Data!$AM$4:$AM$375,MATCH($D47,Data!$A$4:$A$375,0)),""),NA()),NA())</f>
        <v/>
      </c>
      <c r="N47" s="345">
        <f>IFERROR(IF(ISNUMBER(IFERROR(INDEX(Data!$AN$4:$AN$375,MATCH($D47,Data!$A$4:$A$375,0)),"")),IFERROR(INDEX(Data!$AN$4:$AN$375,MATCH($D47,Data!$A$4:$A$375,0)),""),NA()),NA())</f>
        <v/>
      </c>
      <c r="P47" s="346">
        <f>DATE(2026,9,28)+301</f>
        <v/>
      </c>
      <c r="Q47" s="347">
        <f>IFERROR(AVERAGEIFS(Data!$AF$4:$AF$375,Data!$A$4:$A$375,"&gt;="&amp;P47,Data!$A$4:$A$375,"&lt;="&amp;(P47+6),Data!$AF$4:$AF$375,"&gt;0"),NA())</f>
        <v/>
      </c>
    </row>
    <row r="48">
      <c r="A48" s="341" t="inlineStr">
        <is>
          <t>k_T_l1done</t>
        </is>
      </c>
      <c r="B48" s="349">
        <f>IFERROR(INDEX(Data!$BJ$4:$BJ$375,MATCH(AsOf,Data!$A$4:$A$375,0)),"")</f>
        <v/>
      </c>
      <c r="D48" s="343">
        <f>AsOf-15</f>
        <v/>
      </c>
      <c r="E48" s="344">
        <f>IFERROR(IF(ISNUMBER(IFERROR(INDEX(Data!$BF$4:$BF$375,MATCH($D48,Data!$A$4:$A$375,0)),"")),IFERROR(INDEX(Data!$BF$4:$BF$375,MATCH($D48,Data!$A$4:$A$375,0)),""),NA()),NA())</f>
        <v/>
      </c>
      <c r="F48" s="344">
        <f>IFERROR(IF(ISNUMBER(IFERROR(INDEX(Data!$BG$4:$BG$375,MATCH($D48,Data!$A$4:$A$375,0)),"")),IFERROR(INDEX(Data!$BG$4:$BG$375,MATCH($D48,Data!$A$4:$A$375,0)),""),NA()),NA())</f>
        <v/>
      </c>
      <c r="G48" s="345">
        <f>IFERROR(IF(ISNUMBER(IFERROR(INDEX(Data!$AF$4:$AF$375,MATCH($D48,Data!$A$4:$A$375,0)),"")),IFERROR(INDEX(Data!$AF$4:$AF$375,MATCH($D48,Data!$A$4:$A$375,0)),""),NA()),NA())</f>
        <v/>
      </c>
      <c r="H48" s="345">
        <f>IFERROR(IF(ISNUMBER(IFERROR(INDEX(Data!$BI$4:$BI$375,MATCH($D48,Data!$A$4:$A$375,0)),"")),IFERROR(INDEX(Data!$BI$4:$BI$375,MATCH($D48,Data!$A$4:$A$375,0)),""),NA()),NA())</f>
        <v/>
      </c>
      <c r="I48" s="345">
        <f>IFERROR(IF(ISNUMBER(IFERROR(INDEX(Data!$AG$4:$AG$375,MATCH($D48,Data!$A$4:$A$375,0)),"")),IFERROR(INDEX(Data!$AG$4:$AG$375,MATCH($D48,Data!$A$4:$A$375,0)),""),NA()),NA())</f>
        <v/>
      </c>
      <c r="J48" s="345">
        <f>IFERROR(IF(ISNUMBER(IFERROR(INDEX(Data!$AR$4:$AR$375,MATCH($D48,Data!$A$4:$A$375,0)),"")),IFERROR(INDEX(Data!$AR$4:$AR$375,MATCH($D48,Data!$A$4:$A$375,0)),""),NA()),NA())</f>
        <v/>
      </c>
      <c r="K48" s="345">
        <f>IFERROR(IF(ISNUMBER(IFERROR(INDEX(Data!$AK$4:$AK$375,MATCH($D48,Data!$A$4:$A$375,0)),"")),IFERROR(INDEX(Data!$AK$4:$AK$375,MATCH($D48,Data!$A$4:$A$375,0)),""),NA()),NA())</f>
        <v/>
      </c>
      <c r="L48" s="345">
        <f>IFERROR(IF(ISNUMBER(IFERROR(INDEX(Data!$AL$4:$AL$375,MATCH($D48,Data!$A$4:$A$375,0)),"")),IFERROR(INDEX(Data!$AL$4:$AL$375,MATCH($D48,Data!$A$4:$A$375,0)),""),NA()),NA())</f>
        <v/>
      </c>
      <c r="M48" s="345">
        <f>IFERROR(IF(ISNUMBER(IFERROR(INDEX(Data!$AM$4:$AM$375,MATCH($D48,Data!$A$4:$A$375,0)),"")),IFERROR(INDEX(Data!$AM$4:$AM$375,MATCH($D48,Data!$A$4:$A$375,0)),""),NA()),NA())</f>
        <v/>
      </c>
      <c r="N48" s="345">
        <f>IFERROR(IF(ISNUMBER(IFERROR(INDEX(Data!$AN$4:$AN$375,MATCH($D48,Data!$A$4:$A$375,0)),"")),IFERROR(INDEX(Data!$AN$4:$AN$375,MATCH($D48,Data!$A$4:$A$375,0)),""),NA()),NA())</f>
        <v/>
      </c>
      <c r="P48" s="346">
        <f>DATE(2026,9,28)+308</f>
        <v/>
      </c>
      <c r="Q48" s="347">
        <f>IFERROR(AVERAGEIFS(Data!$AF$4:$AF$375,Data!$A$4:$A$375,"&gt;="&amp;P48,Data!$A$4:$A$375,"&lt;="&amp;(P48+6),Data!$AF$4:$AF$375,"&gt;0"),NA())</f>
        <v/>
      </c>
    </row>
    <row r="49">
      <c r="A49" s="341" t="inlineStr">
        <is>
          <t>k_T_l1app</t>
        </is>
      </c>
      <c r="B49" s="349">
        <f>IFERROR(INDEX(Data!$BK$4:$BK$375,MATCH(AsOf,Data!$A$4:$A$375,0)),"")</f>
        <v/>
      </c>
      <c r="D49" s="343">
        <f>AsOf-14</f>
        <v/>
      </c>
      <c r="E49" s="344">
        <f>IFERROR(IF(ISNUMBER(IFERROR(INDEX(Data!$BF$4:$BF$375,MATCH($D49,Data!$A$4:$A$375,0)),"")),IFERROR(INDEX(Data!$BF$4:$BF$375,MATCH($D49,Data!$A$4:$A$375,0)),""),NA()),NA())</f>
        <v/>
      </c>
      <c r="F49" s="344">
        <f>IFERROR(IF(ISNUMBER(IFERROR(INDEX(Data!$BG$4:$BG$375,MATCH($D49,Data!$A$4:$A$375,0)),"")),IFERROR(INDEX(Data!$BG$4:$BG$375,MATCH($D49,Data!$A$4:$A$375,0)),""),NA()),NA())</f>
        <v/>
      </c>
      <c r="G49" s="345">
        <f>IFERROR(IF(ISNUMBER(IFERROR(INDEX(Data!$AF$4:$AF$375,MATCH($D49,Data!$A$4:$A$375,0)),"")),IFERROR(INDEX(Data!$AF$4:$AF$375,MATCH($D49,Data!$A$4:$A$375,0)),""),NA()),NA())</f>
        <v/>
      </c>
      <c r="H49" s="345">
        <f>IFERROR(IF(ISNUMBER(IFERROR(INDEX(Data!$BI$4:$BI$375,MATCH($D49,Data!$A$4:$A$375,0)),"")),IFERROR(INDEX(Data!$BI$4:$BI$375,MATCH($D49,Data!$A$4:$A$375,0)),""),NA()),NA())</f>
        <v/>
      </c>
      <c r="I49" s="345">
        <f>IFERROR(IF(ISNUMBER(IFERROR(INDEX(Data!$AG$4:$AG$375,MATCH($D49,Data!$A$4:$A$375,0)),"")),IFERROR(INDEX(Data!$AG$4:$AG$375,MATCH($D49,Data!$A$4:$A$375,0)),""),NA()),NA())</f>
        <v/>
      </c>
      <c r="J49" s="345">
        <f>IFERROR(IF(ISNUMBER(IFERROR(INDEX(Data!$AR$4:$AR$375,MATCH($D49,Data!$A$4:$A$375,0)),"")),IFERROR(INDEX(Data!$AR$4:$AR$375,MATCH($D49,Data!$A$4:$A$375,0)),""),NA()),NA())</f>
        <v/>
      </c>
      <c r="K49" s="345">
        <f>IFERROR(IF(ISNUMBER(IFERROR(INDEX(Data!$AK$4:$AK$375,MATCH($D49,Data!$A$4:$A$375,0)),"")),IFERROR(INDEX(Data!$AK$4:$AK$375,MATCH($D49,Data!$A$4:$A$375,0)),""),NA()),NA())</f>
        <v/>
      </c>
      <c r="L49" s="345">
        <f>IFERROR(IF(ISNUMBER(IFERROR(INDEX(Data!$AL$4:$AL$375,MATCH($D49,Data!$A$4:$A$375,0)),"")),IFERROR(INDEX(Data!$AL$4:$AL$375,MATCH($D49,Data!$A$4:$A$375,0)),""),NA()),NA())</f>
        <v/>
      </c>
      <c r="M49" s="345">
        <f>IFERROR(IF(ISNUMBER(IFERROR(INDEX(Data!$AM$4:$AM$375,MATCH($D49,Data!$A$4:$A$375,0)),"")),IFERROR(INDEX(Data!$AM$4:$AM$375,MATCH($D49,Data!$A$4:$A$375,0)),""),NA()),NA())</f>
        <v/>
      </c>
      <c r="N49" s="345">
        <f>IFERROR(IF(ISNUMBER(IFERROR(INDEX(Data!$AN$4:$AN$375,MATCH($D49,Data!$A$4:$A$375,0)),"")),IFERROR(INDEX(Data!$AN$4:$AN$375,MATCH($D49,Data!$A$4:$A$375,0)),""),NA()),NA())</f>
        <v/>
      </c>
      <c r="P49" s="346">
        <f>DATE(2026,9,28)+315</f>
        <v/>
      </c>
      <c r="Q49" s="347">
        <f>IFERROR(AVERAGEIFS(Data!$AF$4:$AF$375,Data!$A$4:$A$375,"&gt;="&amp;P49,Data!$A$4:$A$375,"&lt;="&amp;(P49+6),Data!$AF$4:$AF$375,"&gt;0"),NA())</f>
        <v/>
      </c>
    </row>
    <row r="50">
      <c r="A50" s="341" t="inlineStr">
        <is>
          <t>k_T_workday</t>
        </is>
      </c>
      <c r="B50" s="349">
        <f>IFERROR(INDEX(Data!$AS$4:$AS$375,MATCH(AsOf,Data!$A$4:$A$375,0)),"")</f>
        <v/>
      </c>
      <c r="D50" s="343">
        <f>AsOf-13</f>
        <v/>
      </c>
      <c r="E50" s="344">
        <f>IFERROR(IF(ISNUMBER(IFERROR(INDEX(Data!$BF$4:$BF$375,MATCH($D50,Data!$A$4:$A$375,0)),"")),IFERROR(INDEX(Data!$BF$4:$BF$375,MATCH($D50,Data!$A$4:$A$375,0)),""),NA()),NA())</f>
        <v/>
      </c>
      <c r="F50" s="344">
        <f>IFERROR(IF(ISNUMBER(IFERROR(INDEX(Data!$BG$4:$BG$375,MATCH($D50,Data!$A$4:$A$375,0)),"")),IFERROR(INDEX(Data!$BG$4:$BG$375,MATCH($D50,Data!$A$4:$A$375,0)),""),NA()),NA())</f>
        <v/>
      </c>
      <c r="G50" s="345">
        <f>IFERROR(IF(ISNUMBER(IFERROR(INDEX(Data!$AF$4:$AF$375,MATCH($D50,Data!$A$4:$A$375,0)),"")),IFERROR(INDEX(Data!$AF$4:$AF$375,MATCH($D50,Data!$A$4:$A$375,0)),""),NA()),NA())</f>
        <v/>
      </c>
      <c r="H50" s="345">
        <f>IFERROR(IF(ISNUMBER(IFERROR(INDEX(Data!$BI$4:$BI$375,MATCH($D50,Data!$A$4:$A$375,0)),"")),IFERROR(INDEX(Data!$BI$4:$BI$375,MATCH($D50,Data!$A$4:$A$375,0)),""),NA()),NA())</f>
        <v/>
      </c>
      <c r="I50" s="345">
        <f>IFERROR(IF(ISNUMBER(IFERROR(INDEX(Data!$AG$4:$AG$375,MATCH($D50,Data!$A$4:$A$375,0)),"")),IFERROR(INDEX(Data!$AG$4:$AG$375,MATCH($D50,Data!$A$4:$A$375,0)),""),NA()),NA())</f>
        <v/>
      </c>
      <c r="J50" s="345">
        <f>IFERROR(IF(ISNUMBER(IFERROR(INDEX(Data!$AR$4:$AR$375,MATCH($D50,Data!$A$4:$A$375,0)),"")),IFERROR(INDEX(Data!$AR$4:$AR$375,MATCH($D50,Data!$A$4:$A$375,0)),""),NA()),NA())</f>
        <v/>
      </c>
      <c r="K50" s="345">
        <f>IFERROR(IF(ISNUMBER(IFERROR(INDEX(Data!$AK$4:$AK$375,MATCH($D50,Data!$A$4:$A$375,0)),"")),IFERROR(INDEX(Data!$AK$4:$AK$375,MATCH($D50,Data!$A$4:$A$375,0)),""),NA()),NA())</f>
        <v/>
      </c>
      <c r="L50" s="345">
        <f>IFERROR(IF(ISNUMBER(IFERROR(INDEX(Data!$AL$4:$AL$375,MATCH($D50,Data!$A$4:$A$375,0)),"")),IFERROR(INDEX(Data!$AL$4:$AL$375,MATCH($D50,Data!$A$4:$A$375,0)),""),NA()),NA())</f>
        <v/>
      </c>
      <c r="M50" s="345">
        <f>IFERROR(IF(ISNUMBER(IFERROR(INDEX(Data!$AM$4:$AM$375,MATCH($D50,Data!$A$4:$A$375,0)),"")),IFERROR(INDEX(Data!$AM$4:$AM$375,MATCH($D50,Data!$A$4:$A$375,0)),""),NA()),NA())</f>
        <v/>
      </c>
      <c r="N50" s="345">
        <f>IFERROR(IF(ISNUMBER(IFERROR(INDEX(Data!$AN$4:$AN$375,MATCH($D50,Data!$A$4:$A$375,0)),"")),IFERROR(INDEX(Data!$AN$4:$AN$375,MATCH($D50,Data!$A$4:$A$375,0)),""),NA()),NA())</f>
        <v/>
      </c>
      <c r="P50" s="346">
        <f>DATE(2026,9,28)+322</f>
        <v/>
      </c>
      <c r="Q50" s="347">
        <f>IFERROR(AVERAGEIFS(Data!$AF$4:$AF$375,Data!$A$4:$A$375,"&gt;="&amp;P50,Data!$A$4:$A$375,"&lt;="&amp;(P50+6),Data!$AF$4:$AF$375,"&gt;0"),NA())</f>
        <v/>
      </c>
    </row>
    <row r="51">
      <c r="A51" s="341" t="inlineStr">
        <is>
          <t>k_T_strday</t>
        </is>
      </c>
      <c r="B51" s="349">
        <f>IFERROR(INDEX(Data!$AT$4:$AT$375,MATCH(AsOf,Data!$A$4:$A$375,0)),"")</f>
        <v/>
      </c>
      <c r="D51" s="343">
        <f>AsOf-12</f>
        <v/>
      </c>
      <c r="E51" s="344">
        <f>IFERROR(IF(ISNUMBER(IFERROR(INDEX(Data!$BF$4:$BF$375,MATCH($D51,Data!$A$4:$A$375,0)),"")),IFERROR(INDEX(Data!$BF$4:$BF$375,MATCH($D51,Data!$A$4:$A$375,0)),""),NA()),NA())</f>
        <v/>
      </c>
      <c r="F51" s="344">
        <f>IFERROR(IF(ISNUMBER(IFERROR(INDEX(Data!$BG$4:$BG$375,MATCH($D51,Data!$A$4:$A$375,0)),"")),IFERROR(INDEX(Data!$BG$4:$BG$375,MATCH($D51,Data!$A$4:$A$375,0)),""),NA()),NA())</f>
        <v/>
      </c>
      <c r="G51" s="345">
        <f>IFERROR(IF(ISNUMBER(IFERROR(INDEX(Data!$AF$4:$AF$375,MATCH($D51,Data!$A$4:$A$375,0)),"")),IFERROR(INDEX(Data!$AF$4:$AF$375,MATCH($D51,Data!$A$4:$A$375,0)),""),NA()),NA())</f>
        <v/>
      </c>
      <c r="H51" s="345">
        <f>IFERROR(IF(ISNUMBER(IFERROR(INDEX(Data!$BI$4:$BI$375,MATCH($D51,Data!$A$4:$A$375,0)),"")),IFERROR(INDEX(Data!$BI$4:$BI$375,MATCH($D51,Data!$A$4:$A$375,0)),""),NA()),NA())</f>
        <v/>
      </c>
      <c r="I51" s="345">
        <f>IFERROR(IF(ISNUMBER(IFERROR(INDEX(Data!$AG$4:$AG$375,MATCH($D51,Data!$A$4:$A$375,0)),"")),IFERROR(INDEX(Data!$AG$4:$AG$375,MATCH($D51,Data!$A$4:$A$375,0)),""),NA()),NA())</f>
        <v/>
      </c>
      <c r="J51" s="345">
        <f>IFERROR(IF(ISNUMBER(IFERROR(INDEX(Data!$AR$4:$AR$375,MATCH($D51,Data!$A$4:$A$375,0)),"")),IFERROR(INDEX(Data!$AR$4:$AR$375,MATCH($D51,Data!$A$4:$A$375,0)),""),NA()),NA())</f>
        <v/>
      </c>
      <c r="K51" s="345">
        <f>IFERROR(IF(ISNUMBER(IFERROR(INDEX(Data!$AK$4:$AK$375,MATCH($D51,Data!$A$4:$A$375,0)),"")),IFERROR(INDEX(Data!$AK$4:$AK$375,MATCH($D51,Data!$A$4:$A$375,0)),""),NA()),NA())</f>
        <v/>
      </c>
      <c r="L51" s="345">
        <f>IFERROR(IF(ISNUMBER(IFERROR(INDEX(Data!$AL$4:$AL$375,MATCH($D51,Data!$A$4:$A$375,0)),"")),IFERROR(INDEX(Data!$AL$4:$AL$375,MATCH($D51,Data!$A$4:$A$375,0)),""),NA()),NA())</f>
        <v/>
      </c>
      <c r="M51" s="345">
        <f>IFERROR(IF(ISNUMBER(IFERROR(INDEX(Data!$AM$4:$AM$375,MATCH($D51,Data!$A$4:$A$375,0)),"")),IFERROR(INDEX(Data!$AM$4:$AM$375,MATCH($D51,Data!$A$4:$A$375,0)),""),NA()),NA())</f>
        <v/>
      </c>
      <c r="N51" s="345">
        <f>IFERROR(IF(ISNUMBER(IFERROR(INDEX(Data!$AN$4:$AN$375,MATCH($D51,Data!$A$4:$A$375,0)),"")),IFERROR(INDEX(Data!$AN$4:$AN$375,MATCH($D51,Data!$A$4:$A$375,0)),""),NA()),NA())</f>
        <v/>
      </c>
      <c r="P51" s="346">
        <f>DATE(2026,9,28)+329</f>
        <v/>
      </c>
      <c r="Q51" s="347">
        <f>IFERROR(AVERAGEIFS(Data!$AF$4:$AF$375,Data!$A$4:$A$375,"&gt;="&amp;P51,Data!$A$4:$A$375,"&lt;="&amp;(P51+6),Data!$AF$4:$AF$375,"&gt;0"),NA())</f>
        <v/>
      </c>
    </row>
    <row r="52">
      <c r="A52" s="341" t="inlineStr">
        <is>
          <t>k_T_logged</t>
        </is>
      </c>
      <c r="B52" s="349">
        <f>IFERROR(INDEX(Data!$AP$4:$AP$375,MATCH(AsOf,Data!$A$4:$A$375,0)),"")</f>
        <v/>
      </c>
      <c r="D52" s="343">
        <f>AsOf-11</f>
        <v/>
      </c>
      <c r="E52" s="344">
        <f>IFERROR(IF(ISNUMBER(IFERROR(INDEX(Data!$BF$4:$BF$375,MATCH($D52,Data!$A$4:$A$375,0)),"")),IFERROR(INDEX(Data!$BF$4:$BF$375,MATCH($D52,Data!$A$4:$A$375,0)),""),NA()),NA())</f>
        <v/>
      </c>
      <c r="F52" s="344">
        <f>IFERROR(IF(ISNUMBER(IFERROR(INDEX(Data!$BG$4:$BG$375,MATCH($D52,Data!$A$4:$A$375,0)),"")),IFERROR(INDEX(Data!$BG$4:$BG$375,MATCH($D52,Data!$A$4:$A$375,0)),""),NA()),NA())</f>
        <v/>
      </c>
      <c r="G52" s="345">
        <f>IFERROR(IF(ISNUMBER(IFERROR(INDEX(Data!$AF$4:$AF$375,MATCH($D52,Data!$A$4:$A$375,0)),"")),IFERROR(INDEX(Data!$AF$4:$AF$375,MATCH($D52,Data!$A$4:$A$375,0)),""),NA()),NA())</f>
        <v/>
      </c>
      <c r="H52" s="345">
        <f>IFERROR(IF(ISNUMBER(IFERROR(INDEX(Data!$BI$4:$BI$375,MATCH($D52,Data!$A$4:$A$375,0)),"")),IFERROR(INDEX(Data!$BI$4:$BI$375,MATCH($D52,Data!$A$4:$A$375,0)),""),NA()),NA())</f>
        <v/>
      </c>
      <c r="I52" s="345">
        <f>IFERROR(IF(ISNUMBER(IFERROR(INDEX(Data!$AG$4:$AG$375,MATCH($D52,Data!$A$4:$A$375,0)),"")),IFERROR(INDEX(Data!$AG$4:$AG$375,MATCH($D52,Data!$A$4:$A$375,0)),""),NA()),NA())</f>
        <v/>
      </c>
      <c r="J52" s="345">
        <f>IFERROR(IF(ISNUMBER(IFERROR(INDEX(Data!$AR$4:$AR$375,MATCH($D52,Data!$A$4:$A$375,0)),"")),IFERROR(INDEX(Data!$AR$4:$AR$375,MATCH($D52,Data!$A$4:$A$375,0)),""),NA()),NA())</f>
        <v/>
      </c>
      <c r="K52" s="345">
        <f>IFERROR(IF(ISNUMBER(IFERROR(INDEX(Data!$AK$4:$AK$375,MATCH($D52,Data!$A$4:$A$375,0)),"")),IFERROR(INDEX(Data!$AK$4:$AK$375,MATCH($D52,Data!$A$4:$A$375,0)),""),NA()),NA())</f>
        <v/>
      </c>
      <c r="L52" s="345">
        <f>IFERROR(IF(ISNUMBER(IFERROR(INDEX(Data!$AL$4:$AL$375,MATCH($D52,Data!$A$4:$A$375,0)),"")),IFERROR(INDEX(Data!$AL$4:$AL$375,MATCH($D52,Data!$A$4:$A$375,0)),""),NA()),NA())</f>
        <v/>
      </c>
      <c r="M52" s="345">
        <f>IFERROR(IF(ISNUMBER(IFERROR(INDEX(Data!$AM$4:$AM$375,MATCH($D52,Data!$A$4:$A$375,0)),"")),IFERROR(INDEX(Data!$AM$4:$AM$375,MATCH($D52,Data!$A$4:$A$375,0)),""),NA()),NA())</f>
        <v/>
      </c>
      <c r="N52" s="345">
        <f>IFERROR(IF(ISNUMBER(IFERROR(INDEX(Data!$AN$4:$AN$375,MATCH($D52,Data!$A$4:$A$375,0)),"")),IFERROR(INDEX(Data!$AN$4:$AN$375,MATCH($D52,Data!$A$4:$A$375,0)),""),NA()),NA())</f>
        <v/>
      </c>
      <c r="P52" s="346">
        <f>DATE(2026,9,28)+336</f>
        <v/>
      </c>
      <c r="Q52" s="347">
        <f>IFERROR(AVERAGEIFS(Data!$AF$4:$AF$375,Data!$A$4:$A$375,"&gt;="&amp;P52,Data!$A$4:$A$375,"&lt;="&amp;(P52+6),Data!$AF$4:$AF$375,"&gt;0"),NA())</f>
        <v/>
      </c>
    </row>
    <row r="53">
      <c r="A53" s="341" t="inlineStr">
        <is>
          <t>k_T_active</t>
        </is>
      </c>
      <c r="B53" s="349">
        <f>IFERROR(INDEX(Data!$AO$4:$AO$375,MATCH(AsOf,Data!$A$4:$A$375,0)),"")</f>
        <v/>
      </c>
      <c r="D53" s="343">
        <f>AsOf-10</f>
        <v/>
      </c>
      <c r="E53" s="344">
        <f>IFERROR(IF(ISNUMBER(IFERROR(INDEX(Data!$BF$4:$BF$375,MATCH($D53,Data!$A$4:$A$375,0)),"")),IFERROR(INDEX(Data!$BF$4:$BF$375,MATCH($D53,Data!$A$4:$A$375,0)),""),NA()),NA())</f>
        <v/>
      </c>
      <c r="F53" s="344">
        <f>IFERROR(IF(ISNUMBER(IFERROR(INDEX(Data!$BG$4:$BG$375,MATCH($D53,Data!$A$4:$A$375,0)),"")),IFERROR(INDEX(Data!$BG$4:$BG$375,MATCH($D53,Data!$A$4:$A$375,0)),""),NA()),NA())</f>
        <v/>
      </c>
      <c r="G53" s="345">
        <f>IFERROR(IF(ISNUMBER(IFERROR(INDEX(Data!$AF$4:$AF$375,MATCH($D53,Data!$A$4:$A$375,0)),"")),IFERROR(INDEX(Data!$AF$4:$AF$375,MATCH($D53,Data!$A$4:$A$375,0)),""),NA()),NA())</f>
        <v/>
      </c>
      <c r="H53" s="345">
        <f>IFERROR(IF(ISNUMBER(IFERROR(INDEX(Data!$BI$4:$BI$375,MATCH($D53,Data!$A$4:$A$375,0)),"")),IFERROR(INDEX(Data!$BI$4:$BI$375,MATCH($D53,Data!$A$4:$A$375,0)),""),NA()),NA())</f>
        <v/>
      </c>
      <c r="I53" s="345">
        <f>IFERROR(IF(ISNUMBER(IFERROR(INDEX(Data!$AG$4:$AG$375,MATCH($D53,Data!$A$4:$A$375,0)),"")),IFERROR(INDEX(Data!$AG$4:$AG$375,MATCH($D53,Data!$A$4:$A$375,0)),""),NA()),NA())</f>
        <v/>
      </c>
      <c r="J53" s="345">
        <f>IFERROR(IF(ISNUMBER(IFERROR(INDEX(Data!$AR$4:$AR$375,MATCH($D53,Data!$A$4:$A$375,0)),"")),IFERROR(INDEX(Data!$AR$4:$AR$375,MATCH($D53,Data!$A$4:$A$375,0)),""),NA()),NA())</f>
        <v/>
      </c>
      <c r="K53" s="345">
        <f>IFERROR(IF(ISNUMBER(IFERROR(INDEX(Data!$AK$4:$AK$375,MATCH($D53,Data!$A$4:$A$375,0)),"")),IFERROR(INDEX(Data!$AK$4:$AK$375,MATCH($D53,Data!$A$4:$A$375,0)),""),NA()),NA())</f>
        <v/>
      </c>
      <c r="L53" s="345">
        <f>IFERROR(IF(ISNUMBER(IFERROR(INDEX(Data!$AL$4:$AL$375,MATCH($D53,Data!$A$4:$A$375,0)),"")),IFERROR(INDEX(Data!$AL$4:$AL$375,MATCH($D53,Data!$A$4:$A$375,0)),""),NA()),NA())</f>
        <v/>
      </c>
      <c r="M53" s="345">
        <f>IFERROR(IF(ISNUMBER(IFERROR(INDEX(Data!$AM$4:$AM$375,MATCH($D53,Data!$A$4:$A$375,0)),"")),IFERROR(INDEX(Data!$AM$4:$AM$375,MATCH($D53,Data!$A$4:$A$375,0)),""),NA()),NA())</f>
        <v/>
      </c>
      <c r="N53" s="345">
        <f>IFERROR(IF(ISNUMBER(IFERROR(INDEX(Data!$AN$4:$AN$375,MATCH($D53,Data!$A$4:$A$375,0)),"")),IFERROR(INDEX(Data!$AN$4:$AN$375,MATCH($D53,Data!$A$4:$A$375,0)),""),NA()),NA())</f>
        <v/>
      </c>
      <c r="P53" s="346">
        <f>DATE(2026,9,28)+343</f>
        <v/>
      </c>
      <c r="Q53" s="347">
        <f>IFERROR(AVERAGEIFS(Data!$AF$4:$AF$375,Data!$A$4:$A$375,"&gt;="&amp;P53,Data!$A$4:$A$375,"&lt;="&amp;(P53+6),Data!$AF$4:$AF$375,"&gt;0"),NA())</f>
        <v/>
      </c>
    </row>
    <row r="54">
      <c r="A54" s="341" t="inlineStr">
        <is>
          <t>k_Y_score</t>
        </is>
      </c>
      <c r="B54" s="350">
        <f>IFERROR(INDEX(Data!$BF$4:$BF$375,MATCH(AsOf-1,Data!$A$4:$A$375,0)),"")</f>
        <v/>
      </c>
      <c r="D54" s="343">
        <f>AsOf-9</f>
        <v/>
      </c>
      <c r="E54" s="344">
        <f>IFERROR(IF(ISNUMBER(IFERROR(INDEX(Data!$BF$4:$BF$375,MATCH($D54,Data!$A$4:$A$375,0)),"")),IFERROR(INDEX(Data!$BF$4:$BF$375,MATCH($D54,Data!$A$4:$A$375,0)),""),NA()),NA())</f>
        <v/>
      </c>
      <c r="F54" s="344">
        <f>IFERROR(IF(ISNUMBER(IFERROR(INDEX(Data!$BG$4:$BG$375,MATCH($D54,Data!$A$4:$A$375,0)),"")),IFERROR(INDEX(Data!$BG$4:$BG$375,MATCH($D54,Data!$A$4:$A$375,0)),""),NA()),NA())</f>
        <v/>
      </c>
      <c r="G54" s="345">
        <f>IFERROR(IF(ISNUMBER(IFERROR(INDEX(Data!$AF$4:$AF$375,MATCH($D54,Data!$A$4:$A$375,0)),"")),IFERROR(INDEX(Data!$AF$4:$AF$375,MATCH($D54,Data!$A$4:$A$375,0)),""),NA()),NA())</f>
        <v/>
      </c>
      <c r="H54" s="345">
        <f>IFERROR(IF(ISNUMBER(IFERROR(INDEX(Data!$BI$4:$BI$375,MATCH($D54,Data!$A$4:$A$375,0)),"")),IFERROR(INDEX(Data!$BI$4:$BI$375,MATCH($D54,Data!$A$4:$A$375,0)),""),NA()),NA())</f>
        <v/>
      </c>
      <c r="I54" s="345">
        <f>IFERROR(IF(ISNUMBER(IFERROR(INDEX(Data!$AG$4:$AG$375,MATCH($D54,Data!$A$4:$A$375,0)),"")),IFERROR(INDEX(Data!$AG$4:$AG$375,MATCH($D54,Data!$A$4:$A$375,0)),""),NA()),NA())</f>
        <v/>
      </c>
      <c r="J54" s="345">
        <f>IFERROR(IF(ISNUMBER(IFERROR(INDEX(Data!$AR$4:$AR$375,MATCH($D54,Data!$A$4:$A$375,0)),"")),IFERROR(INDEX(Data!$AR$4:$AR$375,MATCH($D54,Data!$A$4:$A$375,0)),""),NA()),NA())</f>
        <v/>
      </c>
      <c r="K54" s="345">
        <f>IFERROR(IF(ISNUMBER(IFERROR(INDEX(Data!$AK$4:$AK$375,MATCH($D54,Data!$A$4:$A$375,0)),"")),IFERROR(INDEX(Data!$AK$4:$AK$375,MATCH($D54,Data!$A$4:$A$375,0)),""),NA()),NA())</f>
        <v/>
      </c>
      <c r="L54" s="345">
        <f>IFERROR(IF(ISNUMBER(IFERROR(INDEX(Data!$AL$4:$AL$375,MATCH($D54,Data!$A$4:$A$375,0)),"")),IFERROR(INDEX(Data!$AL$4:$AL$375,MATCH($D54,Data!$A$4:$A$375,0)),""),NA()),NA())</f>
        <v/>
      </c>
      <c r="M54" s="345">
        <f>IFERROR(IF(ISNUMBER(IFERROR(INDEX(Data!$AM$4:$AM$375,MATCH($D54,Data!$A$4:$A$375,0)),"")),IFERROR(INDEX(Data!$AM$4:$AM$375,MATCH($D54,Data!$A$4:$A$375,0)),""),NA()),NA())</f>
        <v/>
      </c>
      <c r="N54" s="345">
        <f>IFERROR(IF(ISNUMBER(IFERROR(INDEX(Data!$AN$4:$AN$375,MATCH($D54,Data!$A$4:$A$375,0)),"")),IFERROR(INDEX(Data!$AN$4:$AN$375,MATCH($D54,Data!$A$4:$A$375,0)),""),NA()),NA())</f>
        <v/>
      </c>
      <c r="P54" s="346">
        <f>DATE(2026,9,28)+350</f>
        <v/>
      </c>
      <c r="Q54" s="347">
        <f>IFERROR(AVERAGEIFS(Data!$AF$4:$AF$375,Data!$A$4:$A$375,"&gt;="&amp;P54,Data!$A$4:$A$375,"&lt;="&amp;(P54+6),Data!$AF$4:$AF$375,"&gt;0"),NA())</f>
        <v/>
      </c>
    </row>
    <row r="55">
      <c r="A55" s="341" t="inlineStr">
        <is>
          <t>k_Y_str</t>
        </is>
      </c>
      <c r="B55" s="348">
        <f>IFERROR(INDEX(Data!$O$4:$O$375,MATCH(AsOf-1,Data!$A$4:$A$375,0)),"")</f>
        <v/>
      </c>
      <c r="D55" s="343">
        <f>AsOf-8</f>
        <v/>
      </c>
      <c r="E55" s="344">
        <f>IFERROR(IF(ISNUMBER(IFERROR(INDEX(Data!$BF$4:$BF$375,MATCH($D55,Data!$A$4:$A$375,0)),"")),IFERROR(INDEX(Data!$BF$4:$BF$375,MATCH($D55,Data!$A$4:$A$375,0)),""),NA()),NA())</f>
        <v/>
      </c>
      <c r="F55" s="344">
        <f>IFERROR(IF(ISNUMBER(IFERROR(INDEX(Data!$BG$4:$BG$375,MATCH($D55,Data!$A$4:$A$375,0)),"")),IFERROR(INDEX(Data!$BG$4:$BG$375,MATCH($D55,Data!$A$4:$A$375,0)),""),NA()),NA())</f>
        <v/>
      </c>
      <c r="G55" s="345">
        <f>IFERROR(IF(ISNUMBER(IFERROR(INDEX(Data!$AF$4:$AF$375,MATCH($D55,Data!$A$4:$A$375,0)),"")),IFERROR(INDEX(Data!$AF$4:$AF$375,MATCH($D55,Data!$A$4:$A$375,0)),""),NA()),NA())</f>
        <v/>
      </c>
      <c r="H55" s="345">
        <f>IFERROR(IF(ISNUMBER(IFERROR(INDEX(Data!$BI$4:$BI$375,MATCH($D55,Data!$A$4:$A$375,0)),"")),IFERROR(INDEX(Data!$BI$4:$BI$375,MATCH($D55,Data!$A$4:$A$375,0)),""),NA()),NA())</f>
        <v/>
      </c>
      <c r="I55" s="345">
        <f>IFERROR(IF(ISNUMBER(IFERROR(INDEX(Data!$AG$4:$AG$375,MATCH($D55,Data!$A$4:$A$375,0)),"")),IFERROR(INDEX(Data!$AG$4:$AG$375,MATCH($D55,Data!$A$4:$A$375,0)),""),NA()),NA())</f>
        <v/>
      </c>
      <c r="J55" s="345">
        <f>IFERROR(IF(ISNUMBER(IFERROR(INDEX(Data!$AR$4:$AR$375,MATCH($D55,Data!$A$4:$A$375,0)),"")),IFERROR(INDEX(Data!$AR$4:$AR$375,MATCH($D55,Data!$A$4:$A$375,0)),""),NA()),NA())</f>
        <v/>
      </c>
      <c r="K55" s="345">
        <f>IFERROR(IF(ISNUMBER(IFERROR(INDEX(Data!$AK$4:$AK$375,MATCH($D55,Data!$A$4:$A$375,0)),"")),IFERROR(INDEX(Data!$AK$4:$AK$375,MATCH($D55,Data!$A$4:$A$375,0)),""),NA()),NA())</f>
        <v/>
      </c>
      <c r="L55" s="345">
        <f>IFERROR(IF(ISNUMBER(IFERROR(INDEX(Data!$AL$4:$AL$375,MATCH($D55,Data!$A$4:$A$375,0)),"")),IFERROR(INDEX(Data!$AL$4:$AL$375,MATCH($D55,Data!$A$4:$A$375,0)),""),NA()),NA())</f>
        <v/>
      </c>
      <c r="M55" s="345">
        <f>IFERROR(IF(ISNUMBER(IFERROR(INDEX(Data!$AM$4:$AM$375,MATCH($D55,Data!$A$4:$A$375,0)),"")),IFERROR(INDEX(Data!$AM$4:$AM$375,MATCH($D55,Data!$A$4:$A$375,0)),""),NA()),NA())</f>
        <v/>
      </c>
      <c r="N55" s="345">
        <f>IFERROR(IF(ISNUMBER(IFERROR(INDEX(Data!$AN$4:$AN$375,MATCH($D55,Data!$A$4:$A$375,0)),"")),IFERROR(INDEX(Data!$AN$4:$AN$375,MATCH($D55,Data!$A$4:$A$375,0)),""),NA()),NA())</f>
        <v/>
      </c>
      <c r="P55" s="346">
        <f>DATE(2026,9,28)+357</f>
        <v/>
      </c>
      <c r="Q55" s="347">
        <f>IFERROR(AVERAGEIFS(Data!$AF$4:$AF$375,Data!$A$4:$A$375,"&gt;="&amp;P55,Data!$A$4:$A$375,"&lt;="&amp;(P55+6),Data!$AF$4:$AF$375,"&gt;0"),NA())</f>
        <v/>
      </c>
    </row>
    <row r="56">
      <c r="A56" s="341" t="inlineStr">
        <is>
          <t>k_Y_strday</t>
        </is>
      </c>
      <c r="B56" s="348">
        <f>IFERROR(INDEX(Data!$AT$4:$AT$375,MATCH(AsOf-1,Data!$A$4:$A$375,0)),"")</f>
        <v/>
      </c>
      <c r="D56" s="343">
        <f>AsOf-7</f>
        <v/>
      </c>
      <c r="E56" s="344">
        <f>IFERROR(IF(ISNUMBER(IFERROR(INDEX(Data!$BF$4:$BF$375,MATCH($D56,Data!$A$4:$A$375,0)),"")),IFERROR(INDEX(Data!$BF$4:$BF$375,MATCH($D56,Data!$A$4:$A$375,0)),""),NA()),NA())</f>
        <v/>
      </c>
      <c r="F56" s="344">
        <f>IFERROR(IF(ISNUMBER(IFERROR(INDEX(Data!$BG$4:$BG$375,MATCH($D56,Data!$A$4:$A$375,0)),"")),IFERROR(INDEX(Data!$BG$4:$BG$375,MATCH($D56,Data!$A$4:$A$375,0)),""),NA()),NA())</f>
        <v/>
      </c>
      <c r="G56" s="345">
        <f>IFERROR(IF(ISNUMBER(IFERROR(INDEX(Data!$AF$4:$AF$375,MATCH($D56,Data!$A$4:$A$375,0)),"")),IFERROR(INDEX(Data!$AF$4:$AF$375,MATCH($D56,Data!$A$4:$A$375,0)),""),NA()),NA())</f>
        <v/>
      </c>
      <c r="H56" s="345">
        <f>IFERROR(IF(ISNUMBER(IFERROR(INDEX(Data!$BI$4:$BI$375,MATCH($D56,Data!$A$4:$A$375,0)),"")),IFERROR(INDEX(Data!$BI$4:$BI$375,MATCH($D56,Data!$A$4:$A$375,0)),""),NA()),NA())</f>
        <v/>
      </c>
      <c r="I56" s="345">
        <f>IFERROR(IF(ISNUMBER(IFERROR(INDEX(Data!$AG$4:$AG$375,MATCH($D56,Data!$A$4:$A$375,0)),"")),IFERROR(INDEX(Data!$AG$4:$AG$375,MATCH($D56,Data!$A$4:$A$375,0)),""),NA()),NA())</f>
        <v/>
      </c>
      <c r="J56" s="345">
        <f>IFERROR(IF(ISNUMBER(IFERROR(INDEX(Data!$AR$4:$AR$375,MATCH($D56,Data!$A$4:$A$375,0)),"")),IFERROR(INDEX(Data!$AR$4:$AR$375,MATCH($D56,Data!$A$4:$A$375,0)),""),NA()),NA())</f>
        <v/>
      </c>
      <c r="K56" s="345">
        <f>IFERROR(IF(ISNUMBER(IFERROR(INDEX(Data!$AK$4:$AK$375,MATCH($D56,Data!$A$4:$A$375,0)),"")),IFERROR(INDEX(Data!$AK$4:$AK$375,MATCH($D56,Data!$A$4:$A$375,0)),""),NA()),NA())</f>
        <v/>
      </c>
      <c r="L56" s="345">
        <f>IFERROR(IF(ISNUMBER(IFERROR(INDEX(Data!$AL$4:$AL$375,MATCH($D56,Data!$A$4:$A$375,0)),"")),IFERROR(INDEX(Data!$AL$4:$AL$375,MATCH($D56,Data!$A$4:$A$375,0)),""),NA()),NA())</f>
        <v/>
      </c>
      <c r="M56" s="345">
        <f>IFERROR(IF(ISNUMBER(IFERROR(INDEX(Data!$AM$4:$AM$375,MATCH($D56,Data!$A$4:$A$375,0)),"")),IFERROR(INDEX(Data!$AM$4:$AM$375,MATCH($D56,Data!$A$4:$A$375,0)),""),NA()),NA())</f>
        <v/>
      </c>
      <c r="N56" s="345">
        <f>IFERROR(IF(ISNUMBER(IFERROR(INDEX(Data!$AN$4:$AN$375,MATCH($D56,Data!$A$4:$A$375,0)),"")),IFERROR(INDEX(Data!$AN$4:$AN$375,MATCH($D56,Data!$A$4:$A$375,0)),""),NA()),NA())</f>
        <v/>
      </c>
      <c r="P56" s="346">
        <f>DATE(2026,9,28)+364</f>
        <v/>
      </c>
      <c r="Q56" s="347">
        <f>IFERROR(AVERAGEIFS(Data!$AF$4:$AF$375,Data!$A$4:$A$375,"&gt;="&amp;P56,Data!$A$4:$A$375,"&lt;="&amp;(P56+6),Data!$AF$4:$AF$375,"&gt;0"),NA())</f>
        <v/>
      </c>
    </row>
    <row r="57">
      <c r="A57" s="341" t="inlineStr">
        <is>
          <t>k_Y_mode</t>
        </is>
      </c>
      <c r="B57" s="342">
        <f>IFERROR(INDEX(Data!$E$4:$E$375,MATCH(AsOf-1,Data!$A$4:$A$375,0)),"")</f>
        <v/>
      </c>
      <c r="D57" s="343">
        <f>AsOf-6</f>
        <v/>
      </c>
      <c r="E57" s="344">
        <f>IFERROR(IF(ISNUMBER(IFERROR(INDEX(Data!$BF$4:$BF$375,MATCH($D57,Data!$A$4:$A$375,0)),"")),IFERROR(INDEX(Data!$BF$4:$BF$375,MATCH($D57,Data!$A$4:$A$375,0)),""),NA()),NA())</f>
        <v/>
      </c>
      <c r="F57" s="344">
        <f>IFERROR(IF(ISNUMBER(IFERROR(INDEX(Data!$BG$4:$BG$375,MATCH($D57,Data!$A$4:$A$375,0)),"")),IFERROR(INDEX(Data!$BG$4:$BG$375,MATCH($D57,Data!$A$4:$A$375,0)),""),NA()),NA())</f>
        <v/>
      </c>
      <c r="G57" s="345">
        <f>IFERROR(IF(ISNUMBER(IFERROR(INDEX(Data!$AF$4:$AF$375,MATCH($D57,Data!$A$4:$A$375,0)),"")),IFERROR(INDEX(Data!$AF$4:$AF$375,MATCH($D57,Data!$A$4:$A$375,0)),""),NA()),NA())</f>
        <v/>
      </c>
      <c r="H57" s="345">
        <f>IFERROR(IF(ISNUMBER(IFERROR(INDEX(Data!$BI$4:$BI$375,MATCH($D57,Data!$A$4:$A$375,0)),"")),IFERROR(INDEX(Data!$BI$4:$BI$375,MATCH($D57,Data!$A$4:$A$375,0)),""),NA()),NA())</f>
        <v/>
      </c>
      <c r="I57" s="345">
        <f>IFERROR(IF(ISNUMBER(IFERROR(INDEX(Data!$AG$4:$AG$375,MATCH($D57,Data!$A$4:$A$375,0)),"")),IFERROR(INDEX(Data!$AG$4:$AG$375,MATCH($D57,Data!$A$4:$A$375,0)),""),NA()),NA())</f>
        <v/>
      </c>
      <c r="J57" s="345">
        <f>IFERROR(IF(ISNUMBER(IFERROR(INDEX(Data!$AR$4:$AR$375,MATCH($D57,Data!$A$4:$A$375,0)),"")),IFERROR(INDEX(Data!$AR$4:$AR$375,MATCH($D57,Data!$A$4:$A$375,0)),""),NA()),NA())</f>
        <v/>
      </c>
      <c r="K57" s="345">
        <f>IFERROR(IF(ISNUMBER(IFERROR(INDEX(Data!$AK$4:$AK$375,MATCH($D57,Data!$A$4:$A$375,0)),"")),IFERROR(INDEX(Data!$AK$4:$AK$375,MATCH($D57,Data!$A$4:$A$375,0)),""),NA()),NA())</f>
        <v/>
      </c>
      <c r="L57" s="345">
        <f>IFERROR(IF(ISNUMBER(IFERROR(INDEX(Data!$AL$4:$AL$375,MATCH($D57,Data!$A$4:$A$375,0)),"")),IFERROR(INDEX(Data!$AL$4:$AL$375,MATCH($D57,Data!$A$4:$A$375,0)),""),NA()),NA())</f>
        <v/>
      </c>
      <c r="M57" s="345">
        <f>IFERROR(IF(ISNUMBER(IFERROR(INDEX(Data!$AM$4:$AM$375,MATCH($D57,Data!$A$4:$A$375,0)),"")),IFERROR(INDEX(Data!$AM$4:$AM$375,MATCH($D57,Data!$A$4:$A$375,0)),""),NA()),NA())</f>
        <v/>
      </c>
      <c r="N57" s="345">
        <f>IFERROR(IF(ISNUMBER(IFERROR(INDEX(Data!$AN$4:$AN$375,MATCH($D57,Data!$A$4:$A$375,0)),"")),IFERROR(INDEX(Data!$AN$4:$AN$375,MATCH($D57,Data!$A$4:$A$375,0)),""),NA()),NA())</f>
        <v/>
      </c>
    </row>
    <row r="58">
      <c r="A58" s="341" t="inlineStr">
        <is>
          <t>k_Y_active</t>
        </is>
      </c>
      <c r="B58" s="348">
        <f>IFERROR(INDEX(Data!$AO$4:$AO$375,MATCH(AsOf-1,Data!$A$4:$A$375,0)),"")</f>
        <v/>
      </c>
      <c r="D58" s="343">
        <f>AsOf-5</f>
        <v/>
      </c>
      <c r="E58" s="344">
        <f>IFERROR(IF(ISNUMBER(IFERROR(INDEX(Data!$BF$4:$BF$375,MATCH($D58,Data!$A$4:$A$375,0)),"")),IFERROR(INDEX(Data!$BF$4:$BF$375,MATCH($D58,Data!$A$4:$A$375,0)),""),NA()),NA())</f>
        <v/>
      </c>
      <c r="F58" s="344">
        <f>IFERROR(IF(ISNUMBER(IFERROR(INDEX(Data!$BG$4:$BG$375,MATCH($D58,Data!$A$4:$A$375,0)),"")),IFERROR(INDEX(Data!$BG$4:$BG$375,MATCH($D58,Data!$A$4:$A$375,0)),""),NA()),NA())</f>
        <v/>
      </c>
      <c r="G58" s="345">
        <f>IFERROR(IF(ISNUMBER(IFERROR(INDEX(Data!$AF$4:$AF$375,MATCH($D58,Data!$A$4:$A$375,0)),"")),IFERROR(INDEX(Data!$AF$4:$AF$375,MATCH($D58,Data!$A$4:$A$375,0)),""),NA()),NA())</f>
        <v/>
      </c>
      <c r="H58" s="345">
        <f>IFERROR(IF(ISNUMBER(IFERROR(INDEX(Data!$BI$4:$BI$375,MATCH($D58,Data!$A$4:$A$375,0)),"")),IFERROR(INDEX(Data!$BI$4:$BI$375,MATCH($D58,Data!$A$4:$A$375,0)),""),NA()),NA())</f>
        <v/>
      </c>
      <c r="I58" s="345">
        <f>IFERROR(IF(ISNUMBER(IFERROR(INDEX(Data!$AG$4:$AG$375,MATCH($D58,Data!$A$4:$A$375,0)),"")),IFERROR(INDEX(Data!$AG$4:$AG$375,MATCH($D58,Data!$A$4:$A$375,0)),""),NA()),NA())</f>
        <v/>
      </c>
      <c r="J58" s="345">
        <f>IFERROR(IF(ISNUMBER(IFERROR(INDEX(Data!$AR$4:$AR$375,MATCH($D58,Data!$A$4:$A$375,0)),"")),IFERROR(INDEX(Data!$AR$4:$AR$375,MATCH($D58,Data!$A$4:$A$375,0)),""),NA()),NA())</f>
        <v/>
      </c>
      <c r="K58" s="345">
        <f>IFERROR(IF(ISNUMBER(IFERROR(INDEX(Data!$AK$4:$AK$375,MATCH($D58,Data!$A$4:$A$375,0)),"")),IFERROR(INDEX(Data!$AK$4:$AK$375,MATCH($D58,Data!$A$4:$A$375,0)),""),NA()),NA())</f>
        <v/>
      </c>
      <c r="L58" s="345">
        <f>IFERROR(IF(ISNUMBER(IFERROR(INDEX(Data!$AL$4:$AL$375,MATCH($D58,Data!$A$4:$A$375,0)),"")),IFERROR(INDEX(Data!$AL$4:$AL$375,MATCH($D58,Data!$A$4:$A$375,0)),""),NA()),NA())</f>
        <v/>
      </c>
      <c r="M58" s="345">
        <f>IFERROR(IF(ISNUMBER(IFERROR(INDEX(Data!$AM$4:$AM$375,MATCH($D58,Data!$A$4:$A$375,0)),"")),IFERROR(INDEX(Data!$AM$4:$AM$375,MATCH($D58,Data!$A$4:$A$375,0)),""),NA()),NA())</f>
        <v/>
      </c>
      <c r="N58" s="345">
        <f>IFERROR(IF(ISNUMBER(IFERROR(INDEX(Data!$AN$4:$AN$375,MATCH($D58,Data!$A$4:$A$375,0)),"")),IFERROR(INDEX(Data!$AN$4:$AN$375,MATCH($D58,Data!$A$4:$A$375,0)),""),NA()),NA())</f>
        <v/>
      </c>
    </row>
    <row r="59">
      <c r="A59" s="341" t="inlineStr">
        <is>
          <t>k_W7_m7</t>
        </is>
      </c>
      <c r="B59" s="351">
        <f>IFERROR(INDEX(Data!$BI$4:$BI$375,MATCH(AsOf-7,Data!$A$4:$A$375,0)),"")</f>
        <v/>
      </c>
      <c r="D59" s="343">
        <f>AsOf-4</f>
        <v/>
      </c>
      <c r="E59" s="344">
        <f>IFERROR(IF(ISNUMBER(IFERROR(INDEX(Data!$BF$4:$BF$375,MATCH($D59,Data!$A$4:$A$375,0)),"")),IFERROR(INDEX(Data!$BF$4:$BF$375,MATCH($D59,Data!$A$4:$A$375,0)),""),NA()),NA())</f>
        <v/>
      </c>
      <c r="F59" s="344">
        <f>IFERROR(IF(ISNUMBER(IFERROR(INDEX(Data!$BG$4:$BG$375,MATCH($D59,Data!$A$4:$A$375,0)),"")),IFERROR(INDEX(Data!$BG$4:$BG$375,MATCH($D59,Data!$A$4:$A$375,0)),""),NA()),NA())</f>
        <v/>
      </c>
      <c r="G59" s="345">
        <f>IFERROR(IF(ISNUMBER(IFERROR(INDEX(Data!$AF$4:$AF$375,MATCH($D59,Data!$A$4:$A$375,0)),"")),IFERROR(INDEX(Data!$AF$4:$AF$375,MATCH($D59,Data!$A$4:$A$375,0)),""),NA()),NA())</f>
        <v/>
      </c>
      <c r="H59" s="345">
        <f>IFERROR(IF(ISNUMBER(IFERROR(INDEX(Data!$BI$4:$BI$375,MATCH($D59,Data!$A$4:$A$375,0)),"")),IFERROR(INDEX(Data!$BI$4:$BI$375,MATCH($D59,Data!$A$4:$A$375,0)),""),NA()),NA())</f>
        <v/>
      </c>
      <c r="I59" s="345">
        <f>IFERROR(IF(ISNUMBER(IFERROR(INDEX(Data!$AG$4:$AG$375,MATCH($D59,Data!$A$4:$A$375,0)),"")),IFERROR(INDEX(Data!$AG$4:$AG$375,MATCH($D59,Data!$A$4:$A$375,0)),""),NA()),NA())</f>
        <v/>
      </c>
      <c r="J59" s="345">
        <f>IFERROR(IF(ISNUMBER(IFERROR(INDEX(Data!$AR$4:$AR$375,MATCH($D59,Data!$A$4:$A$375,0)),"")),IFERROR(INDEX(Data!$AR$4:$AR$375,MATCH($D59,Data!$A$4:$A$375,0)),""),NA()),NA())</f>
        <v/>
      </c>
      <c r="K59" s="345">
        <f>IFERROR(IF(ISNUMBER(IFERROR(INDEX(Data!$AK$4:$AK$375,MATCH($D59,Data!$A$4:$A$375,0)),"")),IFERROR(INDEX(Data!$AK$4:$AK$375,MATCH($D59,Data!$A$4:$A$375,0)),""),NA()),NA())</f>
        <v/>
      </c>
      <c r="L59" s="345">
        <f>IFERROR(IF(ISNUMBER(IFERROR(INDEX(Data!$AL$4:$AL$375,MATCH($D59,Data!$A$4:$A$375,0)),"")),IFERROR(INDEX(Data!$AL$4:$AL$375,MATCH($D59,Data!$A$4:$A$375,0)),""),NA()),NA())</f>
        <v/>
      </c>
      <c r="M59" s="345">
        <f>IFERROR(IF(ISNUMBER(IFERROR(INDEX(Data!$AM$4:$AM$375,MATCH($D59,Data!$A$4:$A$375,0)),"")),IFERROR(INDEX(Data!$AM$4:$AM$375,MATCH($D59,Data!$A$4:$A$375,0)),""),NA()),NA())</f>
        <v/>
      </c>
      <c r="N59" s="345">
        <f>IFERROR(IF(ISNUMBER(IFERROR(INDEX(Data!$AN$4:$AN$375,MATCH($D59,Data!$A$4:$A$375,0)),"")),IFERROR(INDEX(Data!$AN$4:$AN$375,MATCH($D59,Data!$A$4:$A$375,0)),""),NA()),NA())</f>
        <v/>
      </c>
    </row>
    <row r="60">
      <c r="A60" s="341" t="inlineStr">
        <is>
          <t>k_W7_m14</t>
        </is>
      </c>
      <c r="B60" s="351">
        <f>IFERROR(INDEX(Data!$BI$4:$BI$375,MATCH(AsOf-14,Data!$A$4:$A$375,0)),"")</f>
        <v/>
      </c>
      <c r="D60" s="343">
        <f>AsOf-3</f>
        <v/>
      </c>
      <c r="E60" s="344">
        <f>IFERROR(IF(ISNUMBER(IFERROR(INDEX(Data!$BF$4:$BF$375,MATCH($D60,Data!$A$4:$A$375,0)),"")),IFERROR(INDEX(Data!$BF$4:$BF$375,MATCH($D60,Data!$A$4:$A$375,0)),""),NA()),NA())</f>
        <v/>
      </c>
      <c r="F60" s="344">
        <f>IFERROR(IF(ISNUMBER(IFERROR(INDEX(Data!$BG$4:$BG$375,MATCH($D60,Data!$A$4:$A$375,0)),"")),IFERROR(INDEX(Data!$BG$4:$BG$375,MATCH($D60,Data!$A$4:$A$375,0)),""),NA()),NA())</f>
        <v/>
      </c>
      <c r="G60" s="345">
        <f>IFERROR(IF(ISNUMBER(IFERROR(INDEX(Data!$AF$4:$AF$375,MATCH($D60,Data!$A$4:$A$375,0)),"")),IFERROR(INDEX(Data!$AF$4:$AF$375,MATCH($D60,Data!$A$4:$A$375,0)),""),NA()),NA())</f>
        <v/>
      </c>
      <c r="H60" s="345">
        <f>IFERROR(IF(ISNUMBER(IFERROR(INDEX(Data!$BI$4:$BI$375,MATCH($D60,Data!$A$4:$A$375,0)),"")),IFERROR(INDEX(Data!$BI$4:$BI$375,MATCH($D60,Data!$A$4:$A$375,0)),""),NA()),NA())</f>
        <v/>
      </c>
      <c r="I60" s="345">
        <f>IFERROR(IF(ISNUMBER(IFERROR(INDEX(Data!$AG$4:$AG$375,MATCH($D60,Data!$A$4:$A$375,0)),"")),IFERROR(INDEX(Data!$AG$4:$AG$375,MATCH($D60,Data!$A$4:$A$375,0)),""),NA()),NA())</f>
        <v/>
      </c>
      <c r="J60" s="345">
        <f>IFERROR(IF(ISNUMBER(IFERROR(INDEX(Data!$AR$4:$AR$375,MATCH($D60,Data!$A$4:$A$375,0)),"")),IFERROR(INDEX(Data!$AR$4:$AR$375,MATCH($D60,Data!$A$4:$A$375,0)),""),NA()),NA())</f>
        <v/>
      </c>
      <c r="K60" s="345">
        <f>IFERROR(IF(ISNUMBER(IFERROR(INDEX(Data!$AK$4:$AK$375,MATCH($D60,Data!$A$4:$A$375,0)),"")),IFERROR(INDEX(Data!$AK$4:$AK$375,MATCH($D60,Data!$A$4:$A$375,0)),""),NA()),NA())</f>
        <v/>
      </c>
      <c r="L60" s="345">
        <f>IFERROR(IF(ISNUMBER(IFERROR(INDEX(Data!$AL$4:$AL$375,MATCH($D60,Data!$A$4:$A$375,0)),"")),IFERROR(INDEX(Data!$AL$4:$AL$375,MATCH($D60,Data!$A$4:$A$375,0)),""),NA()),NA())</f>
        <v/>
      </c>
      <c r="M60" s="345">
        <f>IFERROR(IF(ISNUMBER(IFERROR(INDEX(Data!$AM$4:$AM$375,MATCH($D60,Data!$A$4:$A$375,0)),"")),IFERROR(INDEX(Data!$AM$4:$AM$375,MATCH($D60,Data!$A$4:$A$375,0)),""),NA()),NA())</f>
        <v/>
      </c>
      <c r="N60" s="345">
        <f>IFERROR(IF(ISNUMBER(IFERROR(INDEX(Data!$AN$4:$AN$375,MATCH($D60,Data!$A$4:$A$375,0)),"")),IFERROR(INDEX(Data!$AN$4:$AN$375,MATCH($D60,Data!$A$4:$A$375,0)),""),NA()),NA())</f>
        <v/>
      </c>
    </row>
    <row r="61">
      <c r="A61" s="341" t="inlineStr">
        <is>
          <t>k_W7_m30</t>
        </is>
      </c>
      <c r="B61" s="351">
        <f>IFERROR(INDEX(Data!$BI$4:$BI$375,MATCH(AsOf-30,Data!$A$4:$A$375,0)),"")</f>
        <v/>
      </c>
      <c r="D61" s="343">
        <f>AsOf-2</f>
        <v/>
      </c>
      <c r="E61" s="344">
        <f>IFERROR(IF(ISNUMBER(IFERROR(INDEX(Data!$BF$4:$BF$375,MATCH($D61,Data!$A$4:$A$375,0)),"")),IFERROR(INDEX(Data!$BF$4:$BF$375,MATCH($D61,Data!$A$4:$A$375,0)),""),NA()),NA())</f>
        <v/>
      </c>
      <c r="F61" s="344">
        <f>IFERROR(IF(ISNUMBER(IFERROR(INDEX(Data!$BG$4:$BG$375,MATCH($D61,Data!$A$4:$A$375,0)),"")),IFERROR(INDEX(Data!$BG$4:$BG$375,MATCH($D61,Data!$A$4:$A$375,0)),""),NA()),NA())</f>
        <v/>
      </c>
      <c r="G61" s="345">
        <f>IFERROR(IF(ISNUMBER(IFERROR(INDEX(Data!$AF$4:$AF$375,MATCH($D61,Data!$A$4:$A$375,0)),"")),IFERROR(INDEX(Data!$AF$4:$AF$375,MATCH($D61,Data!$A$4:$A$375,0)),""),NA()),NA())</f>
        <v/>
      </c>
      <c r="H61" s="345">
        <f>IFERROR(IF(ISNUMBER(IFERROR(INDEX(Data!$BI$4:$BI$375,MATCH($D61,Data!$A$4:$A$375,0)),"")),IFERROR(INDEX(Data!$BI$4:$BI$375,MATCH($D61,Data!$A$4:$A$375,0)),""),NA()),NA())</f>
        <v/>
      </c>
      <c r="I61" s="345">
        <f>IFERROR(IF(ISNUMBER(IFERROR(INDEX(Data!$AG$4:$AG$375,MATCH($D61,Data!$A$4:$A$375,0)),"")),IFERROR(INDEX(Data!$AG$4:$AG$375,MATCH($D61,Data!$A$4:$A$375,0)),""),NA()),NA())</f>
        <v/>
      </c>
      <c r="J61" s="345">
        <f>IFERROR(IF(ISNUMBER(IFERROR(INDEX(Data!$AR$4:$AR$375,MATCH($D61,Data!$A$4:$A$375,0)),"")),IFERROR(INDEX(Data!$AR$4:$AR$375,MATCH($D61,Data!$A$4:$A$375,0)),""),NA()),NA())</f>
        <v/>
      </c>
      <c r="K61" s="345">
        <f>IFERROR(IF(ISNUMBER(IFERROR(INDEX(Data!$AK$4:$AK$375,MATCH($D61,Data!$A$4:$A$375,0)),"")),IFERROR(INDEX(Data!$AK$4:$AK$375,MATCH($D61,Data!$A$4:$A$375,0)),""),NA()),NA())</f>
        <v/>
      </c>
      <c r="L61" s="345">
        <f>IFERROR(IF(ISNUMBER(IFERROR(INDEX(Data!$AL$4:$AL$375,MATCH($D61,Data!$A$4:$A$375,0)),"")),IFERROR(INDEX(Data!$AL$4:$AL$375,MATCH($D61,Data!$A$4:$A$375,0)),""),NA()),NA())</f>
        <v/>
      </c>
      <c r="M61" s="345">
        <f>IFERROR(IF(ISNUMBER(IFERROR(INDEX(Data!$AM$4:$AM$375,MATCH($D61,Data!$A$4:$A$375,0)),"")),IFERROR(INDEX(Data!$AM$4:$AM$375,MATCH($D61,Data!$A$4:$A$375,0)),""),NA()),NA())</f>
        <v/>
      </c>
      <c r="N61" s="345">
        <f>IFERROR(IF(ISNUMBER(IFERROR(INDEX(Data!$AN$4:$AN$375,MATCH($D61,Data!$A$4:$A$375,0)),"")),IFERROR(INDEX(Data!$AN$4:$AN$375,MATCH($D61,Data!$A$4:$A$375,0)),""),NA()),NA())</f>
        <v/>
      </c>
    </row>
    <row r="62">
      <c r="A62" s="341" t="inlineStr">
        <is>
          <t>k_R7_m7</t>
        </is>
      </c>
      <c r="B62" s="350">
        <f>IFERROR(INDEX(Data!$BG$4:$BG$375,MATCH(AsOf-7,Data!$A$4:$A$375,0)),"")</f>
        <v/>
      </c>
      <c r="D62" s="343">
        <f>AsOf-1</f>
        <v/>
      </c>
      <c r="E62" s="344">
        <f>IFERROR(IF(ISNUMBER(IFERROR(INDEX(Data!$BF$4:$BF$375,MATCH($D62,Data!$A$4:$A$375,0)),"")),IFERROR(INDEX(Data!$BF$4:$BF$375,MATCH($D62,Data!$A$4:$A$375,0)),""),NA()),NA())</f>
        <v/>
      </c>
      <c r="F62" s="344">
        <f>IFERROR(IF(ISNUMBER(IFERROR(INDEX(Data!$BG$4:$BG$375,MATCH($D62,Data!$A$4:$A$375,0)),"")),IFERROR(INDEX(Data!$BG$4:$BG$375,MATCH($D62,Data!$A$4:$A$375,0)),""),NA()),NA())</f>
        <v/>
      </c>
      <c r="G62" s="345">
        <f>IFERROR(IF(ISNUMBER(IFERROR(INDEX(Data!$AF$4:$AF$375,MATCH($D62,Data!$A$4:$A$375,0)),"")),IFERROR(INDEX(Data!$AF$4:$AF$375,MATCH($D62,Data!$A$4:$A$375,0)),""),NA()),NA())</f>
        <v/>
      </c>
      <c r="H62" s="345">
        <f>IFERROR(IF(ISNUMBER(IFERROR(INDEX(Data!$BI$4:$BI$375,MATCH($D62,Data!$A$4:$A$375,0)),"")),IFERROR(INDEX(Data!$BI$4:$BI$375,MATCH($D62,Data!$A$4:$A$375,0)),""),NA()),NA())</f>
        <v/>
      </c>
      <c r="I62" s="345">
        <f>IFERROR(IF(ISNUMBER(IFERROR(INDEX(Data!$AG$4:$AG$375,MATCH($D62,Data!$A$4:$A$375,0)),"")),IFERROR(INDEX(Data!$AG$4:$AG$375,MATCH($D62,Data!$A$4:$A$375,0)),""),NA()),NA())</f>
        <v/>
      </c>
      <c r="J62" s="345">
        <f>IFERROR(IF(ISNUMBER(IFERROR(INDEX(Data!$AR$4:$AR$375,MATCH($D62,Data!$A$4:$A$375,0)),"")),IFERROR(INDEX(Data!$AR$4:$AR$375,MATCH($D62,Data!$A$4:$A$375,0)),""),NA()),NA())</f>
        <v/>
      </c>
      <c r="K62" s="345">
        <f>IFERROR(IF(ISNUMBER(IFERROR(INDEX(Data!$AK$4:$AK$375,MATCH($D62,Data!$A$4:$A$375,0)),"")),IFERROR(INDEX(Data!$AK$4:$AK$375,MATCH($D62,Data!$A$4:$A$375,0)),""),NA()),NA())</f>
        <v/>
      </c>
      <c r="L62" s="345">
        <f>IFERROR(IF(ISNUMBER(IFERROR(INDEX(Data!$AL$4:$AL$375,MATCH($D62,Data!$A$4:$A$375,0)),"")),IFERROR(INDEX(Data!$AL$4:$AL$375,MATCH($D62,Data!$A$4:$A$375,0)),""),NA()),NA())</f>
        <v/>
      </c>
      <c r="M62" s="345">
        <f>IFERROR(IF(ISNUMBER(IFERROR(INDEX(Data!$AM$4:$AM$375,MATCH($D62,Data!$A$4:$A$375,0)),"")),IFERROR(INDEX(Data!$AM$4:$AM$375,MATCH($D62,Data!$A$4:$A$375,0)),""),NA()),NA())</f>
        <v/>
      </c>
      <c r="N62" s="345">
        <f>IFERROR(IF(ISNUMBER(IFERROR(INDEX(Data!$AN$4:$AN$375,MATCH($D62,Data!$A$4:$A$375,0)),"")),IFERROR(INDEX(Data!$AN$4:$AN$375,MATCH($D62,Data!$A$4:$A$375,0)),""),NA()),NA())</f>
        <v/>
      </c>
    </row>
    <row r="63">
      <c r="A63" s="341" t="inlineStr">
        <is>
          <t>k_Rate</t>
        </is>
      </c>
      <c r="B63" s="352">
        <f>IF(OR(NOT(ISNUMBER(k_T_w7)),NOT(ISNUMBER(k_W7_m7))),"",k_T_w7-k_W7_m7)</f>
        <v/>
      </c>
      <c r="D63" s="343">
        <f>AsOf-0</f>
        <v/>
      </c>
      <c r="E63" s="344">
        <f>IFERROR(IF(ISNUMBER(IFERROR(INDEX(Data!$BF$4:$BF$375,MATCH($D63,Data!$A$4:$A$375,0)),"")),IFERROR(INDEX(Data!$BF$4:$BF$375,MATCH($D63,Data!$A$4:$A$375,0)),""),NA()),NA())</f>
        <v/>
      </c>
      <c r="F63" s="344">
        <f>IFERROR(IF(ISNUMBER(IFERROR(INDEX(Data!$BG$4:$BG$375,MATCH($D63,Data!$A$4:$A$375,0)),"")),IFERROR(INDEX(Data!$BG$4:$BG$375,MATCH($D63,Data!$A$4:$A$375,0)),""),NA()),NA())</f>
        <v/>
      </c>
      <c r="G63" s="345">
        <f>IFERROR(IF(ISNUMBER(IFERROR(INDEX(Data!$AF$4:$AF$375,MATCH($D63,Data!$A$4:$A$375,0)),"")),IFERROR(INDEX(Data!$AF$4:$AF$375,MATCH($D63,Data!$A$4:$A$375,0)),""),NA()),NA())</f>
        <v/>
      </c>
      <c r="H63" s="345">
        <f>IFERROR(IF(ISNUMBER(IFERROR(INDEX(Data!$BI$4:$BI$375,MATCH($D63,Data!$A$4:$A$375,0)),"")),IFERROR(INDEX(Data!$BI$4:$BI$375,MATCH($D63,Data!$A$4:$A$375,0)),""),NA()),NA())</f>
        <v/>
      </c>
      <c r="I63" s="345">
        <f>IFERROR(IF(ISNUMBER(IFERROR(INDEX(Data!$AG$4:$AG$375,MATCH($D63,Data!$A$4:$A$375,0)),"")),IFERROR(INDEX(Data!$AG$4:$AG$375,MATCH($D63,Data!$A$4:$A$375,0)),""),NA()),NA())</f>
        <v/>
      </c>
      <c r="J63" s="345">
        <f>IFERROR(IF(ISNUMBER(IFERROR(INDEX(Data!$AR$4:$AR$375,MATCH($D63,Data!$A$4:$A$375,0)),"")),IFERROR(INDEX(Data!$AR$4:$AR$375,MATCH($D63,Data!$A$4:$A$375,0)),""),NA()),NA())</f>
        <v/>
      </c>
      <c r="K63" s="345">
        <f>IFERROR(IF(ISNUMBER(IFERROR(INDEX(Data!$AK$4:$AK$375,MATCH($D63,Data!$A$4:$A$375,0)),"")),IFERROR(INDEX(Data!$AK$4:$AK$375,MATCH($D63,Data!$A$4:$A$375,0)),""),NA()),NA())</f>
        <v/>
      </c>
      <c r="L63" s="345">
        <f>IFERROR(IF(ISNUMBER(IFERROR(INDEX(Data!$AL$4:$AL$375,MATCH($D63,Data!$A$4:$A$375,0)),"")),IFERROR(INDEX(Data!$AL$4:$AL$375,MATCH($D63,Data!$A$4:$A$375,0)),""),NA()),NA())</f>
        <v/>
      </c>
      <c r="M63" s="345">
        <f>IFERROR(IF(ISNUMBER(IFERROR(INDEX(Data!$AM$4:$AM$375,MATCH($D63,Data!$A$4:$A$375,0)),"")),IFERROR(INDEX(Data!$AM$4:$AM$375,MATCH($D63,Data!$A$4:$A$375,0)),""),NA()),NA())</f>
        <v/>
      </c>
      <c r="N63" s="345">
        <f>IFERROR(IF(ISNUMBER(IFERROR(INDEX(Data!$AN$4:$AN$375,MATCH($D63,Data!$A$4:$A$375,0)),"")),IFERROR(INDEX(Data!$AN$4:$AN$375,MATCH($D63,Data!$A$4:$A$375,0)),""),NA()),NA())</f>
        <v/>
      </c>
    </row>
    <row r="64">
      <c r="A64" s="341" t="inlineStr">
        <is>
          <t>k_RatePrev</t>
        </is>
      </c>
      <c r="B64" s="352">
        <f>IF(OR(NOT(ISNUMBER(k_W7_m7)),NOT(ISNUMBER(k_W7_m14))),"",k_W7_m7-k_W7_m14)</f>
        <v/>
      </c>
    </row>
    <row r="65">
      <c r="A65" s="341" t="inlineStr">
        <is>
          <t>k_Change30</t>
        </is>
      </c>
      <c r="B65" s="353">
        <f>IF(OR(NOT(ISNUMBER(k_T_w7)),NOT(ISNUMBER(k_W7_m30))),"",k_T_w7-k_W7_m30)</f>
        <v/>
      </c>
    </row>
    <row r="66">
      <c r="A66" s="341" t="inlineStr">
        <is>
          <t>k_TodayOpen</t>
        </is>
      </c>
      <c r="B66" s="348">
        <f>IF(AND(N(k_T_active)=1,N(k_T_logged)=0,k_Mode&lt;&gt;"S"),1,0)</f>
        <v/>
      </c>
    </row>
    <row r="67">
      <c r="A67" s="341" t="inlineStr">
        <is>
          <t>k_D7</t>
        </is>
      </c>
      <c r="B67" s="348">
        <f>COUNTIFS(Data!$A$4:$A$375,"&gt;"&amp;(AsOf-7),Data!$A$4:$A$375,"&lt;="&amp;AsOf,Data!$AO$4:$AO$375,1,Data!$E$4:$E$375,"&lt;&gt;S")-k_TodayOpen</f>
        <v/>
      </c>
    </row>
    <row r="68">
      <c r="A68" s="341" t="inlineStr">
        <is>
          <t>k_D30</t>
        </is>
      </c>
      <c r="B68" s="348">
        <f>COUNTIFS(Data!$A$4:$A$375,"&gt;"&amp;(AsOf-30),Data!$A$4:$A$375,"&lt;="&amp;AsOf,Data!$AO$4:$AO$375,1,Data!$E$4:$E$375,"&lt;&gt;S")-k_TodayOpen</f>
        <v/>
      </c>
    </row>
    <row r="69">
      <c r="A69" s="341" t="inlineStr">
        <is>
          <t>k_WD7</t>
        </is>
      </c>
      <c r="B69" s="348">
        <f>COUNTIFS(Data!$A$4:$A$375,"&gt;"&amp;(AsOf-7),Data!$A$4:$A$375,"&lt;="&amp;AsOf,Data!$AO$4:$AO$375,1,Data!$E$4:$E$375,"&lt;&gt;S",Data!$AS$4:$AS$375,1)-IF(N(k_T_workday)=1,k_TodayOpen,0)</f>
        <v/>
      </c>
    </row>
    <row r="70">
      <c r="A70" s="341" t="inlineStr">
        <is>
          <t>k_WD30</t>
        </is>
      </c>
      <c r="B70" s="348">
        <f>COUNTIFS(Data!$A$4:$A$375,"&gt;"&amp;(AsOf-30),Data!$A$4:$A$375,"&lt;="&amp;AsOf,Data!$AO$4:$AO$375,1,Data!$E$4:$E$375,"&lt;&gt;S",Data!$AS$4:$AS$375,1)-IF(N(k_T_workday)=1,k_TodayOpen,0)</f>
        <v/>
      </c>
    </row>
    <row r="71">
      <c r="A71" s="341" t="inlineStr">
        <is>
          <t>k_Logged7</t>
        </is>
      </c>
      <c r="B71" s="348">
        <f>SUMIFS(Data!$AP$4:$AP$375,Data!$A$4:$A$375,"&gt;"&amp;(AsOf-7),Data!$A$4:$A$375,"&lt;="&amp;AsOf)</f>
        <v/>
      </c>
    </row>
    <row r="72">
      <c r="A72" s="341" t="inlineStr">
        <is>
          <t>k_Str7</t>
        </is>
      </c>
      <c r="B72" s="348">
        <f>SUMIFS(Data!$O$4:$O$375,Data!$A$4:$A$375,"&gt;"&amp;(AsOf-7),Data!$A$4:$A$375,"&lt;="&amp;AsOf)</f>
        <v/>
      </c>
    </row>
    <row r="73">
      <c r="A73" s="341" t="inlineStr">
        <is>
          <t>k_Str14</t>
        </is>
      </c>
      <c r="B73" s="348">
        <f>SUMIFS(Data!$O$4:$O$375,Data!$A$4:$A$375,"&gt;"&amp;(AsOf-14),Data!$A$4:$A$375,"&lt;="&amp;AsOf)</f>
        <v/>
      </c>
    </row>
    <row r="74">
      <c r="A74" s="341" t="inlineStr">
        <is>
          <t>k_Prog14</t>
        </is>
      </c>
      <c r="B74" s="348">
        <f>SUMIFS(Data!$P$4:$P$375,Data!$A$4:$A$375,"&gt;"&amp;(AsOf-14),Data!$A$4:$A$375,"&lt;="&amp;AsOf)</f>
        <v/>
      </c>
    </row>
    <row r="75">
      <c r="A75" s="341" t="inlineStr">
        <is>
          <t>k_Str30</t>
        </is>
      </c>
      <c r="B75" s="348">
        <f>SUMIFS(Data!$O$4:$O$375,Data!$A$4:$A$375,"&gt;"&amp;(AsOf-30),Data!$A$4:$A$375,"&lt;="&amp;AsOf)</f>
        <v/>
      </c>
    </row>
    <row r="76">
      <c r="A76" s="341" t="inlineStr">
        <is>
          <t>k_ProgRate14</t>
        </is>
      </c>
      <c r="B76" s="350">
        <f>IF(k_Str14=0,"",MIN(1,k_Prog14/k_Str14))</f>
        <v/>
      </c>
    </row>
    <row r="77">
      <c r="A77" s="341" t="inlineStr">
        <is>
          <t>k_Core7</t>
        </is>
      </c>
      <c r="B77" s="348">
        <f>SUMIFS(Data!$Q$4:$Q$375,Data!$A$4:$A$375,"&gt;"&amp;(AsOf-7),Data!$A$4:$A$375,"&lt;="&amp;AsOf)</f>
        <v/>
      </c>
    </row>
    <row r="78">
      <c r="A78" s="341" t="inlineStr">
        <is>
          <t>k_Calf7</t>
        </is>
      </c>
      <c r="B78" s="348">
        <f>SUMIFS(Data!$R$4:$R$375,Data!$A$4:$A$375,"&gt;"&amp;(AsOf-7),Data!$A$4:$A$375,"&lt;="&amp;AsOf)</f>
        <v/>
      </c>
    </row>
    <row r="79">
      <c r="A79" s="341" t="inlineStr">
        <is>
          <t>k_Cardio7</t>
        </is>
      </c>
      <c r="B79" s="348">
        <f>SUMIFS(Data!$S$4:$S$375,Data!$A$4:$A$375,"&gt;"&amp;(AsOf-7),Data!$A$4:$A$375,"&lt;="&amp;AsOf)+SUMIFS(Data!$AC$4:$AC$375,Data!$A$4:$A$375,"&gt;"&amp;(AsOf-7),Data!$A$4:$A$375,"&lt;="&amp;AsOf)</f>
        <v/>
      </c>
    </row>
    <row r="80">
      <c r="A80" s="341" t="inlineStr">
        <is>
          <t>k_Church7</t>
        </is>
      </c>
      <c r="B80" s="348">
        <f>SUMIFS(Data!$Z$4:$Z$375,Data!$A$4:$A$375,"&gt;"&amp;(AsOf-7),Data!$A$4:$A$375,"&lt;="&amp;AsOf)</f>
        <v/>
      </c>
    </row>
    <row r="81">
      <c r="A81" s="341" t="inlineStr">
        <is>
          <t>k_Son7</t>
        </is>
      </c>
      <c r="B81" s="348">
        <f>SUMIFS(Data!$W$4:$W$375,Data!$A$4:$A$375,"&gt;"&amp;(AsOf-7),Data!$A$4:$A$375,"&lt;="&amp;AsOf)</f>
        <v/>
      </c>
    </row>
    <row r="82">
      <c r="A82" s="341" t="inlineStr">
        <is>
          <t>k_Date7</t>
        </is>
      </c>
      <c r="B82" s="348">
        <f>SUMIFS(Data!$X$4:$X$375,Data!$A$4:$A$375,"&gt;"&amp;(AsOf-7),Data!$A$4:$A$375,"&lt;="&amp;AsOf)</f>
        <v/>
      </c>
    </row>
    <row r="83">
      <c r="A83" s="341" t="inlineStr">
        <is>
          <t>k_Family7</t>
        </is>
      </c>
      <c r="B83" s="348">
        <f>SUMIFS(Data!$Y$4:$Y$375,Data!$A$4:$A$375,"&gt;"&amp;(AsOf-7),Data!$A$4:$A$375,"&lt;="&amp;AsOf)</f>
        <v/>
      </c>
    </row>
    <row r="84">
      <c r="A84" s="341" t="inlineStr">
        <is>
          <t>k_Prep7</t>
        </is>
      </c>
      <c r="B84" s="348">
        <f>SUMIFS(Data!$AA$4:$AA$375,Data!$A$4:$A$375,"&gt;"&amp;(AsOf-7),Data!$A$4:$A$375,"&lt;="&amp;AsOf)</f>
        <v/>
      </c>
    </row>
    <row r="85">
      <c r="A85" s="341" t="inlineStr">
        <is>
          <t>k_Pray7</t>
        </is>
      </c>
      <c r="B85" s="348">
        <f>SUMIFS(Data!$G$4:$G$375,Data!$A$4:$A$375,"&gt;"&amp;(AsOf-7),Data!$A$4:$A$375,"&lt;="&amp;AsOf)</f>
        <v/>
      </c>
    </row>
    <row r="86">
      <c r="A86" s="341" t="inlineStr">
        <is>
          <t>k_Pray30</t>
        </is>
      </c>
      <c r="B86" s="348">
        <f>SUMIFS(Data!$G$4:$G$375,Data!$A$4:$A$375,"&gt;"&amp;(AsOf-30),Data!$A$4:$A$375,"&lt;="&amp;AsOf)</f>
        <v/>
      </c>
    </row>
    <row r="87">
      <c r="A87" s="341" t="inlineStr">
        <is>
          <t>k_Read30</t>
        </is>
      </c>
      <c r="B87" s="348">
        <f>SUMIFS(Data!$BC$4:$BC$375,Data!$A$4:$A$375,"&gt;"&amp;(AsOf-30),Data!$A$4:$A$375,"&lt;="&amp;AsOf)</f>
        <v/>
      </c>
    </row>
    <row r="88">
      <c r="A88" s="341" t="inlineStr">
        <is>
          <t>k_Prot7</t>
        </is>
      </c>
      <c r="B88" s="348">
        <f>IFERROR(AVERAGEIFS(Data!$AH$4:$AH$375,Data!$A$4:$A$375,"&gt;"&amp;(AsOf-7),Data!$A$4:$A$375,"&lt;="&amp;AsOf,Data!$AH$4:$AH$375,"&gt;0"),"")</f>
        <v/>
      </c>
    </row>
    <row r="89">
      <c r="A89" s="341" t="inlineStr">
        <is>
          <t>k_Steps7</t>
        </is>
      </c>
      <c r="B89" s="354">
        <f>IFERROR(AVERAGEIFS(Data!$AG$4:$AG$375,Data!$A$4:$A$375,"&gt;"&amp;(AsOf-7),Data!$A$4:$A$375,"&lt;="&amp;AsOf,Data!$AG$4:$AG$375,"&gt;0"),"")</f>
        <v/>
      </c>
    </row>
    <row r="90">
      <c r="A90" s="341" t="inlineStr">
        <is>
          <t>k_Sleep7</t>
        </is>
      </c>
      <c r="B90" s="351">
        <f>IFERROR(AVERAGEIFS(Data!$AK$4:$AK$375,Data!$A$4:$A$375,"&gt;"&amp;(AsOf-7),Data!$A$4:$A$375,"&lt;="&amp;AsOf,Data!$AK$4:$AK$375,"&gt;0"),"")</f>
        <v/>
      </c>
    </row>
    <row r="91">
      <c r="A91" s="341" t="inlineStr">
        <is>
          <t>k_Energy7</t>
        </is>
      </c>
      <c r="B91" s="351">
        <f>IFERROR(AVERAGEIFS(Data!$AL$4:$AL$375,Data!$A$4:$A$375,"&gt;"&amp;(AsOf-7),Data!$A$4:$A$375,"&lt;="&amp;AsOf,Data!$AL$4:$AL$375,"&gt;0"),"")</f>
        <v/>
      </c>
    </row>
    <row r="92">
      <c r="A92" s="341" t="inlineStr">
        <is>
          <t>k_Stress7</t>
        </is>
      </c>
      <c r="B92" s="351">
        <f>IFERROR(AVERAGEIFS(Data!$AM$4:$AM$375,Data!$A$4:$A$375,"&gt;"&amp;(AsOf-7),Data!$A$4:$A$375,"&lt;="&amp;AsOf,Data!$AM$4:$AM$375,"&gt;0"),"")</f>
        <v/>
      </c>
    </row>
    <row r="93">
      <c r="A93" s="341" t="inlineStr">
        <is>
          <t>k_Mood7</t>
        </is>
      </c>
      <c r="B93" s="351">
        <f>IFERROR(AVERAGEIFS(Data!$AN$4:$AN$375,Data!$A$4:$A$375,"&gt;"&amp;(AsOf-7),Data!$A$4:$A$375,"&lt;="&amp;AsOf,Data!$AN$4:$AN$375,"&gt;0"),"")</f>
        <v/>
      </c>
    </row>
    <row r="94">
      <c r="A94" s="341" t="inlineStr">
        <is>
          <t>k_Water7</t>
        </is>
      </c>
      <c r="B94" s="351">
        <f>IFERROR(AVERAGEIFS(Data!$AI$4:$AI$375,Data!$A$4:$A$375,"&gt;"&amp;(AsOf-7),Data!$A$4:$A$375,"&lt;="&amp;AsOf,Data!$AI$4:$AI$375,"&gt;0"),"")</f>
        <v/>
      </c>
    </row>
    <row r="95">
      <c r="A95" s="341" t="inlineStr">
        <is>
          <t>k_Rest7</t>
        </is>
      </c>
      <c r="B95" s="348">
        <f>COUNTIFS(Data!$A$4:$A$375,"&gt;"&amp;(AsOf-7),Data!$A$4:$A$375,"&lt;="&amp;AsOf,Data!$AO$4:$AO$375,1,Data!$O$4:$O$375,0)</f>
        <v/>
      </c>
    </row>
    <row r="96">
      <c r="A96" s="341" t="inlineStr">
        <is>
          <t>k_Recovery</t>
        </is>
      </c>
      <c r="B96" s="348">
        <f>IF(k_Logged7=0,"",ROUND(100*(0.3*IF(ISNUMBER(k_Sleep7),MIN(1,k_Sleep7/SleepTarget),0.7)+0.2*IF(ISNUMBER(k_Energy7),k_Energy7/10,0.7)+0.2*IF(ISNUMBER(k_Stress7),(10-k_Stress7)/9,0.7)+0.15*IF(k_Rest7&gt;=1,1,0)+0.15*IF(k_Str14=0,0.5,MIN(1,k_ProgRate14/0.5))),0))</f>
        <v/>
      </c>
    </row>
    <row r="97">
      <c r="A97" s="341" t="inlineStr">
        <is>
          <t>k_L1avg7</t>
        </is>
      </c>
      <c r="B97" s="350">
        <f>IFERROR(AVERAGEIFS('Habit Library'!$K$6:$K$40,'Habit Library'!$C$6:$C$40,"L1"),"")</f>
        <v/>
      </c>
    </row>
    <row r="98">
      <c r="A98" s="341" t="inlineStr">
        <is>
          <t>k_L2avg7</t>
        </is>
      </c>
      <c r="B98" s="350">
        <f>IFERROR(AVERAGEIFS('Habit Library'!$K$6:$K$40,'Habit Library'!$C$6:$C$40,"L2"),"")</f>
        <v/>
      </c>
    </row>
    <row r="99">
      <c r="A99" s="341" t="inlineStr">
        <is>
          <t>k_L1low</t>
        </is>
      </c>
      <c r="B99" s="348">
        <f>IF(k_D7&lt;4,0,COUNTIFS('Habit Library'!$C$6:$C$40,"L1",'Habit Library'!$K$6:$K$40,"&lt;0.5"))</f>
        <v/>
      </c>
    </row>
    <row r="100">
      <c r="A100" s="341" t="inlineStr">
        <is>
          <t>k_Status7</t>
        </is>
      </c>
      <c r="B100" s="342">
        <f>IF(NOT(ISNUMBER(k_T_r7)),"—",IF(k_T_r7&gt;=Band1,"GREEN",IF(k_T_r7&gt;=Band2,"GOOD",IF(k_T_r7&gt;=Band3,"NEEDS ATTENTION","RESET"))))</f>
        <v/>
      </c>
    </row>
    <row r="101">
      <c r="A101" s="341" t="inlineStr">
        <is>
          <t>k_Status30</t>
        </is>
      </c>
      <c r="B101" s="342">
        <f>IF(NOT(ISNUMBER(k_T_r30)),"—",IF(k_T_r30&gt;=Band1,"GREEN",IF(k_T_r30&gt;=Band2,"GOOD",IF(k_T_r30&gt;=Band3,"NEEDS ATTENTION","RESET"))))</f>
        <v/>
      </c>
    </row>
    <row r="102">
      <c r="A102" s="341" t="inlineStr">
        <is>
          <t>k_WaistDate</t>
        </is>
      </c>
      <c r="B102" s="355">
        <f>_xlfn.MAXIFS(Body!$B$17:$B$43,Body!$B$17:$B$43,"&lt;="&amp;AsOf,Body!$D$17:$D$43,"&gt;0")</f>
        <v/>
      </c>
    </row>
    <row r="103">
      <c r="A103" s="341" t="inlineStr">
        <is>
          <t>k_Waist</t>
        </is>
      </c>
      <c r="B103" s="351">
        <f>IF(k_WaistDate=0,"",INDEX(Body!$D$17:$D$43,MATCH(k_WaistDate,Body!$B$17:$B$43,0)))</f>
        <v/>
      </c>
    </row>
    <row r="104">
      <c r="A104" s="341" t="inlineStr">
        <is>
          <t>k_WaistPrevDate</t>
        </is>
      </c>
      <c r="B104" s="355">
        <f>_xlfn.MAXIFS(Body!$B$17:$B$43,Body!$B$17:$B$43,"&lt;"&amp;k_WaistDate,Body!$D$17:$D$43,"&gt;0")</f>
        <v/>
      </c>
    </row>
    <row r="105">
      <c r="A105" s="341" t="inlineStr">
        <is>
          <t>k_WaistPrev</t>
        </is>
      </c>
      <c r="B105" s="351">
        <f>IF(k_WaistPrevDate=0,"",INDEX(Body!$D$17:$D$43,MATCH(k_WaistPrevDate,Body!$B$17:$B$43,0)))</f>
        <v/>
      </c>
    </row>
    <row r="106">
      <c r="A106" s="341" t="inlineStr">
        <is>
          <t>k_Photo30</t>
        </is>
      </c>
      <c r="B106" s="348">
        <f>COUNTIFS(Body!$B$17:$B$43,"&gt;"&amp;(AsOf-31),Body!$B$17:$B$43,"&lt;="&amp;AsOf,Body!$J$17:$J$43,TRUE)+COUNTIFS(Body!$B$17:$B$43,"&gt;"&amp;(AsOf-31),Body!$B$17:$B$43,"&lt;="&amp;AsOf,Body!$J$17:$J$43,"x")</f>
        <v/>
      </c>
    </row>
    <row r="107">
      <c r="A107" s="341" t="inlineStr">
        <is>
          <t>k_WeeksToGoal</t>
        </is>
      </c>
      <c r="B107" s="348">
        <f>IF(OR(NOT(ISNUMBER(k_Rate)),NOT(ISNUMBER(k_T_w7))),"",IF(k_Rate&gt;=0,"",MAX(0,(k_T_w7-GoalWeight)/(-k_Rate))))</f>
        <v/>
      </c>
    </row>
    <row r="108">
      <c r="A108" s="341" t="inlineStr">
        <is>
          <t>k_LossTooFast</t>
        </is>
      </c>
      <c r="B108" s="348">
        <f>IF(AND(ISNUMBER(k_Rate),ISNUMBER(k_RatePrev)),IF(AND(-k_Rate&gt;LossMaxPct*k_W7_m7,-k_RatePrev&gt;LossMaxPct*k_W7_m14),1,0),0)</f>
        <v/>
      </c>
    </row>
    <row r="109">
      <c r="A109" s="341" t="inlineStr">
        <is>
          <t>k_RateFlag</t>
        </is>
      </c>
      <c r="B109" s="342">
        <f>IF(NOT(ISNUMBER(k_Rate)),"needs 2 weeks of weigh-ins",IF(-k_Rate&gt;LossMaxPct*k_W7_m7,"faster than 1%/wk",IF(-k_Rate&gt;=LossMin,IF(-k_Rate&lt;=LossMax,"on target","fast end"),IF(-k_Rate&gt;0,"slow","flat / up"))))</f>
        <v/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39425C"/>
    <outlinePr summaryBelow="1" summaryRight="1"/>
    <pageSetUpPr fitToPage="1"/>
  </sheetPr>
  <dimension ref="A1:BQ375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</cols>
  <sheetData>
    <row r="1">
      <c r="A1" s="338" t="inlineStr">
        <is>
          <t>DATA ENGINE · calculated from the month tabs · don't type here</t>
        </is>
      </c>
    </row>
    <row r="2">
      <c r="A2" s="356" t="inlineStr">
        <is>
          <t>One row per calendar day. Habit columns are 1/0, metrics are your numbers, then the scoring. Rows for dates that don't exist (e.g. 31 Nov) stay blank.</t>
        </is>
      </c>
    </row>
    <row r="3">
      <c r="A3" s="357" t="inlineStr">
        <is>
          <t>date</t>
        </is>
      </c>
      <c r="B3" s="357" t="inlineStr">
        <is>
          <t>month</t>
        </is>
      </c>
      <c r="C3" s="357" t="inlineStr">
        <is>
          <t>day</t>
        </is>
      </c>
      <c r="D3" s="357" t="inlineStr">
        <is>
          <t>wd</t>
        </is>
      </c>
      <c r="E3" s="357" t="inlineStr">
        <is>
          <t>mode</t>
        </is>
      </c>
      <c r="F3" s="357" t="inlineStr">
        <is>
          <t>wake</t>
        </is>
      </c>
      <c r="G3" s="357" t="inlineStr">
        <is>
          <t>pray</t>
        </is>
      </c>
      <c r="H3" s="357" t="inlineStr">
        <is>
          <t>mob</t>
        </is>
      </c>
      <c r="I3" s="357" t="inlineStr">
        <is>
          <t>move</t>
        </is>
      </c>
      <c r="J3" s="357" t="inlineStr">
        <is>
          <t>top3</t>
        </is>
      </c>
      <c r="K3" s="357" t="inlineStr">
        <is>
          <t>love</t>
        </is>
      </c>
      <c r="L3" s="357" t="inlineStr">
        <is>
          <t>read</t>
        </is>
      </c>
      <c r="M3" s="357" t="inlineStr">
        <is>
          <t>shut</t>
        </is>
      </c>
      <c r="N3" s="357" t="inlineStr">
        <is>
          <t>sleep</t>
        </is>
      </c>
      <c r="O3" s="357" t="inlineStr">
        <is>
          <t>str</t>
        </is>
      </c>
      <c r="P3" s="357" t="inlineStr">
        <is>
          <t>prog</t>
        </is>
      </c>
      <c r="Q3" s="357" t="inlineStr">
        <is>
          <t>core</t>
        </is>
      </c>
      <c r="R3" s="357" t="inlineStr">
        <is>
          <t>calf</t>
        </is>
      </c>
      <c r="S3" s="357" t="inlineStr">
        <is>
          <t>cardio</t>
        </is>
      </c>
      <c r="T3" s="357" t="inlineStr">
        <is>
          <t>deep</t>
        </is>
      </c>
      <c r="U3" s="357" t="inlineStr">
        <is>
          <t>brk</t>
        </is>
      </c>
      <c r="V3" s="357" t="inlineStr">
        <is>
          <t>home</t>
        </is>
      </c>
      <c r="W3" s="357" t="inlineStr">
        <is>
          <t>son</t>
        </is>
      </c>
      <c r="X3" s="357" t="inlineStr">
        <is>
          <t>couple</t>
        </is>
      </c>
      <c r="Y3" s="357" t="inlineStr">
        <is>
          <t>family</t>
        </is>
      </c>
      <c r="Z3" s="357" t="inlineStr">
        <is>
          <t>church</t>
        </is>
      </c>
      <c r="AA3" s="357" t="inlineStr">
        <is>
          <t>prep</t>
        </is>
      </c>
      <c r="AB3" s="357" t="inlineStr">
        <is>
          <t>med</t>
        </is>
      </c>
      <c r="AC3" s="357" t="inlineStr">
        <is>
          <t>xcardio</t>
        </is>
      </c>
      <c r="AD3" s="357" t="inlineStr">
        <is>
          <t>xmob</t>
        </is>
      </c>
      <c r="AE3" s="357" t="inlineStr">
        <is>
          <t>xread</t>
        </is>
      </c>
      <c r="AF3" s="357" t="inlineStr">
        <is>
          <t>weight</t>
        </is>
      </c>
      <c r="AG3" s="357" t="inlineStr">
        <is>
          <t>steps</t>
        </is>
      </c>
      <c r="AH3" s="357" t="inlineStr">
        <is>
          <t>protein</t>
        </is>
      </c>
      <c r="AI3" s="357" t="inlineStr">
        <is>
          <t>water</t>
        </is>
      </c>
      <c r="AJ3" s="357" t="inlineStr">
        <is>
          <t>kcal</t>
        </is>
      </c>
      <c r="AK3" s="357" t="inlineStr">
        <is>
          <t>sleeph</t>
        </is>
      </c>
      <c r="AL3" s="357" t="inlineStr">
        <is>
          <t>energy</t>
        </is>
      </c>
      <c r="AM3" s="357" t="inlineStr">
        <is>
          <t>stress</t>
        </is>
      </c>
      <c r="AN3" s="357" t="inlineStr">
        <is>
          <t>mood</t>
        </is>
      </c>
      <c r="AO3" s="357" t="inlineStr">
        <is>
          <t>active</t>
        </is>
      </c>
      <c r="AP3" s="357" t="inlineStr">
        <is>
          <t>logged</t>
        </is>
      </c>
      <c r="AQ3" s="357" t="inlineStr">
        <is>
          <t>wk</t>
        </is>
      </c>
      <c r="AR3" s="357" t="inlineStr">
        <is>
          <t>stepT</t>
        </is>
      </c>
      <c r="AS3" s="357" t="inlineStr">
        <is>
          <t>workday</t>
        </is>
      </c>
      <c r="AT3" s="357" t="inlineStr">
        <is>
          <t>strday</t>
        </is>
      </c>
      <c r="AU3" s="357" t="inlineStr">
        <is>
          <t>c_sleep</t>
        </is>
      </c>
      <c r="AV3" s="357" t="inlineStr">
        <is>
          <t>c_move</t>
        </is>
      </c>
      <c r="AW3" s="357" t="inlineStr">
        <is>
          <t>c_prot</t>
        </is>
      </c>
      <c r="AX3" s="357" t="inlineStr">
        <is>
          <t>c_water</t>
        </is>
      </c>
      <c r="AY3" s="357" t="inlineStr">
        <is>
          <t>c_steps</t>
        </is>
      </c>
      <c r="AZ3" s="357" t="inlineStr">
        <is>
          <t>c_pray</t>
        </is>
      </c>
      <c r="BA3" s="357" t="inlineStr">
        <is>
          <t>c_work</t>
        </is>
      </c>
      <c r="BB3" s="357" t="inlineStr">
        <is>
          <t>c_love</t>
        </is>
      </c>
      <c r="BC3" s="357" t="inlineStr">
        <is>
          <t>c_read</t>
        </is>
      </c>
      <c r="BD3" s="357" t="inlineStr">
        <is>
          <t>norm</t>
        </is>
      </c>
      <c r="BE3" s="357" t="inlineStr">
        <is>
          <t>mvd</t>
        </is>
      </c>
      <c r="BF3" s="357" t="inlineStr">
        <is>
          <t>score</t>
        </is>
      </c>
      <c r="BG3" s="357" t="inlineStr">
        <is>
          <t>r7</t>
        </is>
      </c>
      <c r="BH3" s="357" t="inlineStr">
        <is>
          <t>r30</t>
        </is>
      </c>
      <c r="BI3" s="357" t="inlineStr">
        <is>
          <t>w7</t>
        </is>
      </c>
      <c r="BJ3" s="357" t="inlineStr">
        <is>
          <t>l1done</t>
        </is>
      </c>
      <c r="BK3" s="357" t="inlineStr">
        <is>
          <t>l1app</t>
        </is>
      </c>
      <c r="BL3" s="357" t="inlineStr">
        <is>
          <t>score_na</t>
        </is>
      </c>
      <c r="BM3" s="357" t="inlineStr">
        <is>
          <t>w_na</t>
        </is>
      </c>
      <c r="BN3" s="357" t="inlineStr">
        <is>
          <t>w7_na</t>
        </is>
      </c>
      <c r="BO3" s="357" t="inlineStr">
        <is>
          <t>en_na</t>
        </is>
      </c>
      <c r="BP3" s="357" t="inlineStr">
        <is>
          <t>st_na</t>
        </is>
      </c>
      <c r="BQ3" s="357" t="inlineStr">
        <is>
          <t>mo_na</t>
        </is>
      </c>
    </row>
    <row r="4">
      <c r="A4" s="358">
        <f>IF('Oct 2026'!E7="","",'Oct 2026'!E7)</f>
        <v/>
      </c>
      <c r="B4" s="345" t="n">
        <v>1</v>
      </c>
      <c r="C4" s="345">
        <f>IF($A4="","",1)</f>
        <v/>
      </c>
      <c r="D4" s="345">
        <f>IF($A4="","",WEEKDAY($A4,2))</f>
        <v/>
      </c>
      <c r="E4" s="345">
        <f>IF($A4="","",UPPER(TRIM('Oct 2026'!E8)))</f>
        <v/>
      </c>
      <c r="F4" s="345">
        <f>IF($A4="","",IF(OR('Oct 2026'!E10=TRUE,'Oct 2026'!E10="x",'Oct 2026'!E10="X"),1,0))</f>
        <v/>
      </c>
      <c r="G4" s="345">
        <f>IF($A4="","",IF(OR('Oct 2026'!E11=TRUE,'Oct 2026'!E11="x",'Oct 2026'!E11="X"),1,0))</f>
        <v/>
      </c>
      <c r="H4" s="345">
        <f>IF($A4="","",IF(OR('Oct 2026'!E12=TRUE,'Oct 2026'!E12="x",'Oct 2026'!E12="X"),1,0))</f>
        <v/>
      </c>
      <c r="I4" s="345">
        <f>IF($A4="","",IF(OR('Oct 2026'!E13=TRUE,'Oct 2026'!E13="x",'Oct 2026'!E13="X"),1,0))</f>
        <v/>
      </c>
      <c r="J4" s="345">
        <f>IF($A4="","",IF(OR('Oct 2026'!E14=TRUE,'Oct 2026'!E14="x",'Oct 2026'!E14="X"),1,0))</f>
        <v/>
      </c>
      <c r="K4" s="345">
        <f>IF($A4="","",IF(OR('Oct 2026'!E15=TRUE,'Oct 2026'!E15="x",'Oct 2026'!E15="X"),1,0))</f>
        <v/>
      </c>
      <c r="L4" s="345">
        <f>IF($A4="","",IF(OR('Oct 2026'!E16=TRUE,'Oct 2026'!E16="x",'Oct 2026'!E16="X"),1,0))</f>
        <v/>
      </c>
      <c r="M4" s="345">
        <f>IF($A4="","",IF(OR('Oct 2026'!E17=TRUE,'Oct 2026'!E17="x",'Oct 2026'!E17="X"),1,0))</f>
        <v/>
      </c>
      <c r="N4" s="345">
        <f>IF($A4="","",IF(OR('Oct 2026'!E18=TRUE,'Oct 2026'!E18="x",'Oct 2026'!E18="X"),1,0))</f>
        <v/>
      </c>
      <c r="O4" s="345">
        <f>IF($A4="","",IF(OR('Oct 2026'!E20=TRUE,'Oct 2026'!E20="x",'Oct 2026'!E20="X"),1,0))</f>
        <v/>
      </c>
      <c r="P4" s="345">
        <f>IF($A4="","",IF(OR('Oct 2026'!E21=TRUE,'Oct 2026'!E21="x",'Oct 2026'!E21="X"),1,0))</f>
        <v/>
      </c>
      <c r="Q4" s="345">
        <f>IF($A4="","",IF(OR('Oct 2026'!E22=TRUE,'Oct 2026'!E22="x",'Oct 2026'!E22="X"),1,0))</f>
        <v/>
      </c>
      <c r="R4" s="345">
        <f>IF($A4="","",IF(OR('Oct 2026'!E23=TRUE,'Oct 2026'!E23="x",'Oct 2026'!E23="X"),1,0))</f>
        <v/>
      </c>
      <c r="S4" s="345">
        <f>IF($A4="","",IF(OR('Oct 2026'!E24=TRUE,'Oct 2026'!E24="x",'Oct 2026'!E24="X"),1,0))</f>
        <v/>
      </c>
      <c r="T4" s="345">
        <f>IF($A4="","",IF(OR('Oct 2026'!E25=TRUE,'Oct 2026'!E25="x",'Oct 2026'!E25="X"),1,0))</f>
        <v/>
      </c>
      <c r="U4" s="345">
        <f>IF($A4="","",IF(OR('Oct 2026'!E26=TRUE,'Oct 2026'!E26="x",'Oct 2026'!E26="X"),1,0))</f>
        <v/>
      </c>
      <c r="V4" s="345">
        <f>IF($A4="","",IF(OR('Oct 2026'!E27=TRUE,'Oct 2026'!E27="x",'Oct 2026'!E27="X"),1,0))</f>
        <v/>
      </c>
      <c r="W4" s="345">
        <f>IF($A4="","",IF(OR('Oct 2026'!E28=TRUE,'Oct 2026'!E28="x",'Oct 2026'!E28="X"),1,0))</f>
        <v/>
      </c>
      <c r="X4" s="345">
        <f>IF($A4="","",IF(OR('Oct 2026'!E29=TRUE,'Oct 2026'!E29="x",'Oct 2026'!E29="X"),1,0))</f>
        <v/>
      </c>
      <c r="Y4" s="345">
        <f>IF($A4="","",IF(OR('Oct 2026'!E30=TRUE,'Oct 2026'!E30="x",'Oct 2026'!E30="X"),1,0))</f>
        <v/>
      </c>
      <c r="Z4" s="345">
        <f>IF($A4="","",IF(OR('Oct 2026'!E31=TRUE,'Oct 2026'!E31="x",'Oct 2026'!E31="X"),1,0))</f>
        <v/>
      </c>
      <c r="AA4" s="345">
        <f>IF($A4="","",IF(OR('Oct 2026'!E32=TRUE,'Oct 2026'!E32="x",'Oct 2026'!E32="X"),1,0))</f>
        <v/>
      </c>
      <c r="AB4" s="345">
        <f>IF($A4="","",IF(OR('Oct 2026'!E34=TRUE,'Oct 2026'!E34="x",'Oct 2026'!E34="X"),1,0))</f>
        <v/>
      </c>
      <c r="AC4" s="345">
        <f>IF($A4="","",IF(OR('Oct 2026'!E35=TRUE,'Oct 2026'!E35="x",'Oct 2026'!E35="X"),1,0))</f>
        <v/>
      </c>
      <c r="AD4" s="345">
        <f>IF($A4="","",IF(OR('Oct 2026'!E36=TRUE,'Oct 2026'!E36="x",'Oct 2026'!E36="X"),1,0))</f>
        <v/>
      </c>
      <c r="AE4" s="345">
        <f>IF($A4="","",IF(OR('Oct 2026'!E37=TRUE,'Oct 2026'!E37="x",'Oct 2026'!E37="X"),1,0))</f>
        <v/>
      </c>
      <c r="AF4" s="345">
        <f>IF($A4="","",IF('Oct 2026'!E59="","",'Oct 2026'!E59))</f>
        <v/>
      </c>
      <c r="AG4" s="345">
        <f>IF($A4="","",IF('Oct 2026'!E60="","",'Oct 2026'!E60))</f>
        <v/>
      </c>
      <c r="AH4" s="345">
        <f>IF($A4="","",IF('Oct 2026'!E61="","",'Oct 2026'!E61))</f>
        <v/>
      </c>
      <c r="AI4" s="345">
        <f>IF($A4="","",IF('Oct 2026'!E62="","",'Oct 2026'!E62))</f>
        <v/>
      </c>
      <c r="AJ4" s="345">
        <f>IF($A4="","",IF('Oct 2026'!E63="","",'Oct 2026'!E63))</f>
        <v/>
      </c>
      <c r="AK4" s="345">
        <f>IF($A4="","",IF('Oct 2026'!E64="","",'Oct 2026'!E64))</f>
        <v/>
      </c>
      <c r="AL4" s="345">
        <f>IF($A4="","",IF('Oct 2026'!E65="","",'Oct 2026'!E65))</f>
        <v/>
      </c>
      <c r="AM4" s="345">
        <f>IF($A4="","",IF('Oct 2026'!E66="","",'Oct 2026'!E66))</f>
        <v/>
      </c>
      <c r="AN4" s="345">
        <f>IF($A4="","",IF('Oct 2026'!E67="","",'Oct 2026'!E67))</f>
        <v/>
      </c>
      <c r="AO4" s="345">
        <f>IF($A4="",0,IF(AND($A4&gt;=TrackStart,$A4&lt;=TODAY()),1,0))</f>
        <v/>
      </c>
      <c r="AP4" s="345">
        <f>IF($A4="",0,IF(SUM(F4:AE4)+COUNT(AF4:AN4)&gt;0,1,0))</f>
        <v/>
      </c>
      <c r="AQ4" s="345">
        <f>IF($A4="","",INT(($A4-TrackStart)/7)+1)</f>
        <v/>
      </c>
      <c r="AR4" s="345">
        <f>IF($A4="","",IF(AQ4&lt;=1,Steps1,IF(AQ4=2,Steps2,Steps3)))</f>
        <v/>
      </c>
      <c r="AS4" s="345">
        <f>IF($A4="",0,IF(ISNUMBER(SEARCH(TEXT(D4,"0"),WorkDays&amp;"")),1,0))</f>
        <v/>
      </c>
      <c r="AT4" s="345">
        <f>IF($A4="",0,IF(ISNUMBER(SEARCH(TEXT(D4,"0"),StrDays&amp;"")),1,0))</f>
        <v/>
      </c>
      <c r="AU4" s="345">
        <f>IF($A4="",0,IF(ISNUMBER(AK4),IF(AK4&gt;=SleepMin,1,0),N4))</f>
        <v/>
      </c>
      <c r="AV4" s="345">
        <f>IF($A4="",0,MAX(I4,O4,S4,AC4))</f>
        <v/>
      </c>
      <c r="AW4" s="345">
        <f>IF($A4="",0,IF(ISNUMBER(AH4),IF(AH4&gt;=ProtHit,1,0),0))</f>
        <v/>
      </c>
      <c r="AX4" s="345">
        <f>IF($A4="",0,IF(ISNUMBER(AI4),IF(AI4&gt;=WaterHit,1,0),0))</f>
        <v/>
      </c>
      <c r="AY4" s="345">
        <f>IF($A4="",0,IF(ISNUMBER(AG4),IF(AG4&gt;=AR4,1,0),0))</f>
        <v/>
      </c>
      <c r="AZ4" s="345">
        <f>IF($A4="",0,G4)</f>
        <v/>
      </c>
      <c r="BA4" s="345">
        <f>IF($A4="",0,J4)</f>
        <v/>
      </c>
      <c r="BB4" s="345">
        <f>IF($A4="",0,K4)</f>
        <v/>
      </c>
      <c r="BC4" s="345">
        <f>IF($A4="",0,MAX(L4,AE4))</f>
        <v/>
      </c>
      <c r="BD4" s="344">
        <f>IF($A4="","",(AU4+AV4+AW4+AX4+AY4+AZ4+BB4+BC4+IF(AS4=1,BA4,0))/(8+AS4))</f>
        <v/>
      </c>
      <c r="BE4" s="344">
        <f>IF($A4="","",(IF(ISNUMBER(AI4),IF(AI4&gt;=WaterMVD,1,0),0)+AV4+IF(ISNUMBER(AH4),IF(AH4&gt;=ProtMVD,1,0),0)+MAX(H4,AD4)+AZ4+BB4+AU4)/7)</f>
        <v/>
      </c>
      <c r="BF4" s="344">
        <f>IF(AO4=0,"",IF(E4="S","",IF(AND(AP4=0,$A4=TODAY()),"",IF(E4="M",BE4,BD4))))</f>
        <v/>
      </c>
      <c r="BG4" s="344">
        <f>IF(AO4=0,"",IFERROR(AVERAGEIFS(Data!$BF$4:$BF$375,Data!$A$4:$A$375,"&gt;"&amp;($A4-7),Data!$A$4:$A$375,"&lt;="&amp;$A4),""))</f>
        <v/>
      </c>
      <c r="BH4" s="344">
        <f>IF(AO4=0,"",IFERROR(AVERAGEIFS(Data!$BF$4:$BF$375,Data!$A$4:$A$375,"&gt;"&amp;($A4-30),Data!$A$4:$A$375,"&lt;="&amp;$A4),""))</f>
        <v/>
      </c>
      <c r="BI4" s="359">
        <f>IF($A4="","",IFERROR(AVERAGEIFS(Data!$AF$4:$AF$375,Data!$A$4:$A$375,"&gt;"&amp;($A4-7),Data!$A$4:$A$375,"&lt;="&amp;$A4,Data!$AF$4:$AF$375,"&gt;0"),""))</f>
        <v/>
      </c>
      <c r="BJ4" s="345">
        <f>IF($A4="","",F4+G4+H4+I4+J4+K4+L4+M4+N4-IF(AS4=1,0,J4))</f>
        <v/>
      </c>
      <c r="BK4" s="345">
        <f>IF($A4="","",8+AS4)</f>
        <v/>
      </c>
      <c r="BL4" s="345">
        <f>IF(ISNUMBER(BF4),BF4,NA())</f>
        <v/>
      </c>
      <c r="BM4" s="345">
        <f>IF(ISNUMBER(AF4),AF4,NA())</f>
        <v/>
      </c>
      <c r="BN4" s="345">
        <f>IF(ISNUMBER(BI4),BI4,NA())</f>
        <v/>
      </c>
      <c r="BO4" s="345">
        <f>IF(ISNUMBER(AL4),AL4,NA())</f>
        <v/>
      </c>
      <c r="BP4" s="345">
        <f>IF(ISNUMBER(AM4),AM4,NA())</f>
        <v/>
      </c>
      <c r="BQ4" s="345">
        <f>IF(ISNUMBER(AN4),AN4,NA())</f>
        <v/>
      </c>
    </row>
    <row r="5">
      <c r="A5" s="358">
        <f>IF('Oct 2026'!F7="","",'Oct 2026'!F7)</f>
        <v/>
      </c>
      <c r="B5" s="345" t="n">
        <v>1</v>
      </c>
      <c r="C5" s="345">
        <f>IF($A5="","",2)</f>
        <v/>
      </c>
      <c r="D5" s="345">
        <f>IF($A5="","",WEEKDAY($A5,2))</f>
        <v/>
      </c>
      <c r="E5" s="345">
        <f>IF($A5="","",UPPER(TRIM('Oct 2026'!F8)))</f>
        <v/>
      </c>
      <c r="F5" s="345">
        <f>IF($A5="","",IF(OR('Oct 2026'!F10=TRUE,'Oct 2026'!F10="x",'Oct 2026'!F10="X"),1,0))</f>
        <v/>
      </c>
      <c r="G5" s="345">
        <f>IF($A5="","",IF(OR('Oct 2026'!F11=TRUE,'Oct 2026'!F11="x",'Oct 2026'!F11="X"),1,0))</f>
        <v/>
      </c>
      <c r="H5" s="345">
        <f>IF($A5="","",IF(OR('Oct 2026'!F12=TRUE,'Oct 2026'!F12="x",'Oct 2026'!F12="X"),1,0))</f>
        <v/>
      </c>
      <c r="I5" s="345">
        <f>IF($A5="","",IF(OR('Oct 2026'!F13=TRUE,'Oct 2026'!F13="x",'Oct 2026'!F13="X"),1,0))</f>
        <v/>
      </c>
      <c r="J5" s="345">
        <f>IF($A5="","",IF(OR('Oct 2026'!F14=TRUE,'Oct 2026'!F14="x",'Oct 2026'!F14="X"),1,0))</f>
        <v/>
      </c>
      <c r="K5" s="345">
        <f>IF($A5="","",IF(OR('Oct 2026'!F15=TRUE,'Oct 2026'!F15="x",'Oct 2026'!F15="X"),1,0))</f>
        <v/>
      </c>
      <c r="L5" s="345">
        <f>IF($A5="","",IF(OR('Oct 2026'!F16=TRUE,'Oct 2026'!F16="x",'Oct 2026'!F16="X"),1,0))</f>
        <v/>
      </c>
      <c r="M5" s="345">
        <f>IF($A5="","",IF(OR('Oct 2026'!F17=TRUE,'Oct 2026'!F17="x",'Oct 2026'!F17="X"),1,0))</f>
        <v/>
      </c>
      <c r="N5" s="345">
        <f>IF($A5="","",IF(OR('Oct 2026'!F18=TRUE,'Oct 2026'!F18="x",'Oct 2026'!F18="X"),1,0))</f>
        <v/>
      </c>
      <c r="O5" s="345">
        <f>IF($A5="","",IF(OR('Oct 2026'!F20=TRUE,'Oct 2026'!F20="x",'Oct 2026'!F20="X"),1,0))</f>
        <v/>
      </c>
      <c r="P5" s="345">
        <f>IF($A5="","",IF(OR('Oct 2026'!F21=TRUE,'Oct 2026'!F21="x",'Oct 2026'!F21="X"),1,0))</f>
        <v/>
      </c>
      <c r="Q5" s="345">
        <f>IF($A5="","",IF(OR('Oct 2026'!F22=TRUE,'Oct 2026'!F22="x",'Oct 2026'!F22="X"),1,0))</f>
        <v/>
      </c>
      <c r="R5" s="345">
        <f>IF($A5="","",IF(OR('Oct 2026'!F23=TRUE,'Oct 2026'!F23="x",'Oct 2026'!F23="X"),1,0))</f>
        <v/>
      </c>
      <c r="S5" s="345">
        <f>IF($A5="","",IF(OR('Oct 2026'!F24=TRUE,'Oct 2026'!F24="x",'Oct 2026'!F24="X"),1,0))</f>
        <v/>
      </c>
      <c r="T5" s="345">
        <f>IF($A5="","",IF(OR('Oct 2026'!F25=TRUE,'Oct 2026'!F25="x",'Oct 2026'!F25="X"),1,0))</f>
        <v/>
      </c>
      <c r="U5" s="345">
        <f>IF($A5="","",IF(OR('Oct 2026'!F26=TRUE,'Oct 2026'!F26="x",'Oct 2026'!F26="X"),1,0))</f>
        <v/>
      </c>
      <c r="V5" s="345">
        <f>IF($A5="","",IF(OR('Oct 2026'!F27=TRUE,'Oct 2026'!F27="x",'Oct 2026'!F27="X"),1,0))</f>
        <v/>
      </c>
      <c r="W5" s="345">
        <f>IF($A5="","",IF(OR('Oct 2026'!F28=TRUE,'Oct 2026'!F28="x",'Oct 2026'!F28="X"),1,0))</f>
        <v/>
      </c>
      <c r="X5" s="345">
        <f>IF($A5="","",IF(OR('Oct 2026'!F29=TRUE,'Oct 2026'!F29="x",'Oct 2026'!F29="X"),1,0))</f>
        <v/>
      </c>
      <c r="Y5" s="345">
        <f>IF($A5="","",IF(OR('Oct 2026'!F30=TRUE,'Oct 2026'!F30="x",'Oct 2026'!F30="X"),1,0))</f>
        <v/>
      </c>
      <c r="Z5" s="345">
        <f>IF($A5="","",IF(OR('Oct 2026'!F31=TRUE,'Oct 2026'!F31="x",'Oct 2026'!F31="X"),1,0))</f>
        <v/>
      </c>
      <c r="AA5" s="345">
        <f>IF($A5="","",IF(OR('Oct 2026'!F32=TRUE,'Oct 2026'!F32="x",'Oct 2026'!F32="X"),1,0))</f>
        <v/>
      </c>
      <c r="AB5" s="345">
        <f>IF($A5="","",IF(OR('Oct 2026'!F34=TRUE,'Oct 2026'!F34="x",'Oct 2026'!F34="X"),1,0))</f>
        <v/>
      </c>
      <c r="AC5" s="345">
        <f>IF($A5="","",IF(OR('Oct 2026'!F35=TRUE,'Oct 2026'!F35="x",'Oct 2026'!F35="X"),1,0))</f>
        <v/>
      </c>
      <c r="AD5" s="345">
        <f>IF($A5="","",IF(OR('Oct 2026'!F36=TRUE,'Oct 2026'!F36="x",'Oct 2026'!F36="X"),1,0))</f>
        <v/>
      </c>
      <c r="AE5" s="345">
        <f>IF($A5="","",IF(OR('Oct 2026'!F37=TRUE,'Oct 2026'!F37="x",'Oct 2026'!F37="X"),1,0))</f>
        <v/>
      </c>
      <c r="AF5" s="345">
        <f>IF($A5="","",IF('Oct 2026'!F59="","",'Oct 2026'!F59))</f>
        <v/>
      </c>
      <c r="AG5" s="345">
        <f>IF($A5="","",IF('Oct 2026'!F60="","",'Oct 2026'!F60))</f>
        <v/>
      </c>
      <c r="AH5" s="345">
        <f>IF($A5="","",IF('Oct 2026'!F61="","",'Oct 2026'!F61))</f>
        <v/>
      </c>
      <c r="AI5" s="345">
        <f>IF($A5="","",IF('Oct 2026'!F62="","",'Oct 2026'!F62))</f>
        <v/>
      </c>
      <c r="AJ5" s="345">
        <f>IF($A5="","",IF('Oct 2026'!F63="","",'Oct 2026'!F63))</f>
        <v/>
      </c>
      <c r="AK5" s="345">
        <f>IF($A5="","",IF('Oct 2026'!F64="","",'Oct 2026'!F64))</f>
        <v/>
      </c>
      <c r="AL5" s="345">
        <f>IF($A5="","",IF('Oct 2026'!F65="","",'Oct 2026'!F65))</f>
        <v/>
      </c>
      <c r="AM5" s="345">
        <f>IF($A5="","",IF('Oct 2026'!F66="","",'Oct 2026'!F66))</f>
        <v/>
      </c>
      <c r="AN5" s="345">
        <f>IF($A5="","",IF('Oct 2026'!F67="","",'Oct 2026'!F67))</f>
        <v/>
      </c>
      <c r="AO5" s="345">
        <f>IF($A5="",0,IF(AND($A5&gt;=TrackStart,$A5&lt;=TODAY()),1,0))</f>
        <v/>
      </c>
      <c r="AP5" s="345">
        <f>IF($A5="",0,IF(SUM(F5:AE5)+COUNT(AF5:AN5)&gt;0,1,0))</f>
        <v/>
      </c>
      <c r="AQ5" s="345">
        <f>IF($A5="","",INT(($A5-TrackStart)/7)+1)</f>
        <v/>
      </c>
      <c r="AR5" s="345">
        <f>IF($A5="","",IF(AQ5&lt;=1,Steps1,IF(AQ5=2,Steps2,Steps3)))</f>
        <v/>
      </c>
      <c r="AS5" s="345">
        <f>IF($A5="",0,IF(ISNUMBER(SEARCH(TEXT(D5,"0"),WorkDays&amp;"")),1,0))</f>
        <v/>
      </c>
      <c r="AT5" s="345">
        <f>IF($A5="",0,IF(ISNUMBER(SEARCH(TEXT(D5,"0"),StrDays&amp;"")),1,0))</f>
        <v/>
      </c>
      <c r="AU5" s="345">
        <f>IF($A5="",0,IF(ISNUMBER(AK5),IF(AK5&gt;=SleepMin,1,0),N5))</f>
        <v/>
      </c>
      <c r="AV5" s="345">
        <f>IF($A5="",0,MAX(I5,O5,S5,AC5))</f>
        <v/>
      </c>
      <c r="AW5" s="345">
        <f>IF($A5="",0,IF(ISNUMBER(AH5),IF(AH5&gt;=ProtHit,1,0),0))</f>
        <v/>
      </c>
      <c r="AX5" s="345">
        <f>IF($A5="",0,IF(ISNUMBER(AI5),IF(AI5&gt;=WaterHit,1,0),0))</f>
        <v/>
      </c>
      <c r="AY5" s="345">
        <f>IF($A5="",0,IF(ISNUMBER(AG5),IF(AG5&gt;=AR5,1,0),0))</f>
        <v/>
      </c>
      <c r="AZ5" s="345">
        <f>IF($A5="",0,G5)</f>
        <v/>
      </c>
      <c r="BA5" s="345">
        <f>IF($A5="",0,J5)</f>
        <v/>
      </c>
      <c r="BB5" s="345">
        <f>IF($A5="",0,K5)</f>
        <v/>
      </c>
      <c r="BC5" s="345">
        <f>IF($A5="",0,MAX(L5,AE5))</f>
        <v/>
      </c>
      <c r="BD5" s="344">
        <f>IF($A5="","",(AU5+AV5+AW5+AX5+AY5+AZ5+BB5+BC5+IF(AS5=1,BA5,0))/(8+AS5))</f>
        <v/>
      </c>
      <c r="BE5" s="344">
        <f>IF($A5="","",(IF(ISNUMBER(AI5),IF(AI5&gt;=WaterMVD,1,0),0)+AV5+IF(ISNUMBER(AH5),IF(AH5&gt;=ProtMVD,1,0),0)+MAX(H5,AD5)+AZ5+BB5+AU5)/7)</f>
        <v/>
      </c>
      <c r="BF5" s="344">
        <f>IF(AO5=0,"",IF(E5="S","",IF(AND(AP5=0,$A5=TODAY()),"",IF(E5="M",BE5,BD5))))</f>
        <v/>
      </c>
      <c r="BG5" s="344">
        <f>IF(AO5=0,"",IFERROR(AVERAGEIFS(Data!$BF$4:$BF$375,Data!$A$4:$A$375,"&gt;"&amp;($A5-7),Data!$A$4:$A$375,"&lt;="&amp;$A5),""))</f>
        <v/>
      </c>
      <c r="BH5" s="344">
        <f>IF(AO5=0,"",IFERROR(AVERAGEIFS(Data!$BF$4:$BF$375,Data!$A$4:$A$375,"&gt;"&amp;($A5-30),Data!$A$4:$A$375,"&lt;="&amp;$A5),""))</f>
        <v/>
      </c>
      <c r="BI5" s="359">
        <f>IF($A5="","",IFERROR(AVERAGEIFS(Data!$AF$4:$AF$375,Data!$A$4:$A$375,"&gt;"&amp;($A5-7),Data!$A$4:$A$375,"&lt;="&amp;$A5,Data!$AF$4:$AF$375,"&gt;0"),""))</f>
        <v/>
      </c>
      <c r="BJ5" s="345">
        <f>IF($A5="","",F5+G5+H5+I5+J5+K5+L5+M5+N5-IF(AS5=1,0,J5))</f>
        <v/>
      </c>
      <c r="BK5" s="345">
        <f>IF($A5="","",8+AS5)</f>
        <v/>
      </c>
      <c r="BL5" s="345">
        <f>IF(ISNUMBER(BF5),BF5,NA())</f>
        <v/>
      </c>
      <c r="BM5" s="345">
        <f>IF(ISNUMBER(AF5),AF5,NA())</f>
        <v/>
      </c>
      <c r="BN5" s="345">
        <f>IF(ISNUMBER(BI5),BI5,NA())</f>
        <v/>
      </c>
      <c r="BO5" s="345">
        <f>IF(ISNUMBER(AL5),AL5,NA())</f>
        <v/>
      </c>
      <c r="BP5" s="345">
        <f>IF(ISNUMBER(AM5),AM5,NA())</f>
        <v/>
      </c>
      <c r="BQ5" s="345">
        <f>IF(ISNUMBER(AN5),AN5,NA())</f>
        <v/>
      </c>
    </row>
    <row r="6">
      <c r="A6" s="358">
        <f>IF('Oct 2026'!G7="","",'Oct 2026'!G7)</f>
        <v/>
      </c>
      <c r="B6" s="345" t="n">
        <v>1</v>
      </c>
      <c r="C6" s="345">
        <f>IF($A6="","",3)</f>
        <v/>
      </c>
      <c r="D6" s="345">
        <f>IF($A6="","",WEEKDAY($A6,2))</f>
        <v/>
      </c>
      <c r="E6" s="345">
        <f>IF($A6="","",UPPER(TRIM('Oct 2026'!G8)))</f>
        <v/>
      </c>
      <c r="F6" s="345">
        <f>IF($A6="","",IF(OR('Oct 2026'!G10=TRUE,'Oct 2026'!G10="x",'Oct 2026'!G10="X"),1,0))</f>
        <v/>
      </c>
      <c r="G6" s="345">
        <f>IF($A6="","",IF(OR('Oct 2026'!G11=TRUE,'Oct 2026'!G11="x",'Oct 2026'!G11="X"),1,0))</f>
        <v/>
      </c>
      <c r="H6" s="345">
        <f>IF($A6="","",IF(OR('Oct 2026'!G12=TRUE,'Oct 2026'!G12="x",'Oct 2026'!G12="X"),1,0))</f>
        <v/>
      </c>
      <c r="I6" s="345">
        <f>IF($A6="","",IF(OR('Oct 2026'!G13=TRUE,'Oct 2026'!G13="x",'Oct 2026'!G13="X"),1,0))</f>
        <v/>
      </c>
      <c r="J6" s="345">
        <f>IF($A6="","",IF(OR('Oct 2026'!G14=TRUE,'Oct 2026'!G14="x",'Oct 2026'!G14="X"),1,0))</f>
        <v/>
      </c>
      <c r="K6" s="345">
        <f>IF($A6="","",IF(OR('Oct 2026'!G15=TRUE,'Oct 2026'!G15="x",'Oct 2026'!G15="X"),1,0))</f>
        <v/>
      </c>
      <c r="L6" s="345">
        <f>IF($A6="","",IF(OR('Oct 2026'!G16=TRUE,'Oct 2026'!G16="x",'Oct 2026'!G16="X"),1,0))</f>
        <v/>
      </c>
      <c r="M6" s="345">
        <f>IF($A6="","",IF(OR('Oct 2026'!G17=TRUE,'Oct 2026'!G17="x",'Oct 2026'!G17="X"),1,0))</f>
        <v/>
      </c>
      <c r="N6" s="345">
        <f>IF($A6="","",IF(OR('Oct 2026'!G18=TRUE,'Oct 2026'!G18="x",'Oct 2026'!G18="X"),1,0))</f>
        <v/>
      </c>
      <c r="O6" s="345">
        <f>IF($A6="","",IF(OR('Oct 2026'!G20=TRUE,'Oct 2026'!G20="x",'Oct 2026'!G20="X"),1,0))</f>
        <v/>
      </c>
      <c r="P6" s="345">
        <f>IF($A6="","",IF(OR('Oct 2026'!G21=TRUE,'Oct 2026'!G21="x",'Oct 2026'!G21="X"),1,0))</f>
        <v/>
      </c>
      <c r="Q6" s="345">
        <f>IF($A6="","",IF(OR('Oct 2026'!G22=TRUE,'Oct 2026'!G22="x",'Oct 2026'!G22="X"),1,0))</f>
        <v/>
      </c>
      <c r="R6" s="345">
        <f>IF($A6="","",IF(OR('Oct 2026'!G23=TRUE,'Oct 2026'!G23="x",'Oct 2026'!G23="X"),1,0))</f>
        <v/>
      </c>
      <c r="S6" s="345">
        <f>IF($A6="","",IF(OR('Oct 2026'!G24=TRUE,'Oct 2026'!G24="x",'Oct 2026'!G24="X"),1,0))</f>
        <v/>
      </c>
      <c r="T6" s="345">
        <f>IF($A6="","",IF(OR('Oct 2026'!G25=TRUE,'Oct 2026'!G25="x",'Oct 2026'!G25="X"),1,0))</f>
        <v/>
      </c>
      <c r="U6" s="345">
        <f>IF($A6="","",IF(OR('Oct 2026'!G26=TRUE,'Oct 2026'!G26="x",'Oct 2026'!G26="X"),1,0))</f>
        <v/>
      </c>
      <c r="V6" s="345">
        <f>IF($A6="","",IF(OR('Oct 2026'!G27=TRUE,'Oct 2026'!G27="x",'Oct 2026'!G27="X"),1,0))</f>
        <v/>
      </c>
      <c r="W6" s="345">
        <f>IF($A6="","",IF(OR('Oct 2026'!G28=TRUE,'Oct 2026'!G28="x",'Oct 2026'!G28="X"),1,0))</f>
        <v/>
      </c>
      <c r="X6" s="345">
        <f>IF($A6="","",IF(OR('Oct 2026'!G29=TRUE,'Oct 2026'!G29="x",'Oct 2026'!G29="X"),1,0))</f>
        <v/>
      </c>
      <c r="Y6" s="345">
        <f>IF($A6="","",IF(OR('Oct 2026'!G30=TRUE,'Oct 2026'!G30="x",'Oct 2026'!G30="X"),1,0))</f>
        <v/>
      </c>
      <c r="Z6" s="345">
        <f>IF($A6="","",IF(OR('Oct 2026'!G31=TRUE,'Oct 2026'!G31="x",'Oct 2026'!G31="X"),1,0))</f>
        <v/>
      </c>
      <c r="AA6" s="345">
        <f>IF($A6="","",IF(OR('Oct 2026'!G32=TRUE,'Oct 2026'!G32="x",'Oct 2026'!G32="X"),1,0))</f>
        <v/>
      </c>
      <c r="AB6" s="345">
        <f>IF($A6="","",IF(OR('Oct 2026'!G34=TRUE,'Oct 2026'!G34="x",'Oct 2026'!G34="X"),1,0))</f>
        <v/>
      </c>
      <c r="AC6" s="345">
        <f>IF($A6="","",IF(OR('Oct 2026'!G35=TRUE,'Oct 2026'!G35="x",'Oct 2026'!G35="X"),1,0))</f>
        <v/>
      </c>
      <c r="AD6" s="345">
        <f>IF($A6="","",IF(OR('Oct 2026'!G36=TRUE,'Oct 2026'!G36="x",'Oct 2026'!G36="X"),1,0))</f>
        <v/>
      </c>
      <c r="AE6" s="345">
        <f>IF($A6="","",IF(OR('Oct 2026'!G37=TRUE,'Oct 2026'!G37="x",'Oct 2026'!G37="X"),1,0))</f>
        <v/>
      </c>
      <c r="AF6" s="345">
        <f>IF($A6="","",IF('Oct 2026'!G59="","",'Oct 2026'!G59))</f>
        <v/>
      </c>
      <c r="AG6" s="345">
        <f>IF($A6="","",IF('Oct 2026'!G60="","",'Oct 2026'!G60))</f>
        <v/>
      </c>
      <c r="AH6" s="345">
        <f>IF($A6="","",IF('Oct 2026'!G61="","",'Oct 2026'!G61))</f>
        <v/>
      </c>
      <c r="AI6" s="345">
        <f>IF($A6="","",IF('Oct 2026'!G62="","",'Oct 2026'!G62))</f>
        <v/>
      </c>
      <c r="AJ6" s="345">
        <f>IF($A6="","",IF('Oct 2026'!G63="","",'Oct 2026'!G63))</f>
        <v/>
      </c>
      <c r="AK6" s="345">
        <f>IF($A6="","",IF('Oct 2026'!G64="","",'Oct 2026'!G64))</f>
        <v/>
      </c>
      <c r="AL6" s="345">
        <f>IF($A6="","",IF('Oct 2026'!G65="","",'Oct 2026'!G65))</f>
        <v/>
      </c>
      <c r="AM6" s="345">
        <f>IF($A6="","",IF('Oct 2026'!G66="","",'Oct 2026'!G66))</f>
        <v/>
      </c>
      <c r="AN6" s="345">
        <f>IF($A6="","",IF('Oct 2026'!G67="","",'Oct 2026'!G67))</f>
        <v/>
      </c>
      <c r="AO6" s="345">
        <f>IF($A6="",0,IF(AND($A6&gt;=TrackStart,$A6&lt;=TODAY()),1,0))</f>
        <v/>
      </c>
      <c r="AP6" s="345">
        <f>IF($A6="",0,IF(SUM(F6:AE6)+COUNT(AF6:AN6)&gt;0,1,0))</f>
        <v/>
      </c>
      <c r="AQ6" s="345">
        <f>IF($A6="","",INT(($A6-TrackStart)/7)+1)</f>
        <v/>
      </c>
      <c r="AR6" s="345">
        <f>IF($A6="","",IF(AQ6&lt;=1,Steps1,IF(AQ6=2,Steps2,Steps3)))</f>
        <v/>
      </c>
      <c r="AS6" s="345">
        <f>IF($A6="",0,IF(ISNUMBER(SEARCH(TEXT(D6,"0"),WorkDays&amp;"")),1,0))</f>
        <v/>
      </c>
      <c r="AT6" s="345">
        <f>IF($A6="",0,IF(ISNUMBER(SEARCH(TEXT(D6,"0"),StrDays&amp;"")),1,0))</f>
        <v/>
      </c>
      <c r="AU6" s="345">
        <f>IF($A6="",0,IF(ISNUMBER(AK6),IF(AK6&gt;=SleepMin,1,0),N6))</f>
        <v/>
      </c>
      <c r="AV6" s="345">
        <f>IF($A6="",0,MAX(I6,O6,S6,AC6))</f>
        <v/>
      </c>
      <c r="AW6" s="345">
        <f>IF($A6="",0,IF(ISNUMBER(AH6),IF(AH6&gt;=ProtHit,1,0),0))</f>
        <v/>
      </c>
      <c r="AX6" s="345">
        <f>IF($A6="",0,IF(ISNUMBER(AI6),IF(AI6&gt;=WaterHit,1,0),0))</f>
        <v/>
      </c>
      <c r="AY6" s="345">
        <f>IF($A6="",0,IF(ISNUMBER(AG6),IF(AG6&gt;=AR6,1,0),0))</f>
        <v/>
      </c>
      <c r="AZ6" s="345">
        <f>IF($A6="",0,G6)</f>
        <v/>
      </c>
      <c r="BA6" s="345">
        <f>IF($A6="",0,J6)</f>
        <v/>
      </c>
      <c r="BB6" s="345">
        <f>IF($A6="",0,K6)</f>
        <v/>
      </c>
      <c r="BC6" s="345">
        <f>IF($A6="",0,MAX(L6,AE6))</f>
        <v/>
      </c>
      <c r="BD6" s="344">
        <f>IF($A6="","",(AU6+AV6+AW6+AX6+AY6+AZ6+BB6+BC6+IF(AS6=1,BA6,0))/(8+AS6))</f>
        <v/>
      </c>
      <c r="BE6" s="344">
        <f>IF($A6="","",(IF(ISNUMBER(AI6),IF(AI6&gt;=WaterMVD,1,0),0)+AV6+IF(ISNUMBER(AH6),IF(AH6&gt;=ProtMVD,1,0),0)+MAX(H6,AD6)+AZ6+BB6+AU6)/7)</f>
        <v/>
      </c>
      <c r="BF6" s="344">
        <f>IF(AO6=0,"",IF(E6="S","",IF(AND(AP6=0,$A6=TODAY()),"",IF(E6="M",BE6,BD6))))</f>
        <v/>
      </c>
      <c r="BG6" s="344">
        <f>IF(AO6=0,"",IFERROR(AVERAGEIFS(Data!$BF$4:$BF$375,Data!$A$4:$A$375,"&gt;"&amp;($A6-7),Data!$A$4:$A$375,"&lt;="&amp;$A6),""))</f>
        <v/>
      </c>
      <c r="BH6" s="344">
        <f>IF(AO6=0,"",IFERROR(AVERAGEIFS(Data!$BF$4:$BF$375,Data!$A$4:$A$375,"&gt;"&amp;($A6-30),Data!$A$4:$A$375,"&lt;="&amp;$A6),""))</f>
        <v/>
      </c>
      <c r="BI6" s="359">
        <f>IF($A6="","",IFERROR(AVERAGEIFS(Data!$AF$4:$AF$375,Data!$A$4:$A$375,"&gt;"&amp;($A6-7),Data!$A$4:$A$375,"&lt;="&amp;$A6,Data!$AF$4:$AF$375,"&gt;0"),""))</f>
        <v/>
      </c>
      <c r="BJ6" s="345">
        <f>IF($A6="","",F6+G6+H6+I6+J6+K6+L6+M6+N6-IF(AS6=1,0,J6))</f>
        <v/>
      </c>
      <c r="BK6" s="345">
        <f>IF($A6="","",8+AS6)</f>
        <v/>
      </c>
      <c r="BL6" s="345">
        <f>IF(ISNUMBER(BF6),BF6,NA())</f>
        <v/>
      </c>
      <c r="BM6" s="345">
        <f>IF(ISNUMBER(AF6),AF6,NA())</f>
        <v/>
      </c>
      <c r="BN6" s="345">
        <f>IF(ISNUMBER(BI6),BI6,NA())</f>
        <v/>
      </c>
      <c r="BO6" s="345">
        <f>IF(ISNUMBER(AL6),AL6,NA())</f>
        <v/>
      </c>
      <c r="BP6" s="345">
        <f>IF(ISNUMBER(AM6),AM6,NA())</f>
        <v/>
      </c>
      <c r="BQ6" s="345">
        <f>IF(ISNUMBER(AN6),AN6,NA())</f>
        <v/>
      </c>
    </row>
    <row r="7">
      <c r="A7" s="358">
        <f>IF('Oct 2026'!H7="","",'Oct 2026'!H7)</f>
        <v/>
      </c>
      <c r="B7" s="345" t="n">
        <v>1</v>
      </c>
      <c r="C7" s="345">
        <f>IF($A7="","",4)</f>
        <v/>
      </c>
      <c r="D7" s="345">
        <f>IF($A7="","",WEEKDAY($A7,2))</f>
        <v/>
      </c>
      <c r="E7" s="345">
        <f>IF($A7="","",UPPER(TRIM('Oct 2026'!H8)))</f>
        <v/>
      </c>
      <c r="F7" s="345">
        <f>IF($A7="","",IF(OR('Oct 2026'!H10=TRUE,'Oct 2026'!H10="x",'Oct 2026'!H10="X"),1,0))</f>
        <v/>
      </c>
      <c r="G7" s="345">
        <f>IF($A7="","",IF(OR('Oct 2026'!H11=TRUE,'Oct 2026'!H11="x",'Oct 2026'!H11="X"),1,0))</f>
        <v/>
      </c>
      <c r="H7" s="345">
        <f>IF($A7="","",IF(OR('Oct 2026'!H12=TRUE,'Oct 2026'!H12="x",'Oct 2026'!H12="X"),1,0))</f>
        <v/>
      </c>
      <c r="I7" s="345">
        <f>IF($A7="","",IF(OR('Oct 2026'!H13=TRUE,'Oct 2026'!H13="x",'Oct 2026'!H13="X"),1,0))</f>
        <v/>
      </c>
      <c r="J7" s="345">
        <f>IF($A7="","",IF(OR('Oct 2026'!H14=TRUE,'Oct 2026'!H14="x",'Oct 2026'!H14="X"),1,0))</f>
        <v/>
      </c>
      <c r="K7" s="345">
        <f>IF($A7="","",IF(OR('Oct 2026'!H15=TRUE,'Oct 2026'!H15="x",'Oct 2026'!H15="X"),1,0))</f>
        <v/>
      </c>
      <c r="L7" s="345">
        <f>IF($A7="","",IF(OR('Oct 2026'!H16=TRUE,'Oct 2026'!H16="x",'Oct 2026'!H16="X"),1,0))</f>
        <v/>
      </c>
      <c r="M7" s="345">
        <f>IF($A7="","",IF(OR('Oct 2026'!H17=TRUE,'Oct 2026'!H17="x",'Oct 2026'!H17="X"),1,0))</f>
        <v/>
      </c>
      <c r="N7" s="345">
        <f>IF($A7="","",IF(OR('Oct 2026'!H18=TRUE,'Oct 2026'!H18="x",'Oct 2026'!H18="X"),1,0))</f>
        <v/>
      </c>
      <c r="O7" s="345">
        <f>IF($A7="","",IF(OR('Oct 2026'!H20=TRUE,'Oct 2026'!H20="x",'Oct 2026'!H20="X"),1,0))</f>
        <v/>
      </c>
      <c r="P7" s="345">
        <f>IF($A7="","",IF(OR('Oct 2026'!H21=TRUE,'Oct 2026'!H21="x",'Oct 2026'!H21="X"),1,0))</f>
        <v/>
      </c>
      <c r="Q7" s="345">
        <f>IF($A7="","",IF(OR('Oct 2026'!H22=TRUE,'Oct 2026'!H22="x",'Oct 2026'!H22="X"),1,0))</f>
        <v/>
      </c>
      <c r="R7" s="345">
        <f>IF($A7="","",IF(OR('Oct 2026'!H23=TRUE,'Oct 2026'!H23="x",'Oct 2026'!H23="X"),1,0))</f>
        <v/>
      </c>
      <c r="S7" s="345">
        <f>IF($A7="","",IF(OR('Oct 2026'!H24=TRUE,'Oct 2026'!H24="x",'Oct 2026'!H24="X"),1,0))</f>
        <v/>
      </c>
      <c r="T7" s="345">
        <f>IF($A7="","",IF(OR('Oct 2026'!H25=TRUE,'Oct 2026'!H25="x",'Oct 2026'!H25="X"),1,0))</f>
        <v/>
      </c>
      <c r="U7" s="345">
        <f>IF($A7="","",IF(OR('Oct 2026'!H26=TRUE,'Oct 2026'!H26="x",'Oct 2026'!H26="X"),1,0))</f>
        <v/>
      </c>
      <c r="V7" s="345">
        <f>IF($A7="","",IF(OR('Oct 2026'!H27=TRUE,'Oct 2026'!H27="x",'Oct 2026'!H27="X"),1,0))</f>
        <v/>
      </c>
      <c r="W7" s="345">
        <f>IF($A7="","",IF(OR('Oct 2026'!H28=TRUE,'Oct 2026'!H28="x",'Oct 2026'!H28="X"),1,0))</f>
        <v/>
      </c>
      <c r="X7" s="345">
        <f>IF($A7="","",IF(OR('Oct 2026'!H29=TRUE,'Oct 2026'!H29="x",'Oct 2026'!H29="X"),1,0))</f>
        <v/>
      </c>
      <c r="Y7" s="345">
        <f>IF($A7="","",IF(OR('Oct 2026'!H30=TRUE,'Oct 2026'!H30="x",'Oct 2026'!H30="X"),1,0))</f>
        <v/>
      </c>
      <c r="Z7" s="345">
        <f>IF($A7="","",IF(OR('Oct 2026'!H31=TRUE,'Oct 2026'!H31="x",'Oct 2026'!H31="X"),1,0))</f>
        <v/>
      </c>
      <c r="AA7" s="345">
        <f>IF($A7="","",IF(OR('Oct 2026'!H32=TRUE,'Oct 2026'!H32="x",'Oct 2026'!H32="X"),1,0))</f>
        <v/>
      </c>
      <c r="AB7" s="345">
        <f>IF($A7="","",IF(OR('Oct 2026'!H34=TRUE,'Oct 2026'!H34="x",'Oct 2026'!H34="X"),1,0))</f>
        <v/>
      </c>
      <c r="AC7" s="345">
        <f>IF($A7="","",IF(OR('Oct 2026'!H35=TRUE,'Oct 2026'!H35="x",'Oct 2026'!H35="X"),1,0))</f>
        <v/>
      </c>
      <c r="AD7" s="345">
        <f>IF($A7="","",IF(OR('Oct 2026'!H36=TRUE,'Oct 2026'!H36="x",'Oct 2026'!H36="X"),1,0))</f>
        <v/>
      </c>
      <c r="AE7" s="345">
        <f>IF($A7="","",IF(OR('Oct 2026'!H37=TRUE,'Oct 2026'!H37="x",'Oct 2026'!H37="X"),1,0))</f>
        <v/>
      </c>
      <c r="AF7" s="345">
        <f>IF($A7="","",IF('Oct 2026'!H59="","",'Oct 2026'!H59))</f>
        <v/>
      </c>
      <c r="AG7" s="345">
        <f>IF($A7="","",IF('Oct 2026'!H60="","",'Oct 2026'!H60))</f>
        <v/>
      </c>
      <c r="AH7" s="345">
        <f>IF($A7="","",IF('Oct 2026'!H61="","",'Oct 2026'!H61))</f>
        <v/>
      </c>
      <c r="AI7" s="345">
        <f>IF($A7="","",IF('Oct 2026'!H62="","",'Oct 2026'!H62))</f>
        <v/>
      </c>
      <c r="AJ7" s="345">
        <f>IF($A7="","",IF('Oct 2026'!H63="","",'Oct 2026'!H63))</f>
        <v/>
      </c>
      <c r="AK7" s="345">
        <f>IF($A7="","",IF('Oct 2026'!H64="","",'Oct 2026'!H64))</f>
        <v/>
      </c>
      <c r="AL7" s="345">
        <f>IF($A7="","",IF('Oct 2026'!H65="","",'Oct 2026'!H65))</f>
        <v/>
      </c>
      <c r="AM7" s="345">
        <f>IF($A7="","",IF('Oct 2026'!H66="","",'Oct 2026'!H66))</f>
        <v/>
      </c>
      <c r="AN7" s="345">
        <f>IF($A7="","",IF('Oct 2026'!H67="","",'Oct 2026'!H67))</f>
        <v/>
      </c>
      <c r="AO7" s="345">
        <f>IF($A7="",0,IF(AND($A7&gt;=TrackStart,$A7&lt;=TODAY()),1,0))</f>
        <v/>
      </c>
      <c r="AP7" s="345">
        <f>IF($A7="",0,IF(SUM(F7:AE7)+COUNT(AF7:AN7)&gt;0,1,0))</f>
        <v/>
      </c>
      <c r="AQ7" s="345">
        <f>IF($A7="","",INT(($A7-TrackStart)/7)+1)</f>
        <v/>
      </c>
      <c r="AR7" s="345">
        <f>IF($A7="","",IF(AQ7&lt;=1,Steps1,IF(AQ7=2,Steps2,Steps3)))</f>
        <v/>
      </c>
      <c r="AS7" s="345">
        <f>IF($A7="",0,IF(ISNUMBER(SEARCH(TEXT(D7,"0"),WorkDays&amp;"")),1,0))</f>
        <v/>
      </c>
      <c r="AT7" s="345">
        <f>IF($A7="",0,IF(ISNUMBER(SEARCH(TEXT(D7,"0"),StrDays&amp;"")),1,0))</f>
        <v/>
      </c>
      <c r="AU7" s="345">
        <f>IF($A7="",0,IF(ISNUMBER(AK7),IF(AK7&gt;=SleepMin,1,0),N7))</f>
        <v/>
      </c>
      <c r="AV7" s="345">
        <f>IF($A7="",0,MAX(I7,O7,S7,AC7))</f>
        <v/>
      </c>
      <c r="AW7" s="345">
        <f>IF($A7="",0,IF(ISNUMBER(AH7),IF(AH7&gt;=ProtHit,1,0),0))</f>
        <v/>
      </c>
      <c r="AX7" s="345">
        <f>IF($A7="",0,IF(ISNUMBER(AI7),IF(AI7&gt;=WaterHit,1,0),0))</f>
        <v/>
      </c>
      <c r="AY7" s="345">
        <f>IF($A7="",0,IF(ISNUMBER(AG7),IF(AG7&gt;=AR7,1,0),0))</f>
        <v/>
      </c>
      <c r="AZ7" s="345">
        <f>IF($A7="",0,G7)</f>
        <v/>
      </c>
      <c r="BA7" s="345">
        <f>IF($A7="",0,J7)</f>
        <v/>
      </c>
      <c r="BB7" s="345">
        <f>IF($A7="",0,K7)</f>
        <v/>
      </c>
      <c r="BC7" s="345">
        <f>IF($A7="",0,MAX(L7,AE7))</f>
        <v/>
      </c>
      <c r="BD7" s="344">
        <f>IF($A7="","",(AU7+AV7+AW7+AX7+AY7+AZ7+BB7+BC7+IF(AS7=1,BA7,0))/(8+AS7))</f>
        <v/>
      </c>
      <c r="BE7" s="344">
        <f>IF($A7="","",(IF(ISNUMBER(AI7),IF(AI7&gt;=WaterMVD,1,0),0)+AV7+IF(ISNUMBER(AH7),IF(AH7&gt;=ProtMVD,1,0),0)+MAX(H7,AD7)+AZ7+BB7+AU7)/7)</f>
        <v/>
      </c>
      <c r="BF7" s="344">
        <f>IF(AO7=0,"",IF(E7="S","",IF(AND(AP7=0,$A7=TODAY()),"",IF(E7="M",BE7,BD7))))</f>
        <v/>
      </c>
      <c r="BG7" s="344">
        <f>IF(AO7=0,"",IFERROR(AVERAGEIFS(Data!$BF$4:$BF$375,Data!$A$4:$A$375,"&gt;"&amp;($A7-7),Data!$A$4:$A$375,"&lt;="&amp;$A7),""))</f>
        <v/>
      </c>
      <c r="BH7" s="344">
        <f>IF(AO7=0,"",IFERROR(AVERAGEIFS(Data!$BF$4:$BF$375,Data!$A$4:$A$375,"&gt;"&amp;($A7-30),Data!$A$4:$A$375,"&lt;="&amp;$A7),""))</f>
        <v/>
      </c>
      <c r="BI7" s="359">
        <f>IF($A7="","",IFERROR(AVERAGEIFS(Data!$AF$4:$AF$375,Data!$A$4:$A$375,"&gt;"&amp;($A7-7),Data!$A$4:$A$375,"&lt;="&amp;$A7,Data!$AF$4:$AF$375,"&gt;0"),""))</f>
        <v/>
      </c>
      <c r="BJ7" s="345">
        <f>IF($A7="","",F7+G7+H7+I7+J7+K7+L7+M7+N7-IF(AS7=1,0,J7))</f>
        <v/>
      </c>
      <c r="BK7" s="345">
        <f>IF($A7="","",8+AS7)</f>
        <v/>
      </c>
      <c r="BL7" s="345">
        <f>IF(ISNUMBER(BF7),BF7,NA())</f>
        <v/>
      </c>
      <c r="BM7" s="345">
        <f>IF(ISNUMBER(AF7),AF7,NA())</f>
        <v/>
      </c>
      <c r="BN7" s="345">
        <f>IF(ISNUMBER(BI7),BI7,NA())</f>
        <v/>
      </c>
      <c r="BO7" s="345">
        <f>IF(ISNUMBER(AL7),AL7,NA())</f>
        <v/>
      </c>
      <c r="BP7" s="345">
        <f>IF(ISNUMBER(AM7),AM7,NA())</f>
        <v/>
      </c>
      <c r="BQ7" s="345">
        <f>IF(ISNUMBER(AN7),AN7,NA())</f>
        <v/>
      </c>
    </row>
    <row r="8">
      <c r="A8" s="358">
        <f>IF('Oct 2026'!I7="","",'Oct 2026'!I7)</f>
        <v/>
      </c>
      <c r="B8" s="345" t="n">
        <v>1</v>
      </c>
      <c r="C8" s="345">
        <f>IF($A8="","",5)</f>
        <v/>
      </c>
      <c r="D8" s="345">
        <f>IF($A8="","",WEEKDAY($A8,2))</f>
        <v/>
      </c>
      <c r="E8" s="345">
        <f>IF($A8="","",UPPER(TRIM('Oct 2026'!I8)))</f>
        <v/>
      </c>
      <c r="F8" s="345">
        <f>IF($A8="","",IF(OR('Oct 2026'!I10=TRUE,'Oct 2026'!I10="x",'Oct 2026'!I10="X"),1,0))</f>
        <v/>
      </c>
      <c r="G8" s="345">
        <f>IF($A8="","",IF(OR('Oct 2026'!I11=TRUE,'Oct 2026'!I11="x",'Oct 2026'!I11="X"),1,0))</f>
        <v/>
      </c>
      <c r="H8" s="345">
        <f>IF($A8="","",IF(OR('Oct 2026'!I12=TRUE,'Oct 2026'!I12="x",'Oct 2026'!I12="X"),1,0))</f>
        <v/>
      </c>
      <c r="I8" s="345">
        <f>IF($A8="","",IF(OR('Oct 2026'!I13=TRUE,'Oct 2026'!I13="x",'Oct 2026'!I13="X"),1,0))</f>
        <v/>
      </c>
      <c r="J8" s="345">
        <f>IF($A8="","",IF(OR('Oct 2026'!I14=TRUE,'Oct 2026'!I14="x",'Oct 2026'!I14="X"),1,0))</f>
        <v/>
      </c>
      <c r="K8" s="345">
        <f>IF($A8="","",IF(OR('Oct 2026'!I15=TRUE,'Oct 2026'!I15="x",'Oct 2026'!I15="X"),1,0))</f>
        <v/>
      </c>
      <c r="L8" s="345">
        <f>IF($A8="","",IF(OR('Oct 2026'!I16=TRUE,'Oct 2026'!I16="x",'Oct 2026'!I16="X"),1,0))</f>
        <v/>
      </c>
      <c r="M8" s="345">
        <f>IF($A8="","",IF(OR('Oct 2026'!I17=TRUE,'Oct 2026'!I17="x",'Oct 2026'!I17="X"),1,0))</f>
        <v/>
      </c>
      <c r="N8" s="345">
        <f>IF($A8="","",IF(OR('Oct 2026'!I18=TRUE,'Oct 2026'!I18="x",'Oct 2026'!I18="X"),1,0))</f>
        <v/>
      </c>
      <c r="O8" s="345">
        <f>IF($A8="","",IF(OR('Oct 2026'!I20=TRUE,'Oct 2026'!I20="x",'Oct 2026'!I20="X"),1,0))</f>
        <v/>
      </c>
      <c r="P8" s="345">
        <f>IF($A8="","",IF(OR('Oct 2026'!I21=TRUE,'Oct 2026'!I21="x",'Oct 2026'!I21="X"),1,0))</f>
        <v/>
      </c>
      <c r="Q8" s="345">
        <f>IF($A8="","",IF(OR('Oct 2026'!I22=TRUE,'Oct 2026'!I22="x",'Oct 2026'!I22="X"),1,0))</f>
        <v/>
      </c>
      <c r="R8" s="345">
        <f>IF($A8="","",IF(OR('Oct 2026'!I23=TRUE,'Oct 2026'!I23="x",'Oct 2026'!I23="X"),1,0))</f>
        <v/>
      </c>
      <c r="S8" s="345">
        <f>IF($A8="","",IF(OR('Oct 2026'!I24=TRUE,'Oct 2026'!I24="x",'Oct 2026'!I24="X"),1,0))</f>
        <v/>
      </c>
      <c r="T8" s="345">
        <f>IF($A8="","",IF(OR('Oct 2026'!I25=TRUE,'Oct 2026'!I25="x",'Oct 2026'!I25="X"),1,0))</f>
        <v/>
      </c>
      <c r="U8" s="345">
        <f>IF($A8="","",IF(OR('Oct 2026'!I26=TRUE,'Oct 2026'!I26="x",'Oct 2026'!I26="X"),1,0))</f>
        <v/>
      </c>
      <c r="V8" s="345">
        <f>IF($A8="","",IF(OR('Oct 2026'!I27=TRUE,'Oct 2026'!I27="x",'Oct 2026'!I27="X"),1,0))</f>
        <v/>
      </c>
      <c r="W8" s="345">
        <f>IF($A8="","",IF(OR('Oct 2026'!I28=TRUE,'Oct 2026'!I28="x",'Oct 2026'!I28="X"),1,0))</f>
        <v/>
      </c>
      <c r="X8" s="345">
        <f>IF($A8="","",IF(OR('Oct 2026'!I29=TRUE,'Oct 2026'!I29="x",'Oct 2026'!I29="X"),1,0))</f>
        <v/>
      </c>
      <c r="Y8" s="345">
        <f>IF($A8="","",IF(OR('Oct 2026'!I30=TRUE,'Oct 2026'!I30="x",'Oct 2026'!I30="X"),1,0))</f>
        <v/>
      </c>
      <c r="Z8" s="345">
        <f>IF($A8="","",IF(OR('Oct 2026'!I31=TRUE,'Oct 2026'!I31="x",'Oct 2026'!I31="X"),1,0))</f>
        <v/>
      </c>
      <c r="AA8" s="345">
        <f>IF($A8="","",IF(OR('Oct 2026'!I32=TRUE,'Oct 2026'!I32="x",'Oct 2026'!I32="X"),1,0))</f>
        <v/>
      </c>
      <c r="AB8" s="345">
        <f>IF($A8="","",IF(OR('Oct 2026'!I34=TRUE,'Oct 2026'!I34="x",'Oct 2026'!I34="X"),1,0))</f>
        <v/>
      </c>
      <c r="AC8" s="345">
        <f>IF($A8="","",IF(OR('Oct 2026'!I35=TRUE,'Oct 2026'!I35="x",'Oct 2026'!I35="X"),1,0))</f>
        <v/>
      </c>
      <c r="AD8" s="345">
        <f>IF($A8="","",IF(OR('Oct 2026'!I36=TRUE,'Oct 2026'!I36="x",'Oct 2026'!I36="X"),1,0))</f>
        <v/>
      </c>
      <c r="AE8" s="345">
        <f>IF($A8="","",IF(OR('Oct 2026'!I37=TRUE,'Oct 2026'!I37="x",'Oct 2026'!I37="X"),1,0))</f>
        <v/>
      </c>
      <c r="AF8" s="345">
        <f>IF($A8="","",IF('Oct 2026'!I59="","",'Oct 2026'!I59))</f>
        <v/>
      </c>
      <c r="AG8" s="345">
        <f>IF($A8="","",IF('Oct 2026'!I60="","",'Oct 2026'!I60))</f>
        <v/>
      </c>
      <c r="AH8" s="345">
        <f>IF($A8="","",IF('Oct 2026'!I61="","",'Oct 2026'!I61))</f>
        <v/>
      </c>
      <c r="AI8" s="345">
        <f>IF($A8="","",IF('Oct 2026'!I62="","",'Oct 2026'!I62))</f>
        <v/>
      </c>
      <c r="AJ8" s="345">
        <f>IF($A8="","",IF('Oct 2026'!I63="","",'Oct 2026'!I63))</f>
        <v/>
      </c>
      <c r="AK8" s="345">
        <f>IF($A8="","",IF('Oct 2026'!I64="","",'Oct 2026'!I64))</f>
        <v/>
      </c>
      <c r="AL8" s="345">
        <f>IF($A8="","",IF('Oct 2026'!I65="","",'Oct 2026'!I65))</f>
        <v/>
      </c>
      <c r="AM8" s="345">
        <f>IF($A8="","",IF('Oct 2026'!I66="","",'Oct 2026'!I66))</f>
        <v/>
      </c>
      <c r="AN8" s="345">
        <f>IF($A8="","",IF('Oct 2026'!I67="","",'Oct 2026'!I67))</f>
        <v/>
      </c>
      <c r="AO8" s="345">
        <f>IF($A8="",0,IF(AND($A8&gt;=TrackStart,$A8&lt;=TODAY()),1,0))</f>
        <v/>
      </c>
      <c r="AP8" s="345">
        <f>IF($A8="",0,IF(SUM(F8:AE8)+COUNT(AF8:AN8)&gt;0,1,0))</f>
        <v/>
      </c>
      <c r="AQ8" s="345">
        <f>IF($A8="","",INT(($A8-TrackStart)/7)+1)</f>
        <v/>
      </c>
      <c r="AR8" s="345">
        <f>IF($A8="","",IF(AQ8&lt;=1,Steps1,IF(AQ8=2,Steps2,Steps3)))</f>
        <v/>
      </c>
      <c r="AS8" s="345">
        <f>IF($A8="",0,IF(ISNUMBER(SEARCH(TEXT(D8,"0"),WorkDays&amp;"")),1,0))</f>
        <v/>
      </c>
      <c r="AT8" s="345">
        <f>IF($A8="",0,IF(ISNUMBER(SEARCH(TEXT(D8,"0"),StrDays&amp;"")),1,0))</f>
        <v/>
      </c>
      <c r="AU8" s="345">
        <f>IF($A8="",0,IF(ISNUMBER(AK8),IF(AK8&gt;=SleepMin,1,0),N8))</f>
        <v/>
      </c>
      <c r="AV8" s="345">
        <f>IF($A8="",0,MAX(I8,O8,S8,AC8))</f>
        <v/>
      </c>
      <c r="AW8" s="345">
        <f>IF($A8="",0,IF(ISNUMBER(AH8),IF(AH8&gt;=ProtHit,1,0),0))</f>
        <v/>
      </c>
      <c r="AX8" s="345">
        <f>IF($A8="",0,IF(ISNUMBER(AI8),IF(AI8&gt;=WaterHit,1,0),0))</f>
        <v/>
      </c>
      <c r="AY8" s="345">
        <f>IF($A8="",0,IF(ISNUMBER(AG8),IF(AG8&gt;=AR8,1,0),0))</f>
        <v/>
      </c>
      <c r="AZ8" s="345">
        <f>IF($A8="",0,G8)</f>
        <v/>
      </c>
      <c r="BA8" s="345">
        <f>IF($A8="",0,J8)</f>
        <v/>
      </c>
      <c r="BB8" s="345">
        <f>IF($A8="",0,K8)</f>
        <v/>
      </c>
      <c r="BC8" s="345">
        <f>IF($A8="",0,MAX(L8,AE8))</f>
        <v/>
      </c>
      <c r="BD8" s="344">
        <f>IF($A8="","",(AU8+AV8+AW8+AX8+AY8+AZ8+BB8+BC8+IF(AS8=1,BA8,0))/(8+AS8))</f>
        <v/>
      </c>
      <c r="BE8" s="344">
        <f>IF($A8="","",(IF(ISNUMBER(AI8),IF(AI8&gt;=WaterMVD,1,0),0)+AV8+IF(ISNUMBER(AH8),IF(AH8&gt;=ProtMVD,1,0),0)+MAX(H8,AD8)+AZ8+BB8+AU8)/7)</f>
        <v/>
      </c>
      <c r="BF8" s="344">
        <f>IF(AO8=0,"",IF(E8="S","",IF(AND(AP8=0,$A8=TODAY()),"",IF(E8="M",BE8,BD8))))</f>
        <v/>
      </c>
      <c r="BG8" s="344">
        <f>IF(AO8=0,"",IFERROR(AVERAGEIFS(Data!$BF$4:$BF$375,Data!$A$4:$A$375,"&gt;"&amp;($A8-7),Data!$A$4:$A$375,"&lt;="&amp;$A8),""))</f>
        <v/>
      </c>
      <c r="BH8" s="344">
        <f>IF(AO8=0,"",IFERROR(AVERAGEIFS(Data!$BF$4:$BF$375,Data!$A$4:$A$375,"&gt;"&amp;($A8-30),Data!$A$4:$A$375,"&lt;="&amp;$A8),""))</f>
        <v/>
      </c>
      <c r="BI8" s="359">
        <f>IF($A8="","",IFERROR(AVERAGEIFS(Data!$AF$4:$AF$375,Data!$A$4:$A$375,"&gt;"&amp;($A8-7),Data!$A$4:$A$375,"&lt;="&amp;$A8,Data!$AF$4:$AF$375,"&gt;0"),""))</f>
        <v/>
      </c>
      <c r="BJ8" s="345">
        <f>IF($A8="","",F8+G8+H8+I8+J8+K8+L8+M8+N8-IF(AS8=1,0,J8))</f>
        <v/>
      </c>
      <c r="BK8" s="345">
        <f>IF($A8="","",8+AS8)</f>
        <v/>
      </c>
      <c r="BL8" s="345">
        <f>IF(ISNUMBER(BF8),BF8,NA())</f>
        <v/>
      </c>
      <c r="BM8" s="345">
        <f>IF(ISNUMBER(AF8),AF8,NA())</f>
        <v/>
      </c>
      <c r="BN8" s="345">
        <f>IF(ISNUMBER(BI8),BI8,NA())</f>
        <v/>
      </c>
      <c r="BO8" s="345">
        <f>IF(ISNUMBER(AL8),AL8,NA())</f>
        <v/>
      </c>
      <c r="BP8" s="345">
        <f>IF(ISNUMBER(AM8),AM8,NA())</f>
        <v/>
      </c>
      <c r="BQ8" s="345">
        <f>IF(ISNUMBER(AN8),AN8,NA())</f>
        <v/>
      </c>
    </row>
    <row r="9">
      <c r="A9" s="358">
        <f>IF('Oct 2026'!J7="","",'Oct 2026'!J7)</f>
        <v/>
      </c>
      <c r="B9" s="345" t="n">
        <v>1</v>
      </c>
      <c r="C9" s="345">
        <f>IF($A9="","",6)</f>
        <v/>
      </c>
      <c r="D9" s="345">
        <f>IF($A9="","",WEEKDAY($A9,2))</f>
        <v/>
      </c>
      <c r="E9" s="345">
        <f>IF($A9="","",UPPER(TRIM('Oct 2026'!J8)))</f>
        <v/>
      </c>
      <c r="F9" s="345">
        <f>IF($A9="","",IF(OR('Oct 2026'!J10=TRUE,'Oct 2026'!J10="x",'Oct 2026'!J10="X"),1,0))</f>
        <v/>
      </c>
      <c r="G9" s="345">
        <f>IF($A9="","",IF(OR('Oct 2026'!J11=TRUE,'Oct 2026'!J11="x",'Oct 2026'!J11="X"),1,0))</f>
        <v/>
      </c>
      <c r="H9" s="345">
        <f>IF($A9="","",IF(OR('Oct 2026'!J12=TRUE,'Oct 2026'!J12="x",'Oct 2026'!J12="X"),1,0))</f>
        <v/>
      </c>
      <c r="I9" s="345">
        <f>IF($A9="","",IF(OR('Oct 2026'!J13=TRUE,'Oct 2026'!J13="x",'Oct 2026'!J13="X"),1,0))</f>
        <v/>
      </c>
      <c r="J9" s="345">
        <f>IF($A9="","",IF(OR('Oct 2026'!J14=TRUE,'Oct 2026'!J14="x",'Oct 2026'!J14="X"),1,0))</f>
        <v/>
      </c>
      <c r="K9" s="345">
        <f>IF($A9="","",IF(OR('Oct 2026'!J15=TRUE,'Oct 2026'!J15="x",'Oct 2026'!J15="X"),1,0))</f>
        <v/>
      </c>
      <c r="L9" s="345">
        <f>IF($A9="","",IF(OR('Oct 2026'!J16=TRUE,'Oct 2026'!J16="x",'Oct 2026'!J16="X"),1,0))</f>
        <v/>
      </c>
      <c r="M9" s="345">
        <f>IF($A9="","",IF(OR('Oct 2026'!J17=TRUE,'Oct 2026'!J17="x",'Oct 2026'!J17="X"),1,0))</f>
        <v/>
      </c>
      <c r="N9" s="345">
        <f>IF($A9="","",IF(OR('Oct 2026'!J18=TRUE,'Oct 2026'!J18="x",'Oct 2026'!J18="X"),1,0))</f>
        <v/>
      </c>
      <c r="O9" s="345">
        <f>IF($A9="","",IF(OR('Oct 2026'!J20=TRUE,'Oct 2026'!J20="x",'Oct 2026'!J20="X"),1,0))</f>
        <v/>
      </c>
      <c r="P9" s="345">
        <f>IF($A9="","",IF(OR('Oct 2026'!J21=TRUE,'Oct 2026'!J21="x",'Oct 2026'!J21="X"),1,0))</f>
        <v/>
      </c>
      <c r="Q9" s="345">
        <f>IF($A9="","",IF(OR('Oct 2026'!J22=TRUE,'Oct 2026'!J22="x",'Oct 2026'!J22="X"),1,0))</f>
        <v/>
      </c>
      <c r="R9" s="345">
        <f>IF($A9="","",IF(OR('Oct 2026'!J23=TRUE,'Oct 2026'!J23="x",'Oct 2026'!J23="X"),1,0))</f>
        <v/>
      </c>
      <c r="S9" s="345">
        <f>IF($A9="","",IF(OR('Oct 2026'!J24=TRUE,'Oct 2026'!J24="x",'Oct 2026'!J24="X"),1,0))</f>
        <v/>
      </c>
      <c r="T9" s="345">
        <f>IF($A9="","",IF(OR('Oct 2026'!J25=TRUE,'Oct 2026'!J25="x",'Oct 2026'!J25="X"),1,0))</f>
        <v/>
      </c>
      <c r="U9" s="345">
        <f>IF($A9="","",IF(OR('Oct 2026'!J26=TRUE,'Oct 2026'!J26="x",'Oct 2026'!J26="X"),1,0))</f>
        <v/>
      </c>
      <c r="V9" s="345">
        <f>IF($A9="","",IF(OR('Oct 2026'!J27=TRUE,'Oct 2026'!J27="x",'Oct 2026'!J27="X"),1,0))</f>
        <v/>
      </c>
      <c r="W9" s="345">
        <f>IF($A9="","",IF(OR('Oct 2026'!J28=TRUE,'Oct 2026'!J28="x",'Oct 2026'!J28="X"),1,0))</f>
        <v/>
      </c>
      <c r="X9" s="345">
        <f>IF($A9="","",IF(OR('Oct 2026'!J29=TRUE,'Oct 2026'!J29="x",'Oct 2026'!J29="X"),1,0))</f>
        <v/>
      </c>
      <c r="Y9" s="345">
        <f>IF($A9="","",IF(OR('Oct 2026'!J30=TRUE,'Oct 2026'!J30="x",'Oct 2026'!J30="X"),1,0))</f>
        <v/>
      </c>
      <c r="Z9" s="345">
        <f>IF($A9="","",IF(OR('Oct 2026'!J31=TRUE,'Oct 2026'!J31="x",'Oct 2026'!J31="X"),1,0))</f>
        <v/>
      </c>
      <c r="AA9" s="345">
        <f>IF($A9="","",IF(OR('Oct 2026'!J32=TRUE,'Oct 2026'!J32="x",'Oct 2026'!J32="X"),1,0))</f>
        <v/>
      </c>
      <c r="AB9" s="345">
        <f>IF($A9="","",IF(OR('Oct 2026'!J34=TRUE,'Oct 2026'!J34="x",'Oct 2026'!J34="X"),1,0))</f>
        <v/>
      </c>
      <c r="AC9" s="345">
        <f>IF($A9="","",IF(OR('Oct 2026'!J35=TRUE,'Oct 2026'!J35="x",'Oct 2026'!J35="X"),1,0))</f>
        <v/>
      </c>
      <c r="AD9" s="345">
        <f>IF($A9="","",IF(OR('Oct 2026'!J36=TRUE,'Oct 2026'!J36="x",'Oct 2026'!J36="X"),1,0))</f>
        <v/>
      </c>
      <c r="AE9" s="345">
        <f>IF($A9="","",IF(OR('Oct 2026'!J37=TRUE,'Oct 2026'!J37="x",'Oct 2026'!J37="X"),1,0))</f>
        <v/>
      </c>
      <c r="AF9" s="345">
        <f>IF($A9="","",IF('Oct 2026'!J59="","",'Oct 2026'!J59))</f>
        <v/>
      </c>
      <c r="AG9" s="345">
        <f>IF($A9="","",IF('Oct 2026'!J60="","",'Oct 2026'!J60))</f>
        <v/>
      </c>
      <c r="AH9" s="345">
        <f>IF($A9="","",IF('Oct 2026'!J61="","",'Oct 2026'!J61))</f>
        <v/>
      </c>
      <c r="AI9" s="345">
        <f>IF($A9="","",IF('Oct 2026'!J62="","",'Oct 2026'!J62))</f>
        <v/>
      </c>
      <c r="AJ9" s="345">
        <f>IF($A9="","",IF('Oct 2026'!J63="","",'Oct 2026'!J63))</f>
        <v/>
      </c>
      <c r="AK9" s="345">
        <f>IF($A9="","",IF('Oct 2026'!J64="","",'Oct 2026'!J64))</f>
        <v/>
      </c>
      <c r="AL9" s="345">
        <f>IF($A9="","",IF('Oct 2026'!J65="","",'Oct 2026'!J65))</f>
        <v/>
      </c>
      <c r="AM9" s="345">
        <f>IF($A9="","",IF('Oct 2026'!J66="","",'Oct 2026'!J66))</f>
        <v/>
      </c>
      <c r="AN9" s="345">
        <f>IF($A9="","",IF('Oct 2026'!J67="","",'Oct 2026'!J67))</f>
        <v/>
      </c>
      <c r="AO9" s="345">
        <f>IF($A9="",0,IF(AND($A9&gt;=TrackStart,$A9&lt;=TODAY()),1,0))</f>
        <v/>
      </c>
      <c r="AP9" s="345">
        <f>IF($A9="",0,IF(SUM(F9:AE9)+COUNT(AF9:AN9)&gt;0,1,0))</f>
        <v/>
      </c>
      <c r="AQ9" s="345">
        <f>IF($A9="","",INT(($A9-TrackStart)/7)+1)</f>
        <v/>
      </c>
      <c r="AR9" s="345">
        <f>IF($A9="","",IF(AQ9&lt;=1,Steps1,IF(AQ9=2,Steps2,Steps3)))</f>
        <v/>
      </c>
      <c r="AS9" s="345">
        <f>IF($A9="",0,IF(ISNUMBER(SEARCH(TEXT(D9,"0"),WorkDays&amp;"")),1,0))</f>
        <v/>
      </c>
      <c r="AT9" s="345">
        <f>IF($A9="",0,IF(ISNUMBER(SEARCH(TEXT(D9,"0"),StrDays&amp;"")),1,0))</f>
        <v/>
      </c>
      <c r="AU9" s="345">
        <f>IF($A9="",0,IF(ISNUMBER(AK9),IF(AK9&gt;=SleepMin,1,0),N9))</f>
        <v/>
      </c>
      <c r="AV9" s="345">
        <f>IF($A9="",0,MAX(I9,O9,S9,AC9))</f>
        <v/>
      </c>
      <c r="AW9" s="345">
        <f>IF($A9="",0,IF(ISNUMBER(AH9),IF(AH9&gt;=ProtHit,1,0),0))</f>
        <v/>
      </c>
      <c r="AX9" s="345">
        <f>IF($A9="",0,IF(ISNUMBER(AI9),IF(AI9&gt;=WaterHit,1,0),0))</f>
        <v/>
      </c>
      <c r="AY9" s="345">
        <f>IF($A9="",0,IF(ISNUMBER(AG9),IF(AG9&gt;=AR9,1,0),0))</f>
        <v/>
      </c>
      <c r="AZ9" s="345">
        <f>IF($A9="",0,G9)</f>
        <v/>
      </c>
      <c r="BA9" s="345">
        <f>IF($A9="",0,J9)</f>
        <v/>
      </c>
      <c r="BB9" s="345">
        <f>IF($A9="",0,K9)</f>
        <v/>
      </c>
      <c r="BC9" s="345">
        <f>IF($A9="",0,MAX(L9,AE9))</f>
        <v/>
      </c>
      <c r="BD9" s="344">
        <f>IF($A9="","",(AU9+AV9+AW9+AX9+AY9+AZ9+BB9+BC9+IF(AS9=1,BA9,0))/(8+AS9))</f>
        <v/>
      </c>
      <c r="BE9" s="344">
        <f>IF($A9="","",(IF(ISNUMBER(AI9),IF(AI9&gt;=WaterMVD,1,0),0)+AV9+IF(ISNUMBER(AH9),IF(AH9&gt;=ProtMVD,1,0),0)+MAX(H9,AD9)+AZ9+BB9+AU9)/7)</f>
        <v/>
      </c>
      <c r="BF9" s="344">
        <f>IF(AO9=0,"",IF(E9="S","",IF(AND(AP9=0,$A9=TODAY()),"",IF(E9="M",BE9,BD9))))</f>
        <v/>
      </c>
      <c r="BG9" s="344">
        <f>IF(AO9=0,"",IFERROR(AVERAGEIFS(Data!$BF$4:$BF$375,Data!$A$4:$A$375,"&gt;"&amp;($A9-7),Data!$A$4:$A$375,"&lt;="&amp;$A9),""))</f>
        <v/>
      </c>
      <c r="BH9" s="344">
        <f>IF(AO9=0,"",IFERROR(AVERAGEIFS(Data!$BF$4:$BF$375,Data!$A$4:$A$375,"&gt;"&amp;($A9-30),Data!$A$4:$A$375,"&lt;="&amp;$A9),""))</f>
        <v/>
      </c>
      <c r="BI9" s="359">
        <f>IF($A9="","",IFERROR(AVERAGEIFS(Data!$AF$4:$AF$375,Data!$A$4:$A$375,"&gt;"&amp;($A9-7),Data!$A$4:$A$375,"&lt;="&amp;$A9,Data!$AF$4:$AF$375,"&gt;0"),""))</f>
        <v/>
      </c>
      <c r="BJ9" s="345">
        <f>IF($A9="","",F9+G9+H9+I9+J9+K9+L9+M9+N9-IF(AS9=1,0,J9))</f>
        <v/>
      </c>
      <c r="BK9" s="345">
        <f>IF($A9="","",8+AS9)</f>
        <v/>
      </c>
      <c r="BL9" s="345">
        <f>IF(ISNUMBER(BF9),BF9,NA())</f>
        <v/>
      </c>
      <c r="BM9" s="345">
        <f>IF(ISNUMBER(AF9),AF9,NA())</f>
        <v/>
      </c>
      <c r="BN9" s="345">
        <f>IF(ISNUMBER(BI9),BI9,NA())</f>
        <v/>
      </c>
      <c r="BO9" s="345">
        <f>IF(ISNUMBER(AL9),AL9,NA())</f>
        <v/>
      </c>
      <c r="BP9" s="345">
        <f>IF(ISNUMBER(AM9),AM9,NA())</f>
        <v/>
      </c>
      <c r="BQ9" s="345">
        <f>IF(ISNUMBER(AN9),AN9,NA())</f>
        <v/>
      </c>
    </row>
    <row r="10">
      <c r="A10" s="358">
        <f>IF('Oct 2026'!K7="","",'Oct 2026'!K7)</f>
        <v/>
      </c>
      <c r="B10" s="345" t="n">
        <v>1</v>
      </c>
      <c r="C10" s="345">
        <f>IF($A10="","",7)</f>
        <v/>
      </c>
      <c r="D10" s="345">
        <f>IF($A10="","",WEEKDAY($A10,2))</f>
        <v/>
      </c>
      <c r="E10" s="345">
        <f>IF($A10="","",UPPER(TRIM('Oct 2026'!K8)))</f>
        <v/>
      </c>
      <c r="F10" s="345">
        <f>IF($A10="","",IF(OR('Oct 2026'!K10=TRUE,'Oct 2026'!K10="x",'Oct 2026'!K10="X"),1,0))</f>
        <v/>
      </c>
      <c r="G10" s="345">
        <f>IF($A10="","",IF(OR('Oct 2026'!K11=TRUE,'Oct 2026'!K11="x",'Oct 2026'!K11="X"),1,0))</f>
        <v/>
      </c>
      <c r="H10" s="345">
        <f>IF($A10="","",IF(OR('Oct 2026'!K12=TRUE,'Oct 2026'!K12="x",'Oct 2026'!K12="X"),1,0))</f>
        <v/>
      </c>
      <c r="I10" s="345">
        <f>IF($A10="","",IF(OR('Oct 2026'!K13=TRUE,'Oct 2026'!K13="x",'Oct 2026'!K13="X"),1,0))</f>
        <v/>
      </c>
      <c r="J10" s="345">
        <f>IF($A10="","",IF(OR('Oct 2026'!K14=TRUE,'Oct 2026'!K14="x",'Oct 2026'!K14="X"),1,0))</f>
        <v/>
      </c>
      <c r="K10" s="345">
        <f>IF($A10="","",IF(OR('Oct 2026'!K15=TRUE,'Oct 2026'!K15="x",'Oct 2026'!K15="X"),1,0))</f>
        <v/>
      </c>
      <c r="L10" s="345">
        <f>IF($A10="","",IF(OR('Oct 2026'!K16=TRUE,'Oct 2026'!K16="x",'Oct 2026'!K16="X"),1,0))</f>
        <v/>
      </c>
      <c r="M10" s="345">
        <f>IF($A10="","",IF(OR('Oct 2026'!K17=TRUE,'Oct 2026'!K17="x",'Oct 2026'!K17="X"),1,0))</f>
        <v/>
      </c>
      <c r="N10" s="345">
        <f>IF($A10="","",IF(OR('Oct 2026'!K18=TRUE,'Oct 2026'!K18="x",'Oct 2026'!K18="X"),1,0))</f>
        <v/>
      </c>
      <c r="O10" s="345">
        <f>IF($A10="","",IF(OR('Oct 2026'!K20=TRUE,'Oct 2026'!K20="x",'Oct 2026'!K20="X"),1,0))</f>
        <v/>
      </c>
      <c r="P10" s="345">
        <f>IF($A10="","",IF(OR('Oct 2026'!K21=TRUE,'Oct 2026'!K21="x",'Oct 2026'!K21="X"),1,0))</f>
        <v/>
      </c>
      <c r="Q10" s="345">
        <f>IF($A10="","",IF(OR('Oct 2026'!K22=TRUE,'Oct 2026'!K22="x",'Oct 2026'!K22="X"),1,0))</f>
        <v/>
      </c>
      <c r="R10" s="345">
        <f>IF($A10="","",IF(OR('Oct 2026'!K23=TRUE,'Oct 2026'!K23="x",'Oct 2026'!K23="X"),1,0))</f>
        <v/>
      </c>
      <c r="S10" s="345">
        <f>IF($A10="","",IF(OR('Oct 2026'!K24=TRUE,'Oct 2026'!K24="x",'Oct 2026'!K24="X"),1,0))</f>
        <v/>
      </c>
      <c r="T10" s="345">
        <f>IF($A10="","",IF(OR('Oct 2026'!K25=TRUE,'Oct 2026'!K25="x",'Oct 2026'!K25="X"),1,0))</f>
        <v/>
      </c>
      <c r="U10" s="345">
        <f>IF($A10="","",IF(OR('Oct 2026'!K26=TRUE,'Oct 2026'!K26="x",'Oct 2026'!K26="X"),1,0))</f>
        <v/>
      </c>
      <c r="V10" s="345">
        <f>IF($A10="","",IF(OR('Oct 2026'!K27=TRUE,'Oct 2026'!K27="x",'Oct 2026'!K27="X"),1,0))</f>
        <v/>
      </c>
      <c r="W10" s="345">
        <f>IF($A10="","",IF(OR('Oct 2026'!K28=TRUE,'Oct 2026'!K28="x",'Oct 2026'!K28="X"),1,0))</f>
        <v/>
      </c>
      <c r="X10" s="345">
        <f>IF($A10="","",IF(OR('Oct 2026'!K29=TRUE,'Oct 2026'!K29="x",'Oct 2026'!K29="X"),1,0))</f>
        <v/>
      </c>
      <c r="Y10" s="345">
        <f>IF($A10="","",IF(OR('Oct 2026'!K30=TRUE,'Oct 2026'!K30="x",'Oct 2026'!K30="X"),1,0))</f>
        <v/>
      </c>
      <c r="Z10" s="345">
        <f>IF($A10="","",IF(OR('Oct 2026'!K31=TRUE,'Oct 2026'!K31="x",'Oct 2026'!K31="X"),1,0))</f>
        <v/>
      </c>
      <c r="AA10" s="345">
        <f>IF($A10="","",IF(OR('Oct 2026'!K32=TRUE,'Oct 2026'!K32="x",'Oct 2026'!K32="X"),1,0))</f>
        <v/>
      </c>
      <c r="AB10" s="345">
        <f>IF($A10="","",IF(OR('Oct 2026'!K34=TRUE,'Oct 2026'!K34="x",'Oct 2026'!K34="X"),1,0))</f>
        <v/>
      </c>
      <c r="AC10" s="345">
        <f>IF($A10="","",IF(OR('Oct 2026'!K35=TRUE,'Oct 2026'!K35="x",'Oct 2026'!K35="X"),1,0))</f>
        <v/>
      </c>
      <c r="AD10" s="345">
        <f>IF($A10="","",IF(OR('Oct 2026'!K36=TRUE,'Oct 2026'!K36="x",'Oct 2026'!K36="X"),1,0))</f>
        <v/>
      </c>
      <c r="AE10" s="345">
        <f>IF($A10="","",IF(OR('Oct 2026'!K37=TRUE,'Oct 2026'!K37="x",'Oct 2026'!K37="X"),1,0))</f>
        <v/>
      </c>
      <c r="AF10" s="345">
        <f>IF($A10="","",IF('Oct 2026'!K59="","",'Oct 2026'!K59))</f>
        <v/>
      </c>
      <c r="AG10" s="345">
        <f>IF($A10="","",IF('Oct 2026'!K60="","",'Oct 2026'!K60))</f>
        <v/>
      </c>
      <c r="AH10" s="345">
        <f>IF($A10="","",IF('Oct 2026'!K61="","",'Oct 2026'!K61))</f>
        <v/>
      </c>
      <c r="AI10" s="345">
        <f>IF($A10="","",IF('Oct 2026'!K62="","",'Oct 2026'!K62))</f>
        <v/>
      </c>
      <c r="AJ10" s="345">
        <f>IF($A10="","",IF('Oct 2026'!K63="","",'Oct 2026'!K63))</f>
        <v/>
      </c>
      <c r="AK10" s="345">
        <f>IF($A10="","",IF('Oct 2026'!K64="","",'Oct 2026'!K64))</f>
        <v/>
      </c>
      <c r="AL10" s="345">
        <f>IF($A10="","",IF('Oct 2026'!K65="","",'Oct 2026'!K65))</f>
        <v/>
      </c>
      <c r="AM10" s="345">
        <f>IF($A10="","",IF('Oct 2026'!K66="","",'Oct 2026'!K66))</f>
        <v/>
      </c>
      <c r="AN10" s="345">
        <f>IF($A10="","",IF('Oct 2026'!K67="","",'Oct 2026'!K67))</f>
        <v/>
      </c>
      <c r="AO10" s="345">
        <f>IF($A10="",0,IF(AND($A10&gt;=TrackStart,$A10&lt;=TODAY()),1,0))</f>
        <v/>
      </c>
      <c r="AP10" s="345">
        <f>IF($A10="",0,IF(SUM(F10:AE10)+COUNT(AF10:AN10)&gt;0,1,0))</f>
        <v/>
      </c>
      <c r="AQ10" s="345">
        <f>IF($A10="","",INT(($A10-TrackStart)/7)+1)</f>
        <v/>
      </c>
      <c r="AR10" s="345">
        <f>IF($A10="","",IF(AQ10&lt;=1,Steps1,IF(AQ10=2,Steps2,Steps3)))</f>
        <v/>
      </c>
      <c r="AS10" s="345">
        <f>IF($A10="",0,IF(ISNUMBER(SEARCH(TEXT(D10,"0"),WorkDays&amp;"")),1,0))</f>
        <v/>
      </c>
      <c r="AT10" s="345">
        <f>IF($A10="",0,IF(ISNUMBER(SEARCH(TEXT(D10,"0"),StrDays&amp;"")),1,0))</f>
        <v/>
      </c>
      <c r="AU10" s="345">
        <f>IF($A10="",0,IF(ISNUMBER(AK10),IF(AK10&gt;=SleepMin,1,0),N10))</f>
        <v/>
      </c>
      <c r="AV10" s="345">
        <f>IF($A10="",0,MAX(I10,O10,S10,AC10))</f>
        <v/>
      </c>
      <c r="AW10" s="345">
        <f>IF($A10="",0,IF(ISNUMBER(AH10),IF(AH10&gt;=ProtHit,1,0),0))</f>
        <v/>
      </c>
      <c r="AX10" s="345">
        <f>IF($A10="",0,IF(ISNUMBER(AI10),IF(AI10&gt;=WaterHit,1,0),0))</f>
        <v/>
      </c>
      <c r="AY10" s="345">
        <f>IF($A10="",0,IF(ISNUMBER(AG10),IF(AG10&gt;=AR10,1,0),0))</f>
        <v/>
      </c>
      <c r="AZ10" s="345">
        <f>IF($A10="",0,G10)</f>
        <v/>
      </c>
      <c r="BA10" s="345">
        <f>IF($A10="",0,J10)</f>
        <v/>
      </c>
      <c r="BB10" s="345">
        <f>IF($A10="",0,K10)</f>
        <v/>
      </c>
      <c r="BC10" s="345">
        <f>IF($A10="",0,MAX(L10,AE10))</f>
        <v/>
      </c>
      <c r="BD10" s="344">
        <f>IF($A10="","",(AU10+AV10+AW10+AX10+AY10+AZ10+BB10+BC10+IF(AS10=1,BA10,0))/(8+AS10))</f>
        <v/>
      </c>
      <c r="BE10" s="344">
        <f>IF($A10="","",(IF(ISNUMBER(AI10),IF(AI10&gt;=WaterMVD,1,0),0)+AV10+IF(ISNUMBER(AH10),IF(AH10&gt;=ProtMVD,1,0),0)+MAX(H10,AD10)+AZ10+BB10+AU10)/7)</f>
        <v/>
      </c>
      <c r="BF10" s="344">
        <f>IF(AO10=0,"",IF(E10="S","",IF(AND(AP10=0,$A10=TODAY()),"",IF(E10="M",BE10,BD10))))</f>
        <v/>
      </c>
      <c r="BG10" s="344">
        <f>IF(AO10=0,"",IFERROR(AVERAGEIFS(Data!$BF$4:$BF$375,Data!$A$4:$A$375,"&gt;"&amp;($A10-7),Data!$A$4:$A$375,"&lt;="&amp;$A10),""))</f>
        <v/>
      </c>
      <c r="BH10" s="344">
        <f>IF(AO10=0,"",IFERROR(AVERAGEIFS(Data!$BF$4:$BF$375,Data!$A$4:$A$375,"&gt;"&amp;($A10-30),Data!$A$4:$A$375,"&lt;="&amp;$A10),""))</f>
        <v/>
      </c>
      <c r="BI10" s="359">
        <f>IF($A10="","",IFERROR(AVERAGEIFS(Data!$AF$4:$AF$375,Data!$A$4:$A$375,"&gt;"&amp;($A10-7),Data!$A$4:$A$375,"&lt;="&amp;$A10,Data!$AF$4:$AF$375,"&gt;0"),""))</f>
        <v/>
      </c>
      <c r="BJ10" s="345">
        <f>IF($A10="","",F10+G10+H10+I10+J10+K10+L10+M10+N10-IF(AS10=1,0,J10))</f>
        <v/>
      </c>
      <c r="BK10" s="345">
        <f>IF($A10="","",8+AS10)</f>
        <v/>
      </c>
      <c r="BL10" s="345">
        <f>IF(ISNUMBER(BF10),BF10,NA())</f>
        <v/>
      </c>
      <c r="BM10" s="345">
        <f>IF(ISNUMBER(AF10),AF10,NA())</f>
        <v/>
      </c>
      <c r="BN10" s="345">
        <f>IF(ISNUMBER(BI10),BI10,NA())</f>
        <v/>
      </c>
      <c r="BO10" s="345">
        <f>IF(ISNUMBER(AL10),AL10,NA())</f>
        <v/>
      </c>
      <c r="BP10" s="345">
        <f>IF(ISNUMBER(AM10),AM10,NA())</f>
        <v/>
      </c>
      <c r="BQ10" s="345">
        <f>IF(ISNUMBER(AN10),AN10,NA())</f>
        <v/>
      </c>
    </row>
    <row r="11">
      <c r="A11" s="358">
        <f>IF('Oct 2026'!L7="","",'Oct 2026'!L7)</f>
        <v/>
      </c>
      <c r="B11" s="345" t="n">
        <v>1</v>
      </c>
      <c r="C11" s="345">
        <f>IF($A11="","",8)</f>
        <v/>
      </c>
      <c r="D11" s="345">
        <f>IF($A11="","",WEEKDAY($A11,2))</f>
        <v/>
      </c>
      <c r="E11" s="345">
        <f>IF($A11="","",UPPER(TRIM('Oct 2026'!L8)))</f>
        <v/>
      </c>
      <c r="F11" s="345">
        <f>IF($A11="","",IF(OR('Oct 2026'!L10=TRUE,'Oct 2026'!L10="x",'Oct 2026'!L10="X"),1,0))</f>
        <v/>
      </c>
      <c r="G11" s="345">
        <f>IF($A11="","",IF(OR('Oct 2026'!L11=TRUE,'Oct 2026'!L11="x",'Oct 2026'!L11="X"),1,0))</f>
        <v/>
      </c>
      <c r="H11" s="345">
        <f>IF($A11="","",IF(OR('Oct 2026'!L12=TRUE,'Oct 2026'!L12="x",'Oct 2026'!L12="X"),1,0))</f>
        <v/>
      </c>
      <c r="I11" s="345">
        <f>IF($A11="","",IF(OR('Oct 2026'!L13=TRUE,'Oct 2026'!L13="x",'Oct 2026'!L13="X"),1,0))</f>
        <v/>
      </c>
      <c r="J11" s="345">
        <f>IF($A11="","",IF(OR('Oct 2026'!L14=TRUE,'Oct 2026'!L14="x",'Oct 2026'!L14="X"),1,0))</f>
        <v/>
      </c>
      <c r="K11" s="345">
        <f>IF($A11="","",IF(OR('Oct 2026'!L15=TRUE,'Oct 2026'!L15="x",'Oct 2026'!L15="X"),1,0))</f>
        <v/>
      </c>
      <c r="L11" s="345">
        <f>IF($A11="","",IF(OR('Oct 2026'!L16=TRUE,'Oct 2026'!L16="x",'Oct 2026'!L16="X"),1,0))</f>
        <v/>
      </c>
      <c r="M11" s="345">
        <f>IF($A11="","",IF(OR('Oct 2026'!L17=TRUE,'Oct 2026'!L17="x",'Oct 2026'!L17="X"),1,0))</f>
        <v/>
      </c>
      <c r="N11" s="345">
        <f>IF($A11="","",IF(OR('Oct 2026'!L18=TRUE,'Oct 2026'!L18="x",'Oct 2026'!L18="X"),1,0))</f>
        <v/>
      </c>
      <c r="O11" s="345">
        <f>IF($A11="","",IF(OR('Oct 2026'!L20=TRUE,'Oct 2026'!L20="x",'Oct 2026'!L20="X"),1,0))</f>
        <v/>
      </c>
      <c r="P11" s="345">
        <f>IF($A11="","",IF(OR('Oct 2026'!L21=TRUE,'Oct 2026'!L21="x",'Oct 2026'!L21="X"),1,0))</f>
        <v/>
      </c>
      <c r="Q11" s="345">
        <f>IF($A11="","",IF(OR('Oct 2026'!L22=TRUE,'Oct 2026'!L22="x",'Oct 2026'!L22="X"),1,0))</f>
        <v/>
      </c>
      <c r="R11" s="345">
        <f>IF($A11="","",IF(OR('Oct 2026'!L23=TRUE,'Oct 2026'!L23="x",'Oct 2026'!L23="X"),1,0))</f>
        <v/>
      </c>
      <c r="S11" s="345">
        <f>IF($A11="","",IF(OR('Oct 2026'!L24=TRUE,'Oct 2026'!L24="x",'Oct 2026'!L24="X"),1,0))</f>
        <v/>
      </c>
      <c r="T11" s="345">
        <f>IF($A11="","",IF(OR('Oct 2026'!L25=TRUE,'Oct 2026'!L25="x",'Oct 2026'!L25="X"),1,0))</f>
        <v/>
      </c>
      <c r="U11" s="345">
        <f>IF($A11="","",IF(OR('Oct 2026'!L26=TRUE,'Oct 2026'!L26="x",'Oct 2026'!L26="X"),1,0))</f>
        <v/>
      </c>
      <c r="V11" s="345">
        <f>IF($A11="","",IF(OR('Oct 2026'!L27=TRUE,'Oct 2026'!L27="x",'Oct 2026'!L27="X"),1,0))</f>
        <v/>
      </c>
      <c r="W11" s="345">
        <f>IF($A11="","",IF(OR('Oct 2026'!L28=TRUE,'Oct 2026'!L28="x",'Oct 2026'!L28="X"),1,0))</f>
        <v/>
      </c>
      <c r="X11" s="345">
        <f>IF($A11="","",IF(OR('Oct 2026'!L29=TRUE,'Oct 2026'!L29="x",'Oct 2026'!L29="X"),1,0))</f>
        <v/>
      </c>
      <c r="Y11" s="345">
        <f>IF($A11="","",IF(OR('Oct 2026'!L30=TRUE,'Oct 2026'!L30="x",'Oct 2026'!L30="X"),1,0))</f>
        <v/>
      </c>
      <c r="Z11" s="345">
        <f>IF($A11="","",IF(OR('Oct 2026'!L31=TRUE,'Oct 2026'!L31="x",'Oct 2026'!L31="X"),1,0))</f>
        <v/>
      </c>
      <c r="AA11" s="345">
        <f>IF($A11="","",IF(OR('Oct 2026'!L32=TRUE,'Oct 2026'!L32="x",'Oct 2026'!L32="X"),1,0))</f>
        <v/>
      </c>
      <c r="AB11" s="345">
        <f>IF($A11="","",IF(OR('Oct 2026'!L34=TRUE,'Oct 2026'!L34="x",'Oct 2026'!L34="X"),1,0))</f>
        <v/>
      </c>
      <c r="AC11" s="345">
        <f>IF($A11="","",IF(OR('Oct 2026'!L35=TRUE,'Oct 2026'!L35="x",'Oct 2026'!L35="X"),1,0))</f>
        <v/>
      </c>
      <c r="AD11" s="345">
        <f>IF($A11="","",IF(OR('Oct 2026'!L36=TRUE,'Oct 2026'!L36="x",'Oct 2026'!L36="X"),1,0))</f>
        <v/>
      </c>
      <c r="AE11" s="345">
        <f>IF($A11="","",IF(OR('Oct 2026'!L37=TRUE,'Oct 2026'!L37="x",'Oct 2026'!L37="X"),1,0))</f>
        <v/>
      </c>
      <c r="AF11" s="345">
        <f>IF($A11="","",IF('Oct 2026'!L59="","",'Oct 2026'!L59))</f>
        <v/>
      </c>
      <c r="AG11" s="345">
        <f>IF($A11="","",IF('Oct 2026'!L60="","",'Oct 2026'!L60))</f>
        <v/>
      </c>
      <c r="AH11" s="345">
        <f>IF($A11="","",IF('Oct 2026'!L61="","",'Oct 2026'!L61))</f>
        <v/>
      </c>
      <c r="AI11" s="345">
        <f>IF($A11="","",IF('Oct 2026'!L62="","",'Oct 2026'!L62))</f>
        <v/>
      </c>
      <c r="AJ11" s="345">
        <f>IF($A11="","",IF('Oct 2026'!L63="","",'Oct 2026'!L63))</f>
        <v/>
      </c>
      <c r="AK11" s="345">
        <f>IF($A11="","",IF('Oct 2026'!L64="","",'Oct 2026'!L64))</f>
        <v/>
      </c>
      <c r="AL11" s="345">
        <f>IF($A11="","",IF('Oct 2026'!L65="","",'Oct 2026'!L65))</f>
        <v/>
      </c>
      <c r="AM11" s="345">
        <f>IF($A11="","",IF('Oct 2026'!L66="","",'Oct 2026'!L66))</f>
        <v/>
      </c>
      <c r="AN11" s="345">
        <f>IF($A11="","",IF('Oct 2026'!L67="","",'Oct 2026'!L67))</f>
        <v/>
      </c>
      <c r="AO11" s="345">
        <f>IF($A11="",0,IF(AND($A11&gt;=TrackStart,$A11&lt;=TODAY()),1,0))</f>
        <v/>
      </c>
      <c r="AP11" s="345">
        <f>IF($A11="",0,IF(SUM(F11:AE11)+COUNT(AF11:AN11)&gt;0,1,0))</f>
        <v/>
      </c>
      <c r="AQ11" s="345">
        <f>IF($A11="","",INT(($A11-TrackStart)/7)+1)</f>
        <v/>
      </c>
      <c r="AR11" s="345">
        <f>IF($A11="","",IF(AQ11&lt;=1,Steps1,IF(AQ11=2,Steps2,Steps3)))</f>
        <v/>
      </c>
      <c r="AS11" s="345">
        <f>IF($A11="",0,IF(ISNUMBER(SEARCH(TEXT(D11,"0"),WorkDays&amp;"")),1,0))</f>
        <v/>
      </c>
      <c r="AT11" s="345">
        <f>IF($A11="",0,IF(ISNUMBER(SEARCH(TEXT(D11,"0"),StrDays&amp;"")),1,0))</f>
        <v/>
      </c>
      <c r="AU11" s="345">
        <f>IF($A11="",0,IF(ISNUMBER(AK11),IF(AK11&gt;=SleepMin,1,0),N11))</f>
        <v/>
      </c>
      <c r="AV11" s="345">
        <f>IF($A11="",0,MAX(I11,O11,S11,AC11))</f>
        <v/>
      </c>
      <c r="AW11" s="345">
        <f>IF($A11="",0,IF(ISNUMBER(AH11),IF(AH11&gt;=ProtHit,1,0),0))</f>
        <v/>
      </c>
      <c r="AX11" s="345">
        <f>IF($A11="",0,IF(ISNUMBER(AI11),IF(AI11&gt;=WaterHit,1,0),0))</f>
        <v/>
      </c>
      <c r="AY11" s="345">
        <f>IF($A11="",0,IF(ISNUMBER(AG11),IF(AG11&gt;=AR11,1,0),0))</f>
        <v/>
      </c>
      <c r="AZ11" s="345">
        <f>IF($A11="",0,G11)</f>
        <v/>
      </c>
      <c r="BA11" s="345">
        <f>IF($A11="",0,J11)</f>
        <v/>
      </c>
      <c r="BB11" s="345">
        <f>IF($A11="",0,K11)</f>
        <v/>
      </c>
      <c r="BC11" s="345">
        <f>IF($A11="",0,MAX(L11,AE11))</f>
        <v/>
      </c>
      <c r="BD11" s="344">
        <f>IF($A11="","",(AU11+AV11+AW11+AX11+AY11+AZ11+BB11+BC11+IF(AS11=1,BA11,0))/(8+AS11))</f>
        <v/>
      </c>
      <c r="BE11" s="344">
        <f>IF($A11="","",(IF(ISNUMBER(AI11),IF(AI11&gt;=WaterMVD,1,0),0)+AV11+IF(ISNUMBER(AH11),IF(AH11&gt;=ProtMVD,1,0),0)+MAX(H11,AD11)+AZ11+BB11+AU11)/7)</f>
        <v/>
      </c>
      <c r="BF11" s="344">
        <f>IF(AO11=0,"",IF(E11="S","",IF(AND(AP11=0,$A11=TODAY()),"",IF(E11="M",BE11,BD11))))</f>
        <v/>
      </c>
      <c r="BG11" s="344">
        <f>IF(AO11=0,"",IFERROR(AVERAGEIFS(Data!$BF$4:$BF$375,Data!$A$4:$A$375,"&gt;"&amp;($A11-7),Data!$A$4:$A$375,"&lt;="&amp;$A11),""))</f>
        <v/>
      </c>
      <c r="BH11" s="344">
        <f>IF(AO11=0,"",IFERROR(AVERAGEIFS(Data!$BF$4:$BF$375,Data!$A$4:$A$375,"&gt;"&amp;($A11-30),Data!$A$4:$A$375,"&lt;="&amp;$A11),""))</f>
        <v/>
      </c>
      <c r="BI11" s="359">
        <f>IF($A11="","",IFERROR(AVERAGEIFS(Data!$AF$4:$AF$375,Data!$A$4:$A$375,"&gt;"&amp;($A11-7),Data!$A$4:$A$375,"&lt;="&amp;$A11,Data!$AF$4:$AF$375,"&gt;0"),""))</f>
        <v/>
      </c>
      <c r="BJ11" s="345">
        <f>IF($A11="","",F11+G11+H11+I11+J11+K11+L11+M11+N11-IF(AS11=1,0,J11))</f>
        <v/>
      </c>
      <c r="BK11" s="345">
        <f>IF($A11="","",8+AS11)</f>
        <v/>
      </c>
      <c r="BL11" s="345">
        <f>IF(ISNUMBER(BF11),BF11,NA())</f>
        <v/>
      </c>
      <c r="BM11" s="345">
        <f>IF(ISNUMBER(AF11),AF11,NA())</f>
        <v/>
      </c>
      <c r="BN11" s="345">
        <f>IF(ISNUMBER(BI11),BI11,NA())</f>
        <v/>
      </c>
      <c r="BO11" s="345">
        <f>IF(ISNUMBER(AL11),AL11,NA())</f>
        <v/>
      </c>
      <c r="BP11" s="345">
        <f>IF(ISNUMBER(AM11),AM11,NA())</f>
        <v/>
      </c>
      <c r="BQ11" s="345">
        <f>IF(ISNUMBER(AN11),AN11,NA())</f>
        <v/>
      </c>
    </row>
    <row r="12">
      <c r="A12" s="358">
        <f>IF('Oct 2026'!M7="","",'Oct 2026'!M7)</f>
        <v/>
      </c>
      <c r="B12" s="345" t="n">
        <v>1</v>
      </c>
      <c r="C12" s="345">
        <f>IF($A12="","",9)</f>
        <v/>
      </c>
      <c r="D12" s="345">
        <f>IF($A12="","",WEEKDAY($A12,2))</f>
        <v/>
      </c>
      <c r="E12" s="345">
        <f>IF($A12="","",UPPER(TRIM('Oct 2026'!M8)))</f>
        <v/>
      </c>
      <c r="F12" s="345">
        <f>IF($A12="","",IF(OR('Oct 2026'!M10=TRUE,'Oct 2026'!M10="x",'Oct 2026'!M10="X"),1,0))</f>
        <v/>
      </c>
      <c r="G12" s="345">
        <f>IF($A12="","",IF(OR('Oct 2026'!M11=TRUE,'Oct 2026'!M11="x",'Oct 2026'!M11="X"),1,0))</f>
        <v/>
      </c>
      <c r="H12" s="345">
        <f>IF($A12="","",IF(OR('Oct 2026'!M12=TRUE,'Oct 2026'!M12="x",'Oct 2026'!M12="X"),1,0))</f>
        <v/>
      </c>
      <c r="I12" s="345">
        <f>IF($A12="","",IF(OR('Oct 2026'!M13=TRUE,'Oct 2026'!M13="x",'Oct 2026'!M13="X"),1,0))</f>
        <v/>
      </c>
      <c r="J12" s="345">
        <f>IF($A12="","",IF(OR('Oct 2026'!M14=TRUE,'Oct 2026'!M14="x",'Oct 2026'!M14="X"),1,0))</f>
        <v/>
      </c>
      <c r="K12" s="345">
        <f>IF($A12="","",IF(OR('Oct 2026'!M15=TRUE,'Oct 2026'!M15="x",'Oct 2026'!M15="X"),1,0))</f>
        <v/>
      </c>
      <c r="L12" s="345">
        <f>IF($A12="","",IF(OR('Oct 2026'!M16=TRUE,'Oct 2026'!M16="x",'Oct 2026'!M16="X"),1,0))</f>
        <v/>
      </c>
      <c r="M12" s="345">
        <f>IF($A12="","",IF(OR('Oct 2026'!M17=TRUE,'Oct 2026'!M17="x",'Oct 2026'!M17="X"),1,0))</f>
        <v/>
      </c>
      <c r="N12" s="345">
        <f>IF($A12="","",IF(OR('Oct 2026'!M18=TRUE,'Oct 2026'!M18="x",'Oct 2026'!M18="X"),1,0))</f>
        <v/>
      </c>
      <c r="O12" s="345">
        <f>IF($A12="","",IF(OR('Oct 2026'!M20=TRUE,'Oct 2026'!M20="x",'Oct 2026'!M20="X"),1,0))</f>
        <v/>
      </c>
      <c r="P12" s="345">
        <f>IF($A12="","",IF(OR('Oct 2026'!M21=TRUE,'Oct 2026'!M21="x",'Oct 2026'!M21="X"),1,0))</f>
        <v/>
      </c>
      <c r="Q12" s="345">
        <f>IF($A12="","",IF(OR('Oct 2026'!M22=TRUE,'Oct 2026'!M22="x",'Oct 2026'!M22="X"),1,0))</f>
        <v/>
      </c>
      <c r="R12" s="345">
        <f>IF($A12="","",IF(OR('Oct 2026'!M23=TRUE,'Oct 2026'!M23="x",'Oct 2026'!M23="X"),1,0))</f>
        <v/>
      </c>
      <c r="S12" s="345">
        <f>IF($A12="","",IF(OR('Oct 2026'!M24=TRUE,'Oct 2026'!M24="x",'Oct 2026'!M24="X"),1,0))</f>
        <v/>
      </c>
      <c r="T12" s="345">
        <f>IF($A12="","",IF(OR('Oct 2026'!M25=TRUE,'Oct 2026'!M25="x",'Oct 2026'!M25="X"),1,0))</f>
        <v/>
      </c>
      <c r="U12" s="345">
        <f>IF($A12="","",IF(OR('Oct 2026'!M26=TRUE,'Oct 2026'!M26="x",'Oct 2026'!M26="X"),1,0))</f>
        <v/>
      </c>
      <c r="V12" s="345">
        <f>IF($A12="","",IF(OR('Oct 2026'!M27=TRUE,'Oct 2026'!M27="x",'Oct 2026'!M27="X"),1,0))</f>
        <v/>
      </c>
      <c r="W12" s="345">
        <f>IF($A12="","",IF(OR('Oct 2026'!M28=TRUE,'Oct 2026'!M28="x",'Oct 2026'!M28="X"),1,0))</f>
        <v/>
      </c>
      <c r="X12" s="345">
        <f>IF($A12="","",IF(OR('Oct 2026'!M29=TRUE,'Oct 2026'!M29="x",'Oct 2026'!M29="X"),1,0))</f>
        <v/>
      </c>
      <c r="Y12" s="345">
        <f>IF($A12="","",IF(OR('Oct 2026'!M30=TRUE,'Oct 2026'!M30="x",'Oct 2026'!M30="X"),1,0))</f>
        <v/>
      </c>
      <c r="Z12" s="345">
        <f>IF($A12="","",IF(OR('Oct 2026'!M31=TRUE,'Oct 2026'!M31="x",'Oct 2026'!M31="X"),1,0))</f>
        <v/>
      </c>
      <c r="AA12" s="345">
        <f>IF($A12="","",IF(OR('Oct 2026'!M32=TRUE,'Oct 2026'!M32="x",'Oct 2026'!M32="X"),1,0))</f>
        <v/>
      </c>
      <c r="AB12" s="345">
        <f>IF($A12="","",IF(OR('Oct 2026'!M34=TRUE,'Oct 2026'!M34="x",'Oct 2026'!M34="X"),1,0))</f>
        <v/>
      </c>
      <c r="AC12" s="345">
        <f>IF($A12="","",IF(OR('Oct 2026'!M35=TRUE,'Oct 2026'!M35="x",'Oct 2026'!M35="X"),1,0))</f>
        <v/>
      </c>
      <c r="AD12" s="345">
        <f>IF($A12="","",IF(OR('Oct 2026'!M36=TRUE,'Oct 2026'!M36="x",'Oct 2026'!M36="X"),1,0))</f>
        <v/>
      </c>
      <c r="AE12" s="345">
        <f>IF($A12="","",IF(OR('Oct 2026'!M37=TRUE,'Oct 2026'!M37="x",'Oct 2026'!M37="X"),1,0))</f>
        <v/>
      </c>
      <c r="AF12" s="345">
        <f>IF($A12="","",IF('Oct 2026'!M59="","",'Oct 2026'!M59))</f>
        <v/>
      </c>
      <c r="AG12" s="345">
        <f>IF($A12="","",IF('Oct 2026'!M60="","",'Oct 2026'!M60))</f>
        <v/>
      </c>
      <c r="AH12" s="345">
        <f>IF($A12="","",IF('Oct 2026'!M61="","",'Oct 2026'!M61))</f>
        <v/>
      </c>
      <c r="AI12" s="345">
        <f>IF($A12="","",IF('Oct 2026'!M62="","",'Oct 2026'!M62))</f>
        <v/>
      </c>
      <c r="AJ12" s="345">
        <f>IF($A12="","",IF('Oct 2026'!M63="","",'Oct 2026'!M63))</f>
        <v/>
      </c>
      <c r="AK12" s="345">
        <f>IF($A12="","",IF('Oct 2026'!M64="","",'Oct 2026'!M64))</f>
        <v/>
      </c>
      <c r="AL12" s="345">
        <f>IF($A12="","",IF('Oct 2026'!M65="","",'Oct 2026'!M65))</f>
        <v/>
      </c>
      <c r="AM12" s="345">
        <f>IF($A12="","",IF('Oct 2026'!M66="","",'Oct 2026'!M66))</f>
        <v/>
      </c>
      <c r="AN12" s="345">
        <f>IF($A12="","",IF('Oct 2026'!M67="","",'Oct 2026'!M67))</f>
        <v/>
      </c>
      <c r="AO12" s="345">
        <f>IF($A12="",0,IF(AND($A12&gt;=TrackStart,$A12&lt;=TODAY()),1,0))</f>
        <v/>
      </c>
      <c r="AP12" s="345">
        <f>IF($A12="",0,IF(SUM(F12:AE12)+COUNT(AF12:AN12)&gt;0,1,0))</f>
        <v/>
      </c>
      <c r="AQ12" s="345">
        <f>IF($A12="","",INT(($A12-TrackStart)/7)+1)</f>
        <v/>
      </c>
      <c r="AR12" s="345">
        <f>IF($A12="","",IF(AQ12&lt;=1,Steps1,IF(AQ12=2,Steps2,Steps3)))</f>
        <v/>
      </c>
      <c r="AS12" s="345">
        <f>IF($A12="",0,IF(ISNUMBER(SEARCH(TEXT(D12,"0"),WorkDays&amp;"")),1,0))</f>
        <v/>
      </c>
      <c r="AT12" s="345">
        <f>IF($A12="",0,IF(ISNUMBER(SEARCH(TEXT(D12,"0"),StrDays&amp;"")),1,0))</f>
        <v/>
      </c>
      <c r="AU12" s="345">
        <f>IF($A12="",0,IF(ISNUMBER(AK12),IF(AK12&gt;=SleepMin,1,0),N12))</f>
        <v/>
      </c>
      <c r="AV12" s="345">
        <f>IF($A12="",0,MAX(I12,O12,S12,AC12))</f>
        <v/>
      </c>
      <c r="AW12" s="345">
        <f>IF($A12="",0,IF(ISNUMBER(AH12),IF(AH12&gt;=ProtHit,1,0),0))</f>
        <v/>
      </c>
      <c r="AX12" s="345">
        <f>IF($A12="",0,IF(ISNUMBER(AI12),IF(AI12&gt;=WaterHit,1,0),0))</f>
        <v/>
      </c>
      <c r="AY12" s="345">
        <f>IF($A12="",0,IF(ISNUMBER(AG12),IF(AG12&gt;=AR12,1,0),0))</f>
        <v/>
      </c>
      <c r="AZ12" s="345">
        <f>IF($A12="",0,G12)</f>
        <v/>
      </c>
      <c r="BA12" s="345">
        <f>IF($A12="",0,J12)</f>
        <v/>
      </c>
      <c r="BB12" s="345">
        <f>IF($A12="",0,K12)</f>
        <v/>
      </c>
      <c r="BC12" s="345">
        <f>IF($A12="",0,MAX(L12,AE12))</f>
        <v/>
      </c>
      <c r="BD12" s="344">
        <f>IF($A12="","",(AU12+AV12+AW12+AX12+AY12+AZ12+BB12+BC12+IF(AS12=1,BA12,0))/(8+AS12))</f>
        <v/>
      </c>
      <c r="BE12" s="344">
        <f>IF($A12="","",(IF(ISNUMBER(AI12),IF(AI12&gt;=WaterMVD,1,0),0)+AV12+IF(ISNUMBER(AH12),IF(AH12&gt;=ProtMVD,1,0),0)+MAX(H12,AD12)+AZ12+BB12+AU12)/7)</f>
        <v/>
      </c>
      <c r="BF12" s="344">
        <f>IF(AO12=0,"",IF(E12="S","",IF(AND(AP12=0,$A12=TODAY()),"",IF(E12="M",BE12,BD12))))</f>
        <v/>
      </c>
      <c r="BG12" s="344">
        <f>IF(AO12=0,"",IFERROR(AVERAGEIFS(Data!$BF$4:$BF$375,Data!$A$4:$A$375,"&gt;"&amp;($A12-7),Data!$A$4:$A$375,"&lt;="&amp;$A12),""))</f>
        <v/>
      </c>
      <c r="BH12" s="344">
        <f>IF(AO12=0,"",IFERROR(AVERAGEIFS(Data!$BF$4:$BF$375,Data!$A$4:$A$375,"&gt;"&amp;($A12-30),Data!$A$4:$A$375,"&lt;="&amp;$A12),""))</f>
        <v/>
      </c>
      <c r="BI12" s="359">
        <f>IF($A12="","",IFERROR(AVERAGEIFS(Data!$AF$4:$AF$375,Data!$A$4:$A$375,"&gt;"&amp;($A12-7),Data!$A$4:$A$375,"&lt;="&amp;$A12,Data!$AF$4:$AF$375,"&gt;0"),""))</f>
        <v/>
      </c>
      <c r="BJ12" s="345">
        <f>IF($A12="","",F12+G12+H12+I12+J12+K12+L12+M12+N12-IF(AS12=1,0,J12))</f>
        <v/>
      </c>
      <c r="BK12" s="345">
        <f>IF($A12="","",8+AS12)</f>
        <v/>
      </c>
      <c r="BL12" s="345">
        <f>IF(ISNUMBER(BF12),BF12,NA())</f>
        <v/>
      </c>
      <c r="BM12" s="345">
        <f>IF(ISNUMBER(AF12),AF12,NA())</f>
        <v/>
      </c>
      <c r="BN12" s="345">
        <f>IF(ISNUMBER(BI12),BI12,NA())</f>
        <v/>
      </c>
      <c r="BO12" s="345">
        <f>IF(ISNUMBER(AL12),AL12,NA())</f>
        <v/>
      </c>
      <c r="BP12" s="345">
        <f>IF(ISNUMBER(AM12),AM12,NA())</f>
        <v/>
      </c>
      <c r="BQ12" s="345">
        <f>IF(ISNUMBER(AN12),AN12,NA())</f>
        <v/>
      </c>
    </row>
    <row r="13">
      <c r="A13" s="358">
        <f>IF('Oct 2026'!N7="","",'Oct 2026'!N7)</f>
        <v/>
      </c>
      <c r="B13" s="345" t="n">
        <v>1</v>
      </c>
      <c r="C13" s="345">
        <f>IF($A13="","",10)</f>
        <v/>
      </c>
      <c r="D13" s="345">
        <f>IF($A13="","",WEEKDAY($A13,2))</f>
        <v/>
      </c>
      <c r="E13" s="345">
        <f>IF($A13="","",UPPER(TRIM('Oct 2026'!N8)))</f>
        <v/>
      </c>
      <c r="F13" s="345">
        <f>IF($A13="","",IF(OR('Oct 2026'!N10=TRUE,'Oct 2026'!N10="x",'Oct 2026'!N10="X"),1,0))</f>
        <v/>
      </c>
      <c r="G13" s="345">
        <f>IF($A13="","",IF(OR('Oct 2026'!N11=TRUE,'Oct 2026'!N11="x",'Oct 2026'!N11="X"),1,0))</f>
        <v/>
      </c>
      <c r="H13" s="345">
        <f>IF($A13="","",IF(OR('Oct 2026'!N12=TRUE,'Oct 2026'!N12="x",'Oct 2026'!N12="X"),1,0))</f>
        <v/>
      </c>
      <c r="I13" s="345">
        <f>IF($A13="","",IF(OR('Oct 2026'!N13=TRUE,'Oct 2026'!N13="x",'Oct 2026'!N13="X"),1,0))</f>
        <v/>
      </c>
      <c r="J13" s="345">
        <f>IF($A13="","",IF(OR('Oct 2026'!N14=TRUE,'Oct 2026'!N14="x",'Oct 2026'!N14="X"),1,0))</f>
        <v/>
      </c>
      <c r="K13" s="345">
        <f>IF($A13="","",IF(OR('Oct 2026'!N15=TRUE,'Oct 2026'!N15="x",'Oct 2026'!N15="X"),1,0))</f>
        <v/>
      </c>
      <c r="L13" s="345">
        <f>IF($A13="","",IF(OR('Oct 2026'!N16=TRUE,'Oct 2026'!N16="x",'Oct 2026'!N16="X"),1,0))</f>
        <v/>
      </c>
      <c r="M13" s="345">
        <f>IF($A13="","",IF(OR('Oct 2026'!N17=TRUE,'Oct 2026'!N17="x",'Oct 2026'!N17="X"),1,0))</f>
        <v/>
      </c>
      <c r="N13" s="345">
        <f>IF($A13="","",IF(OR('Oct 2026'!N18=TRUE,'Oct 2026'!N18="x",'Oct 2026'!N18="X"),1,0))</f>
        <v/>
      </c>
      <c r="O13" s="345">
        <f>IF($A13="","",IF(OR('Oct 2026'!N20=TRUE,'Oct 2026'!N20="x",'Oct 2026'!N20="X"),1,0))</f>
        <v/>
      </c>
      <c r="P13" s="345">
        <f>IF($A13="","",IF(OR('Oct 2026'!N21=TRUE,'Oct 2026'!N21="x",'Oct 2026'!N21="X"),1,0))</f>
        <v/>
      </c>
      <c r="Q13" s="345">
        <f>IF($A13="","",IF(OR('Oct 2026'!N22=TRUE,'Oct 2026'!N22="x",'Oct 2026'!N22="X"),1,0))</f>
        <v/>
      </c>
      <c r="R13" s="345">
        <f>IF($A13="","",IF(OR('Oct 2026'!N23=TRUE,'Oct 2026'!N23="x",'Oct 2026'!N23="X"),1,0))</f>
        <v/>
      </c>
      <c r="S13" s="345">
        <f>IF($A13="","",IF(OR('Oct 2026'!N24=TRUE,'Oct 2026'!N24="x",'Oct 2026'!N24="X"),1,0))</f>
        <v/>
      </c>
      <c r="T13" s="345">
        <f>IF($A13="","",IF(OR('Oct 2026'!N25=TRUE,'Oct 2026'!N25="x",'Oct 2026'!N25="X"),1,0))</f>
        <v/>
      </c>
      <c r="U13" s="345">
        <f>IF($A13="","",IF(OR('Oct 2026'!N26=TRUE,'Oct 2026'!N26="x",'Oct 2026'!N26="X"),1,0))</f>
        <v/>
      </c>
      <c r="V13" s="345">
        <f>IF($A13="","",IF(OR('Oct 2026'!N27=TRUE,'Oct 2026'!N27="x",'Oct 2026'!N27="X"),1,0))</f>
        <v/>
      </c>
      <c r="W13" s="345">
        <f>IF($A13="","",IF(OR('Oct 2026'!N28=TRUE,'Oct 2026'!N28="x",'Oct 2026'!N28="X"),1,0))</f>
        <v/>
      </c>
      <c r="X13" s="345">
        <f>IF($A13="","",IF(OR('Oct 2026'!N29=TRUE,'Oct 2026'!N29="x",'Oct 2026'!N29="X"),1,0))</f>
        <v/>
      </c>
      <c r="Y13" s="345">
        <f>IF($A13="","",IF(OR('Oct 2026'!N30=TRUE,'Oct 2026'!N30="x",'Oct 2026'!N30="X"),1,0))</f>
        <v/>
      </c>
      <c r="Z13" s="345">
        <f>IF($A13="","",IF(OR('Oct 2026'!N31=TRUE,'Oct 2026'!N31="x",'Oct 2026'!N31="X"),1,0))</f>
        <v/>
      </c>
      <c r="AA13" s="345">
        <f>IF($A13="","",IF(OR('Oct 2026'!N32=TRUE,'Oct 2026'!N32="x",'Oct 2026'!N32="X"),1,0))</f>
        <v/>
      </c>
      <c r="AB13" s="345">
        <f>IF($A13="","",IF(OR('Oct 2026'!N34=TRUE,'Oct 2026'!N34="x",'Oct 2026'!N34="X"),1,0))</f>
        <v/>
      </c>
      <c r="AC13" s="345">
        <f>IF($A13="","",IF(OR('Oct 2026'!N35=TRUE,'Oct 2026'!N35="x",'Oct 2026'!N35="X"),1,0))</f>
        <v/>
      </c>
      <c r="AD13" s="345">
        <f>IF($A13="","",IF(OR('Oct 2026'!N36=TRUE,'Oct 2026'!N36="x",'Oct 2026'!N36="X"),1,0))</f>
        <v/>
      </c>
      <c r="AE13" s="345">
        <f>IF($A13="","",IF(OR('Oct 2026'!N37=TRUE,'Oct 2026'!N37="x",'Oct 2026'!N37="X"),1,0))</f>
        <v/>
      </c>
      <c r="AF13" s="345">
        <f>IF($A13="","",IF('Oct 2026'!N59="","",'Oct 2026'!N59))</f>
        <v/>
      </c>
      <c r="AG13" s="345">
        <f>IF($A13="","",IF('Oct 2026'!N60="","",'Oct 2026'!N60))</f>
        <v/>
      </c>
      <c r="AH13" s="345">
        <f>IF($A13="","",IF('Oct 2026'!N61="","",'Oct 2026'!N61))</f>
        <v/>
      </c>
      <c r="AI13" s="345">
        <f>IF($A13="","",IF('Oct 2026'!N62="","",'Oct 2026'!N62))</f>
        <v/>
      </c>
      <c r="AJ13" s="345">
        <f>IF($A13="","",IF('Oct 2026'!N63="","",'Oct 2026'!N63))</f>
        <v/>
      </c>
      <c r="AK13" s="345">
        <f>IF($A13="","",IF('Oct 2026'!N64="","",'Oct 2026'!N64))</f>
        <v/>
      </c>
      <c r="AL13" s="345">
        <f>IF($A13="","",IF('Oct 2026'!N65="","",'Oct 2026'!N65))</f>
        <v/>
      </c>
      <c r="AM13" s="345">
        <f>IF($A13="","",IF('Oct 2026'!N66="","",'Oct 2026'!N66))</f>
        <v/>
      </c>
      <c r="AN13" s="345">
        <f>IF($A13="","",IF('Oct 2026'!N67="","",'Oct 2026'!N67))</f>
        <v/>
      </c>
      <c r="AO13" s="345">
        <f>IF($A13="",0,IF(AND($A13&gt;=TrackStart,$A13&lt;=TODAY()),1,0))</f>
        <v/>
      </c>
      <c r="AP13" s="345">
        <f>IF($A13="",0,IF(SUM(F13:AE13)+COUNT(AF13:AN13)&gt;0,1,0))</f>
        <v/>
      </c>
      <c r="AQ13" s="345">
        <f>IF($A13="","",INT(($A13-TrackStart)/7)+1)</f>
        <v/>
      </c>
      <c r="AR13" s="345">
        <f>IF($A13="","",IF(AQ13&lt;=1,Steps1,IF(AQ13=2,Steps2,Steps3)))</f>
        <v/>
      </c>
      <c r="AS13" s="345">
        <f>IF($A13="",0,IF(ISNUMBER(SEARCH(TEXT(D13,"0"),WorkDays&amp;"")),1,0))</f>
        <v/>
      </c>
      <c r="AT13" s="345">
        <f>IF($A13="",0,IF(ISNUMBER(SEARCH(TEXT(D13,"0"),StrDays&amp;"")),1,0))</f>
        <v/>
      </c>
      <c r="AU13" s="345">
        <f>IF($A13="",0,IF(ISNUMBER(AK13),IF(AK13&gt;=SleepMin,1,0),N13))</f>
        <v/>
      </c>
      <c r="AV13" s="345">
        <f>IF($A13="",0,MAX(I13,O13,S13,AC13))</f>
        <v/>
      </c>
      <c r="AW13" s="345">
        <f>IF($A13="",0,IF(ISNUMBER(AH13),IF(AH13&gt;=ProtHit,1,0),0))</f>
        <v/>
      </c>
      <c r="AX13" s="345">
        <f>IF($A13="",0,IF(ISNUMBER(AI13),IF(AI13&gt;=WaterHit,1,0),0))</f>
        <v/>
      </c>
      <c r="AY13" s="345">
        <f>IF($A13="",0,IF(ISNUMBER(AG13),IF(AG13&gt;=AR13,1,0),0))</f>
        <v/>
      </c>
      <c r="AZ13" s="345">
        <f>IF($A13="",0,G13)</f>
        <v/>
      </c>
      <c r="BA13" s="345">
        <f>IF($A13="",0,J13)</f>
        <v/>
      </c>
      <c r="BB13" s="345">
        <f>IF($A13="",0,K13)</f>
        <v/>
      </c>
      <c r="BC13" s="345">
        <f>IF($A13="",0,MAX(L13,AE13))</f>
        <v/>
      </c>
      <c r="BD13" s="344">
        <f>IF($A13="","",(AU13+AV13+AW13+AX13+AY13+AZ13+BB13+BC13+IF(AS13=1,BA13,0))/(8+AS13))</f>
        <v/>
      </c>
      <c r="BE13" s="344">
        <f>IF($A13="","",(IF(ISNUMBER(AI13),IF(AI13&gt;=WaterMVD,1,0),0)+AV13+IF(ISNUMBER(AH13),IF(AH13&gt;=ProtMVD,1,0),0)+MAX(H13,AD13)+AZ13+BB13+AU13)/7)</f>
        <v/>
      </c>
      <c r="BF13" s="344">
        <f>IF(AO13=0,"",IF(E13="S","",IF(AND(AP13=0,$A13=TODAY()),"",IF(E13="M",BE13,BD13))))</f>
        <v/>
      </c>
      <c r="BG13" s="344">
        <f>IF(AO13=0,"",IFERROR(AVERAGEIFS(Data!$BF$4:$BF$375,Data!$A$4:$A$375,"&gt;"&amp;($A13-7),Data!$A$4:$A$375,"&lt;="&amp;$A13),""))</f>
        <v/>
      </c>
      <c r="BH13" s="344">
        <f>IF(AO13=0,"",IFERROR(AVERAGEIFS(Data!$BF$4:$BF$375,Data!$A$4:$A$375,"&gt;"&amp;($A13-30),Data!$A$4:$A$375,"&lt;="&amp;$A13),""))</f>
        <v/>
      </c>
      <c r="BI13" s="359">
        <f>IF($A13="","",IFERROR(AVERAGEIFS(Data!$AF$4:$AF$375,Data!$A$4:$A$375,"&gt;"&amp;($A13-7),Data!$A$4:$A$375,"&lt;="&amp;$A13,Data!$AF$4:$AF$375,"&gt;0"),""))</f>
        <v/>
      </c>
      <c r="BJ13" s="345">
        <f>IF($A13="","",F13+G13+H13+I13+J13+K13+L13+M13+N13-IF(AS13=1,0,J13))</f>
        <v/>
      </c>
      <c r="BK13" s="345">
        <f>IF($A13="","",8+AS13)</f>
        <v/>
      </c>
      <c r="BL13" s="345">
        <f>IF(ISNUMBER(BF13),BF13,NA())</f>
        <v/>
      </c>
      <c r="BM13" s="345">
        <f>IF(ISNUMBER(AF13),AF13,NA())</f>
        <v/>
      </c>
      <c r="BN13" s="345">
        <f>IF(ISNUMBER(BI13),BI13,NA())</f>
        <v/>
      </c>
      <c r="BO13" s="345">
        <f>IF(ISNUMBER(AL13),AL13,NA())</f>
        <v/>
      </c>
      <c r="BP13" s="345">
        <f>IF(ISNUMBER(AM13),AM13,NA())</f>
        <v/>
      </c>
      <c r="BQ13" s="345">
        <f>IF(ISNUMBER(AN13),AN13,NA())</f>
        <v/>
      </c>
    </row>
    <row r="14">
      <c r="A14" s="358">
        <f>IF('Oct 2026'!O7="","",'Oct 2026'!O7)</f>
        <v/>
      </c>
      <c r="B14" s="345" t="n">
        <v>1</v>
      </c>
      <c r="C14" s="345">
        <f>IF($A14="","",11)</f>
        <v/>
      </c>
      <c r="D14" s="345">
        <f>IF($A14="","",WEEKDAY($A14,2))</f>
        <v/>
      </c>
      <c r="E14" s="345">
        <f>IF($A14="","",UPPER(TRIM('Oct 2026'!O8)))</f>
        <v/>
      </c>
      <c r="F14" s="345">
        <f>IF($A14="","",IF(OR('Oct 2026'!O10=TRUE,'Oct 2026'!O10="x",'Oct 2026'!O10="X"),1,0))</f>
        <v/>
      </c>
      <c r="G14" s="345">
        <f>IF($A14="","",IF(OR('Oct 2026'!O11=TRUE,'Oct 2026'!O11="x",'Oct 2026'!O11="X"),1,0))</f>
        <v/>
      </c>
      <c r="H14" s="345">
        <f>IF($A14="","",IF(OR('Oct 2026'!O12=TRUE,'Oct 2026'!O12="x",'Oct 2026'!O12="X"),1,0))</f>
        <v/>
      </c>
      <c r="I14" s="345">
        <f>IF($A14="","",IF(OR('Oct 2026'!O13=TRUE,'Oct 2026'!O13="x",'Oct 2026'!O13="X"),1,0))</f>
        <v/>
      </c>
      <c r="J14" s="345">
        <f>IF($A14="","",IF(OR('Oct 2026'!O14=TRUE,'Oct 2026'!O14="x",'Oct 2026'!O14="X"),1,0))</f>
        <v/>
      </c>
      <c r="K14" s="345">
        <f>IF($A14="","",IF(OR('Oct 2026'!O15=TRUE,'Oct 2026'!O15="x",'Oct 2026'!O15="X"),1,0))</f>
        <v/>
      </c>
      <c r="L14" s="345">
        <f>IF($A14="","",IF(OR('Oct 2026'!O16=TRUE,'Oct 2026'!O16="x",'Oct 2026'!O16="X"),1,0))</f>
        <v/>
      </c>
      <c r="M14" s="345">
        <f>IF($A14="","",IF(OR('Oct 2026'!O17=TRUE,'Oct 2026'!O17="x",'Oct 2026'!O17="X"),1,0))</f>
        <v/>
      </c>
      <c r="N14" s="345">
        <f>IF($A14="","",IF(OR('Oct 2026'!O18=TRUE,'Oct 2026'!O18="x",'Oct 2026'!O18="X"),1,0))</f>
        <v/>
      </c>
      <c r="O14" s="345">
        <f>IF($A14="","",IF(OR('Oct 2026'!O20=TRUE,'Oct 2026'!O20="x",'Oct 2026'!O20="X"),1,0))</f>
        <v/>
      </c>
      <c r="P14" s="345">
        <f>IF($A14="","",IF(OR('Oct 2026'!O21=TRUE,'Oct 2026'!O21="x",'Oct 2026'!O21="X"),1,0))</f>
        <v/>
      </c>
      <c r="Q14" s="345">
        <f>IF($A14="","",IF(OR('Oct 2026'!O22=TRUE,'Oct 2026'!O22="x",'Oct 2026'!O22="X"),1,0))</f>
        <v/>
      </c>
      <c r="R14" s="345">
        <f>IF($A14="","",IF(OR('Oct 2026'!O23=TRUE,'Oct 2026'!O23="x",'Oct 2026'!O23="X"),1,0))</f>
        <v/>
      </c>
      <c r="S14" s="345">
        <f>IF($A14="","",IF(OR('Oct 2026'!O24=TRUE,'Oct 2026'!O24="x",'Oct 2026'!O24="X"),1,0))</f>
        <v/>
      </c>
      <c r="T14" s="345">
        <f>IF($A14="","",IF(OR('Oct 2026'!O25=TRUE,'Oct 2026'!O25="x",'Oct 2026'!O25="X"),1,0))</f>
        <v/>
      </c>
      <c r="U14" s="345">
        <f>IF($A14="","",IF(OR('Oct 2026'!O26=TRUE,'Oct 2026'!O26="x",'Oct 2026'!O26="X"),1,0))</f>
        <v/>
      </c>
      <c r="V14" s="345">
        <f>IF($A14="","",IF(OR('Oct 2026'!O27=TRUE,'Oct 2026'!O27="x",'Oct 2026'!O27="X"),1,0))</f>
        <v/>
      </c>
      <c r="W14" s="345">
        <f>IF($A14="","",IF(OR('Oct 2026'!O28=TRUE,'Oct 2026'!O28="x",'Oct 2026'!O28="X"),1,0))</f>
        <v/>
      </c>
      <c r="X14" s="345">
        <f>IF($A14="","",IF(OR('Oct 2026'!O29=TRUE,'Oct 2026'!O29="x",'Oct 2026'!O29="X"),1,0))</f>
        <v/>
      </c>
      <c r="Y14" s="345">
        <f>IF($A14="","",IF(OR('Oct 2026'!O30=TRUE,'Oct 2026'!O30="x",'Oct 2026'!O30="X"),1,0))</f>
        <v/>
      </c>
      <c r="Z14" s="345">
        <f>IF($A14="","",IF(OR('Oct 2026'!O31=TRUE,'Oct 2026'!O31="x",'Oct 2026'!O31="X"),1,0))</f>
        <v/>
      </c>
      <c r="AA14" s="345">
        <f>IF($A14="","",IF(OR('Oct 2026'!O32=TRUE,'Oct 2026'!O32="x",'Oct 2026'!O32="X"),1,0))</f>
        <v/>
      </c>
      <c r="AB14" s="345">
        <f>IF($A14="","",IF(OR('Oct 2026'!O34=TRUE,'Oct 2026'!O34="x",'Oct 2026'!O34="X"),1,0))</f>
        <v/>
      </c>
      <c r="AC14" s="345">
        <f>IF($A14="","",IF(OR('Oct 2026'!O35=TRUE,'Oct 2026'!O35="x",'Oct 2026'!O35="X"),1,0))</f>
        <v/>
      </c>
      <c r="AD14" s="345">
        <f>IF($A14="","",IF(OR('Oct 2026'!O36=TRUE,'Oct 2026'!O36="x",'Oct 2026'!O36="X"),1,0))</f>
        <v/>
      </c>
      <c r="AE14" s="345">
        <f>IF($A14="","",IF(OR('Oct 2026'!O37=TRUE,'Oct 2026'!O37="x",'Oct 2026'!O37="X"),1,0))</f>
        <v/>
      </c>
      <c r="AF14" s="345">
        <f>IF($A14="","",IF('Oct 2026'!O59="","",'Oct 2026'!O59))</f>
        <v/>
      </c>
      <c r="AG14" s="345">
        <f>IF($A14="","",IF('Oct 2026'!O60="","",'Oct 2026'!O60))</f>
        <v/>
      </c>
      <c r="AH14" s="345">
        <f>IF($A14="","",IF('Oct 2026'!O61="","",'Oct 2026'!O61))</f>
        <v/>
      </c>
      <c r="AI14" s="345">
        <f>IF($A14="","",IF('Oct 2026'!O62="","",'Oct 2026'!O62))</f>
        <v/>
      </c>
      <c r="AJ14" s="345">
        <f>IF($A14="","",IF('Oct 2026'!O63="","",'Oct 2026'!O63))</f>
        <v/>
      </c>
      <c r="AK14" s="345">
        <f>IF($A14="","",IF('Oct 2026'!O64="","",'Oct 2026'!O64))</f>
        <v/>
      </c>
      <c r="AL14" s="345">
        <f>IF($A14="","",IF('Oct 2026'!O65="","",'Oct 2026'!O65))</f>
        <v/>
      </c>
      <c r="AM14" s="345">
        <f>IF($A14="","",IF('Oct 2026'!O66="","",'Oct 2026'!O66))</f>
        <v/>
      </c>
      <c r="AN14" s="345">
        <f>IF($A14="","",IF('Oct 2026'!O67="","",'Oct 2026'!O67))</f>
        <v/>
      </c>
      <c r="AO14" s="345">
        <f>IF($A14="",0,IF(AND($A14&gt;=TrackStart,$A14&lt;=TODAY()),1,0))</f>
        <v/>
      </c>
      <c r="AP14" s="345">
        <f>IF($A14="",0,IF(SUM(F14:AE14)+COUNT(AF14:AN14)&gt;0,1,0))</f>
        <v/>
      </c>
      <c r="AQ14" s="345">
        <f>IF($A14="","",INT(($A14-TrackStart)/7)+1)</f>
        <v/>
      </c>
      <c r="AR14" s="345">
        <f>IF($A14="","",IF(AQ14&lt;=1,Steps1,IF(AQ14=2,Steps2,Steps3)))</f>
        <v/>
      </c>
      <c r="AS14" s="345">
        <f>IF($A14="",0,IF(ISNUMBER(SEARCH(TEXT(D14,"0"),WorkDays&amp;"")),1,0))</f>
        <v/>
      </c>
      <c r="AT14" s="345">
        <f>IF($A14="",0,IF(ISNUMBER(SEARCH(TEXT(D14,"0"),StrDays&amp;"")),1,0))</f>
        <v/>
      </c>
      <c r="AU14" s="345">
        <f>IF($A14="",0,IF(ISNUMBER(AK14),IF(AK14&gt;=SleepMin,1,0),N14))</f>
        <v/>
      </c>
      <c r="AV14" s="345">
        <f>IF($A14="",0,MAX(I14,O14,S14,AC14))</f>
        <v/>
      </c>
      <c r="AW14" s="345">
        <f>IF($A14="",0,IF(ISNUMBER(AH14),IF(AH14&gt;=ProtHit,1,0),0))</f>
        <v/>
      </c>
      <c r="AX14" s="345">
        <f>IF($A14="",0,IF(ISNUMBER(AI14),IF(AI14&gt;=WaterHit,1,0),0))</f>
        <v/>
      </c>
      <c r="AY14" s="345">
        <f>IF($A14="",0,IF(ISNUMBER(AG14),IF(AG14&gt;=AR14,1,0),0))</f>
        <v/>
      </c>
      <c r="AZ14" s="345">
        <f>IF($A14="",0,G14)</f>
        <v/>
      </c>
      <c r="BA14" s="345">
        <f>IF($A14="",0,J14)</f>
        <v/>
      </c>
      <c r="BB14" s="345">
        <f>IF($A14="",0,K14)</f>
        <v/>
      </c>
      <c r="BC14" s="345">
        <f>IF($A14="",0,MAX(L14,AE14))</f>
        <v/>
      </c>
      <c r="BD14" s="344">
        <f>IF($A14="","",(AU14+AV14+AW14+AX14+AY14+AZ14+BB14+BC14+IF(AS14=1,BA14,0))/(8+AS14))</f>
        <v/>
      </c>
      <c r="BE14" s="344">
        <f>IF($A14="","",(IF(ISNUMBER(AI14),IF(AI14&gt;=WaterMVD,1,0),0)+AV14+IF(ISNUMBER(AH14),IF(AH14&gt;=ProtMVD,1,0),0)+MAX(H14,AD14)+AZ14+BB14+AU14)/7)</f>
        <v/>
      </c>
      <c r="BF14" s="344">
        <f>IF(AO14=0,"",IF(E14="S","",IF(AND(AP14=0,$A14=TODAY()),"",IF(E14="M",BE14,BD14))))</f>
        <v/>
      </c>
      <c r="BG14" s="344">
        <f>IF(AO14=0,"",IFERROR(AVERAGEIFS(Data!$BF$4:$BF$375,Data!$A$4:$A$375,"&gt;"&amp;($A14-7),Data!$A$4:$A$375,"&lt;="&amp;$A14),""))</f>
        <v/>
      </c>
      <c r="BH14" s="344">
        <f>IF(AO14=0,"",IFERROR(AVERAGEIFS(Data!$BF$4:$BF$375,Data!$A$4:$A$375,"&gt;"&amp;($A14-30),Data!$A$4:$A$375,"&lt;="&amp;$A14),""))</f>
        <v/>
      </c>
      <c r="BI14" s="359">
        <f>IF($A14="","",IFERROR(AVERAGEIFS(Data!$AF$4:$AF$375,Data!$A$4:$A$375,"&gt;"&amp;($A14-7),Data!$A$4:$A$375,"&lt;="&amp;$A14,Data!$AF$4:$AF$375,"&gt;0"),""))</f>
        <v/>
      </c>
      <c r="BJ14" s="345">
        <f>IF($A14="","",F14+G14+H14+I14+J14+K14+L14+M14+N14-IF(AS14=1,0,J14))</f>
        <v/>
      </c>
      <c r="BK14" s="345">
        <f>IF($A14="","",8+AS14)</f>
        <v/>
      </c>
      <c r="BL14" s="345">
        <f>IF(ISNUMBER(BF14),BF14,NA())</f>
        <v/>
      </c>
      <c r="BM14" s="345">
        <f>IF(ISNUMBER(AF14),AF14,NA())</f>
        <v/>
      </c>
      <c r="BN14" s="345">
        <f>IF(ISNUMBER(BI14),BI14,NA())</f>
        <v/>
      </c>
      <c r="BO14" s="345">
        <f>IF(ISNUMBER(AL14),AL14,NA())</f>
        <v/>
      </c>
      <c r="BP14" s="345">
        <f>IF(ISNUMBER(AM14),AM14,NA())</f>
        <v/>
      </c>
      <c r="BQ14" s="345">
        <f>IF(ISNUMBER(AN14),AN14,NA())</f>
        <v/>
      </c>
    </row>
    <row r="15">
      <c r="A15" s="358">
        <f>IF('Oct 2026'!P7="","",'Oct 2026'!P7)</f>
        <v/>
      </c>
      <c r="B15" s="345" t="n">
        <v>1</v>
      </c>
      <c r="C15" s="345">
        <f>IF($A15="","",12)</f>
        <v/>
      </c>
      <c r="D15" s="345">
        <f>IF($A15="","",WEEKDAY($A15,2))</f>
        <v/>
      </c>
      <c r="E15" s="345">
        <f>IF($A15="","",UPPER(TRIM('Oct 2026'!P8)))</f>
        <v/>
      </c>
      <c r="F15" s="345">
        <f>IF($A15="","",IF(OR('Oct 2026'!P10=TRUE,'Oct 2026'!P10="x",'Oct 2026'!P10="X"),1,0))</f>
        <v/>
      </c>
      <c r="G15" s="345">
        <f>IF($A15="","",IF(OR('Oct 2026'!P11=TRUE,'Oct 2026'!P11="x",'Oct 2026'!P11="X"),1,0))</f>
        <v/>
      </c>
      <c r="H15" s="345">
        <f>IF($A15="","",IF(OR('Oct 2026'!P12=TRUE,'Oct 2026'!P12="x",'Oct 2026'!P12="X"),1,0))</f>
        <v/>
      </c>
      <c r="I15" s="345">
        <f>IF($A15="","",IF(OR('Oct 2026'!P13=TRUE,'Oct 2026'!P13="x",'Oct 2026'!P13="X"),1,0))</f>
        <v/>
      </c>
      <c r="J15" s="345">
        <f>IF($A15="","",IF(OR('Oct 2026'!P14=TRUE,'Oct 2026'!P14="x",'Oct 2026'!P14="X"),1,0))</f>
        <v/>
      </c>
      <c r="K15" s="345">
        <f>IF($A15="","",IF(OR('Oct 2026'!P15=TRUE,'Oct 2026'!P15="x",'Oct 2026'!P15="X"),1,0))</f>
        <v/>
      </c>
      <c r="L15" s="345">
        <f>IF($A15="","",IF(OR('Oct 2026'!P16=TRUE,'Oct 2026'!P16="x",'Oct 2026'!P16="X"),1,0))</f>
        <v/>
      </c>
      <c r="M15" s="345">
        <f>IF($A15="","",IF(OR('Oct 2026'!P17=TRUE,'Oct 2026'!P17="x",'Oct 2026'!P17="X"),1,0))</f>
        <v/>
      </c>
      <c r="N15" s="345">
        <f>IF($A15="","",IF(OR('Oct 2026'!P18=TRUE,'Oct 2026'!P18="x",'Oct 2026'!P18="X"),1,0))</f>
        <v/>
      </c>
      <c r="O15" s="345">
        <f>IF($A15="","",IF(OR('Oct 2026'!P20=TRUE,'Oct 2026'!P20="x",'Oct 2026'!P20="X"),1,0))</f>
        <v/>
      </c>
      <c r="P15" s="345">
        <f>IF($A15="","",IF(OR('Oct 2026'!P21=TRUE,'Oct 2026'!P21="x",'Oct 2026'!P21="X"),1,0))</f>
        <v/>
      </c>
      <c r="Q15" s="345">
        <f>IF($A15="","",IF(OR('Oct 2026'!P22=TRUE,'Oct 2026'!P22="x",'Oct 2026'!P22="X"),1,0))</f>
        <v/>
      </c>
      <c r="R15" s="345">
        <f>IF($A15="","",IF(OR('Oct 2026'!P23=TRUE,'Oct 2026'!P23="x",'Oct 2026'!P23="X"),1,0))</f>
        <v/>
      </c>
      <c r="S15" s="345">
        <f>IF($A15="","",IF(OR('Oct 2026'!P24=TRUE,'Oct 2026'!P24="x",'Oct 2026'!P24="X"),1,0))</f>
        <v/>
      </c>
      <c r="T15" s="345">
        <f>IF($A15="","",IF(OR('Oct 2026'!P25=TRUE,'Oct 2026'!P25="x",'Oct 2026'!P25="X"),1,0))</f>
        <v/>
      </c>
      <c r="U15" s="345">
        <f>IF($A15="","",IF(OR('Oct 2026'!P26=TRUE,'Oct 2026'!P26="x",'Oct 2026'!P26="X"),1,0))</f>
        <v/>
      </c>
      <c r="V15" s="345">
        <f>IF($A15="","",IF(OR('Oct 2026'!P27=TRUE,'Oct 2026'!P27="x",'Oct 2026'!P27="X"),1,0))</f>
        <v/>
      </c>
      <c r="W15" s="345">
        <f>IF($A15="","",IF(OR('Oct 2026'!P28=TRUE,'Oct 2026'!P28="x",'Oct 2026'!P28="X"),1,0))</f>
        <v/>
      </c>
      <c r="X15" s="345">
        <f>IF($A15="","",IF(OR('Oct 2026'!P29=TRUE,'Oct 2026'!P29="x",'Oct 2026'!P29="X"),1,0))</f>
        <v/>
      </c>
      <c r="Y15" s="345">
        <f>IF($A15="","",IF(OR('Oct 2026'!P30=TRUE,'Oct 2026'!P30="x",'Oct 2026'!P30="X"),1,0))</f>
        <v/>
      </c>
      <c r="Z15" s="345">
        <f>IF($A15="","",IF(OR('Oct 2026'!P31=TRUE,'Oct 2026'!P31="x",'Oct 2026'!P31="X"),1,0))</f>
        <v/>
      </c>
      <c r="AA15" s="345">
        <f>IF($A15="","",IF(OR('Oct 2026'!P32=TRUE,'Oct 2026'!P32="x",'Oct 2026'!P32="X"),1,0))</f>
        <v/>
      </c>
      <c r="AB15" s="345">
        <f>IF($A15="","",IF(OR('Oct 2026'!P34=TRUE,'Oct 2026'!P34="x",'Oct 2026'!P34="X"),1,0))</f>
        <v/>
      </c>
      <c r="AC15" s="345">
        <f>IF($A15="","",IF(OR('Oct 2026'!P35=TRUE,'Oct 2026'!P35="x",'Oct 2026'!P35="X"),1,0))</f>
        <v/>
      </c>
      <c r="AD15" s="345">
        <f>IF($A15="","",IF(OR('Oct 2026'!P36=TRUE,'Oct 2026'!P36="x",'Oct 2026'!P36="X"),1,0))</f>
        <v/>
      </c>
      <c r="AE15" s="345">
        <f>IF($A15="","",IF(OR('Oct 2026'!P37=TRUE,'Oct 2026'!P37="x",'Oct 2026'!P37="X"),1,0))</f>
        <v/>
      </c>
      <c r="AF15" s="345">
        <f>IF($A15="","",IF('Oct 2026'!P59="","",'Oct 2026'!P59))</f>
        <v/>
      </c>
      <c r="AG15" s="345">
        <f>IF($A15="","",IF('Oct 2026'!P60="","",'Oct 2026'!P60))</f>
        <v/>
      </c>
      <c r="AH15" s="345">
        <f>IF($A15="","",IF('Oct 2026'!P61="","",'Oct 2026'!P61))</f>
        <v/>
      </c>
      <c r="AI15" s="345">
        <f>IF($A15="","",IF('Oct 2026'!P62="","",'Oct 2026'!P62))</f>
        <v/>
      </c>
      <c r="AJ15" s="345">
        <f>IF($A15="","",IF('Oct 2026'!P63="","",'Oct 2026'!P63))</f>
        <v/>
      </c>
      <c r="AK15" s="345">
        <f>IF($A15="","",IF('Oct 2026'!P64="","",'Oct 2026'!P64))</f>
        <v/>
      </c>
      <c r="AL15" s="345">
        <f>IF($A15="","",IF('Oct 2026'!P65="","",'Oct 2026'!P65))</f>
        <v/>
      </c>
      <c r="AM15" s="345">
        <f>IF($A15="","",IF('Oct 2026'!P66="","",'Oct 2026'!P66))</f>
        <v/>
      </c>
      <c r="AN15" s="345">
        <f>IF($A15="","",IF('Oct 2026'!P67="","",'Oct 2026'!P67))</f>
        <v/>
      </c>
      <c r="AO15" s="345">
        <f>IF($A15="",0,IF(AND($A15&gt;=TrackStart,$A15&lt;=TODAY()),1,0))</f>
        <v/>
      </c>
      <c r="AP15" s="345">
        <f>IF($A15="",0,IF(SUM(F15:AE15)+COUNT(AF15:AN15)&gt;0,1,0))</f>
        <v/>
      </c>
      <c r="AQ15" s="345">
        <f>IF($A15="","",INT(($A15-TrackStart)/7)+1)</f>
        <v/>
      </c>
      <c r="AR15" s="345">
        <f>IF($A15="","",IF(AQ15&lt;=1,Steps1,IF(AQ15=2,Steps2,Steps3)))</f>
        <v/>
      </c>
      <c r="AS15" s="345">
        <f>IF($A15="",0,IF(ISNUMBER(SEARCH(TEXT(D15,"0"),WorkDays&amp;"")),1,0))</f>
        <v/>
      </c>
      <c r="AT15" s="345">
        <f>IF($A15="",0,IF(ISNUMBER(SEARCH(TEXT(D15,"0"),StrDays&amp;"")),1,0))</f>
        <v/>
      </c>
      <c r="AU15" s="345">
        <f>IF($A15="",0,IF(ISNUMBER(AK15),IF(AK15&gt;=SleepMin,1,0),N15))</f>
        <v/>
      </c>
      <c r="AV15" s="345">
        <f>IF($A15="",0,MAX(I15,O15,S15,AC15))</f>
        <v/>
      </c>
      <c r="AW15" s="345">
        <f>IF($A15="",0,IF(ISNUMBER(AH15),IF(AH15&gt;=ProtHit,1,0),0))</f>
        <v/>
      </c>
      <c r="AX15" s="345">
        <f>IF($A15="",0,IF(ISNUMBER(AI15),IF(AI15&gt;=WaterHit,1,0),0))</f>
        <v/>
      </c>
      <c r="AY15" s="345">
        <f>IF($A15="",0,IF(ISNUMBER(AG15),IF(AG15&gt;=AR15,1,0),0))</f>
        <v/>
      </c>
      <c r="AZ15" s="345">
        <f>IF($A15="",0,G15)</f>
        <v/>
      </c>
      <c r="BA15" s="345">
        <f>IF($A15="",0,J15)</f>
        <v/>
      </c>
      <c r="BB15" s="345">
        <f>IF($A15="",0,K15)</f>
        <v/>
      </c>
      <c r="BC15" s="345">
        <f>IF($A15="",0,MAX(L15,AE15))</f>
        <v/>
      </c>
      <c r="BD15" s="344">
        <f>IF($A15="","",(AU15+AV15+AW15+AX15+AY15+AZ15+BB15+BC15+IF(AS15=1,BA15,0))/(8+AS15))</f>
        <v/>
      </c>
      <c r="BE15" s="344">
        <f>IF($A15="","",(IF(ISNUMBER(AI15),IF(AI15&gt;=WaterMVD,1,0),0)+AV15+IF(ISNUMBER(AH15),IF(AH15&gt;=ProtMVD,1,0),0)+MAX(H15,AD15)+AZ15+BB15+AU15)/7)</f>
        <v/>
      </c>
      <c r="BF15" s="344">
        <f>IF(AO15=0,"",IF(E15="S","",IF(AND(AP15=0,$A15=TODAY()),"",IF(E15="M",BE15,BD15))))</f>
        <v/>
      </c>
      <c r="BG15" s="344">
        <f>IF(AO15=0,"",IFERROR(AVERAGEIFS(Data!$BF$4:$BF$375,Data!$A$4:$A$375,"&gt;"&amp;($A15-7),Data!$A$4:$A$375,"&lt;="&amp;$A15),""))</f>
        <v/>
      </c>
      <c r="BH15" s="344">
        <f>IF(AO15=0,"",IFERROR(AVERAGEIFS(Data!$BF$4:$BF$375,Data!$A$4:$A$375,"&gt;"&amp;($A15-30),Data!$A$4:$A$375,"&lt;="&amp;$A15),""))</f>
        <v/>
      </c>
      <c r="BI15" s="359">
        <f>IF($A15="","",IFERROR(AVERAGEIFS(Data!$AF$4:$AF$375,Data!$A$4:$A$375,"&gt;"&amp;($A15-7),Data!$A$4:$A$375,"&lt;="&amp;$A15,Data!$AF$4:$AF$375,"&gt;0"),""))</f>
        <v/>
      </c>
      <c r="BJ15" s="345">
        <f>IF($A15="","",F15+G15+H15+I15+J15+K15+L15+M15+N15-IF(AS15=1,0,J15))</f>
        <v/>
      </c>
      <c r="BK15" s="345">
        <f>IF($A15="","",8+AS15)</f>
        <v/>
      </c>
      <c r="BL15" s="345">
        <f>IF(ISNUMBER(BF15),BF15,NA())</f>
        <v/>
      </c>
      <c r="BM15" s="345">
        <f>IF(ISNUMBER(AF15),AF15,NA())</f>
        <v/>
      </c>
      <c r="BN15" s="345">
        <f>IF(ISNUMBER(BI15),BI15,NA())</f>
        <v/>
      </c>
      <c r="BO15" s="345">
        <f>IF(ISNUMBER(AL15),AL15,NA())</f>
        <v/>
      </c>
      <c r="BP15" s="345">
        <f>IF(ISNUMBER(AM15),AM15,NA())</f>
        <v/>
      </c>
      <c r="BQ15" s="345">
        <f>IF(ISNUMBER(AN15),AN15,NA())</f>
        <v/>
      </c>
    </row>
    <row r="16">
      <c r="A16" s="358">
        <f>IF('Oct 2026'!Q7="","",'Oct 2026'!Q7)</f>
        <v/>
      </c>
      <c r="B16" s="345" t="n">
        <v>1</v>
      </c>
      <c r="C16" s="345">
        <f>IF($A16="","",13)</f>
        <v/>
      </c>
      <c r="D16" s="345">
        <f>IF($A16="","",WEEKDAY($A16,2))</f>
        <v/>
      </c>
      <c r="E16" s="345">
        <f>IF($A16="","",UPPER(TRIM('Oct 2026'!Q8)))</f>
        <v/>
      </c>
      <c r="F16" s="345">
        <f>IF($A16="","",IF(OR('Oct 2026'!Q10=TRUE,'Oct 2026'!Q10="x",'Oct 2026'!Q10="X"),1,0))</f>
        <v/>
      </c>
      <c r="G16" s="345">
        <f>IF($A16="","",IF(OR('Oct 2026'!Q11=TRUE,'Oct 2026'!Q11="x",'Oct 2026'!Q11="X"),1,0))</f>
        <v/>
      </c>
      <c r="H16" s="345">
        <f>IF($A16="","",IF(OR('Oct 2026'!Q12=TRUE,'Oct 2026'!Q12="x",'Oct 2026'!Q12="X"),1,0))</f>
        <v/>
      </c>
      <c r="I16" s="345">
        <f>IF($A16="","",IF(OR('Oct 2026'!Q13=TRUE,'Oct 2026'!Q13="x",'Oct 2026'!Q13="X"),1,0))</f>
        <v/>
      </c>
      <c r="J16" s="345">
        <f>IF($A16="","",IF(OR('Oct 2026'!Q14=TRUE,'Oct 2026'!Q14="x",'Oct 2026'!Q14="X"),1,0))</f>
        <v/>
      </c>
      <c r="K16" s="345">
        <f>IF($A16="","",IF(OR('Oct 2026'!Q15=TRUE,'Oct 2026'!Q15="x",'Oct 2026'!Q15="X"),1,0))</f>
        <v/>
      </c>
      <c r="L16" s="345">
        <f>IF($A16="","",IF(OR('Oct 2026'!Q16=TRUE,'Oct 2026'!Q16="x",'Oct 2026'!Q16="X"),1,0))</f>
        <v/>
      </c>
      <c r="M16" s="345">
        <f>IF($A16="","",IF(OR('Oct 2026'!Q17=TRUE,'Oct 2026'!Q17="x",'Oct 2026'!Q17="X"),1,0))</f>
        <v/>
      </c>
      <c r="N16" s="345">
        <f>IF($A16="","",IF(OR('Oct 2026'!Q18=TRUE,'Oct 2026'!Q18="x",'Oct 2026'!Q18="X"),1,0))</f>
        <v/>
      </c>
      <c r="O16" s="345">
        <f>IF($A16="","",IF(OR('Oct 2026'!Q20=TRUE,'Oct 2026'!Q20="x",'Oct 2026'!Q20="X"),1,0))</f>
        <v/>
      </c>
      <c r="P16" s="345">
        <f>IF($A16="","",IF(OR('Oct 2026'!Q21=TRUE,'Oct 2026'!Q21="x",'Oct 2026'!Q21="X"),1,0))</f>
        <v/>
      </c>
      <c r="Q16" s="345">
        <f>IF($A16="","",IF(OR('Oct 2026'!Q22=TRUE,'Oct 2026'!Q22="x",'Oct 2026'!Q22="X"),1,0))</f>
        <v/>
      </c>
      <c r="R16" s="345">
        <f>IF($A16="","",IF(OR('Oct 2026'!Q23=TRUE,'Oct 2026'!Q23="x",'Oct 2026'!Q23="X"),1,0))</f>
        <v/>
      </c>
      <c r="S16" s="345">
        <f>IF($A16="","",IF(OR('Oct 2026'!Q24=TRUE,'Oct 2026'!Q24="x",'Oct 2026'!Q24="X"),1,0))</f>
        <v/>
      </c>
      <c r="T16" s="345">
        <f>IF($A16="","",IF(OR('Oct 2026'!Q25=TRUE,'Oct 2026'!Q25="x",'Oct 2026'!Q25="X"),1,0))</f>
        <v/>
      </c>
      <c r="U16" s="345">
        <f>IF($A16="","",IF(OR('Oct 2026'!Q26=TRUE,'Oct 2026'!Q26="x",'Oct 2026'!Q26="X"),1,0))</f>
        <v/>
      </c>
      <c r="V16" s="345">
        <f>IF($A16="","",IF(OR('Oct 2026'!Q27=TRUE,'Oct 2026'!Q27="x",'Oct 2026'!Q27="X"),1,0))</f>
        <v/>
      </c>
      <c r="W16" s="345">
        <f>IF($A16="","",IF(OR('Oct 2026'!Q28=TRUE,'Oct 2026'!Q28="x",'Oct 2026'!Q28="X"),1,0))</f>
        <v/>
      </c>
      <c r="X16" s="345">
        <f>IF($A16="","",IF(OR('Oct 2026'!Q29=TRUE,'Oct 2026'!Q29="x",'Oct 2026'!Q29="X"),1,0))</f>
        <v/>
      </c>
      <c r="Y16" s="345">
        <f>IF($A16="","",IF(OR('Oct 2026'!Q30=TRUE,'Oct 2026'!Q30="x",'Oct 2026'!Q30="X"),1,0))</f>
        <v/>
      </c>
      <c r="Z16" s="345">
        <f>IF($A16="","",IF(OR('Oct 2026'!Q31=TRUE,'Oct 2026'!Q31="x",'Oct 2026'!Q31="X"),1,0))</f>
        <v/>
      </c>
      <c r="AA16" s="345">
        <f>IF($A16="","",IF(OR('Oct 2026'!Q32=TRUE,'Oct 2026'!Q32="x",'Oct 2026'!Q32="X"),1,0))</f>
        <v/>
      </c>
      <c r="AB16" s="345">
        <f>IF($A16="","",IF(OR('Oct 2026'!Q34=TRUE,'Oct 2026'!Q34="x",'Oct 2026'!Q34="X"),1,0))</f>
        <v/>
      </c>
      <c r="AC16" s="345">
        <f>IF($A16="","",IF(OR('Oct 2026'!Q35=TRUE,'Oct 2026'!Q35="x",'Oct 2026'!Q35="X"),1,0))</f>
        <v/>
      </c>
      <c r="AD16" s="345">
        <f>IF($A16="","",IF(OR('Oct 2026'!Q36=TRUE,'Oct 2026'!Q36="x",'Oct 2026'!Q36="X"),1,0))</f>
        <v/>
      </c>
      <c r="AE16" s="345">
        <f>IF($A16="","",IF(OR('Oct 2026'!Q37=TRUE,'Oct 2026'!Q37="x",'Oct 2026'!Q37="X"),1,0))</f>
        <v/>
      </c>
      <c r="AF16" s="345">
        <f>IF($A16="","",IF('Oct 2026'!Q59="","",'Oct 2026'!Q59))</f>
        <v/>
      </c>
      <c r="AG16" s="345">
        <f>IF($A16="","",IF('Oct 2026'!Q60="","",'Oct 2026'!Q60))</f>
        <v/>
      </c>
      <c r="AH16" s="345">
        <f>IF($A16="","",IF('Oct 2026'!Q61="","",'Oct 2026'!Q61))</f>
        <v/>
      </c>
      <c r="AI16" s="345">
        <f>IF($A16="","",IF('Oct 2026'!Q62="","",'Oct 2026'!Q62))</f>
        <v/>
      </c>
      <c r="AJ16" s="345">
        <f>IF($A16="","",IF('Oct 2026'!Q63="","",'Oct 2026'!Q63))</f>
        <v/>
      </c>
      <c r="AK16" s="345">
        <f>IF($A16="","",IF('Oct 2026'!Q64="","",'Oct 2026'!Q64))</f>
        <v/>
      </c>
      <c r="AL16" s="345">
        <f>IF($A16="","",IF('Oct 2026'!Q65="","",'Oct 2026'!Q65))</f>
        <v/>
      </c>
      <c r="AM16" s="345">
        <f>IF($A16="","",IF('Oct 2026'!Q66="","",'Oct 2026'!Q66))</f>
        <v/>
      </c>
      <c r="AN16" s="345">
        <f>IF($A16="","",IF('Oct 2026'!Q67="","",'Oct 2026'!Q67))</f>
        <v/>
      </c>
      <c r="AO16" s="345">
        <f>IF($A16="",0,IF(AND($A16&gt;=TrackStart,$A16&lt;=TODAY()),1,0))</f>
        <v/>
      </c>
      <c r="AP16" s="345">
        <f>IF($A16="",0,IF(SUM(F16:AE16)+COUNT(AF16:AN16)&gt;0,1,0))</f>
        <v/>
      </c>
      <c r="AQ16" s="345">
        <f>IF($A16="","",INT(($A16-TrackStart)/7)+1)</f>
        <v/>
      </c>
      <c r="AR16" s="345">
        <f>IF($A16="","",IF(AQ16&lt;=1,Steps1,IF(AQ16=2,Steps2,Steps3)))</f>
        <v/>
      </c>
      <c r="AS16" s="345">
        <f>IF($A16="",0,IF(ISNUMBER(SEARCH(TEXT(D16,"0"),WorkDays&amp;"")),1,0))</f>
        <v/>
      </c>
      <c r="AT16" s="345">
        <f>IF($A16="",0,IF(ISNUMBER(SEARCH(TEXT(D16,"0"),StrDays&amp;"")),1,0))</f>
        <v/>
      </c>
      <c r="AU16" s="345">
        <f>IF($A16="",0,IF(ISNUMBER(AK16),IF(AK16&gt;=SleepMin,1,0),N16))</f>
        <v/>
      </c>
      <c r="AV16" s="345">
        <f>IF($A16="",0,MAX(I16,O16,S16,AC16))</f>
        <v/>
      </c>
      <c r="AW16" s="345">
        <f>IF($A16="",0,IF(ISNUMBER(AH16),IF(AH16&gt;=ProtHit,1,0),0))</f>
        <v/>
      </c>
      <c r="AX16" s="345">
        <f>IF($A16="",0,IF(ISNUMBER(AI16),IF(AI16&gt;=WaterHit,1,0),0))</f>
        <v/>
      </c>
      <c r="AY16" s="345">
        <f>IF($A16="",0,IF(ISNUMBER(AG16),IF(AG16&gt;=AR16,1,0),0))</f>
        <v/>
      </c>
      <c r="AZ16" s="345">
        <f>IF($A16="",0,G16)</f>
        <v/>
      </c>
      <c r="BA16" s="345">
        <f>IF($A16="",0,J16)</f>
        <v/>
      </c>
      <c r="BB16" s="345">
        <f>IF($A16="",0,K16)</f>
        <v/>
      </c>
      <c r="BC16" s="345">
        <f>IF($A16="",0,MAX(L16,AE16))</f>
        <v/>
      </c>
      <c r="BD16" s="344">
        <f>IF($A16="","",(AU16+AV16+AW16+AX16+AY16+AZ16+BB16+BC16+IF(AS16=1,BA16,0))/(8+AS16))</f>
        <v/>
      </c>
      <c r="BE16" s="344">
        <f>IF($A16="","",(IF(ISNUMBER(AI16),IF(AI16&gt;=WaterMVD,1,0),0)+AV16+IF(ISNUMBER(AH16),IF(AH16&gt;=ProtMVD,1,0),0)+MAX(H16,AD16)+AZ16+BB16+AU16)/7)</f>
        <v/>
      </c>
      <c r="BF16" s="344">
        <f>IF(AO16=0,"",IF(E16="S","",IF(AND(AP16=0,$A16=TODAY()),"",IF(E16="M",BE16,BD16))))</f>
        <v/>
      </c>
      <c r="BG16" s="344">
        <f>IF(AO16=0,"",IFERROR(AVERAGEIFS(Data!$BF$4:$BF$375,Data!$A$4:$A$375,"&gt;"&amp;($A16-7),Data!$A$4:$A$375,"&lt;="&amp;$A16),""))</f>
        <v/>
      </c>
      <c r="BH16" s="344">
        <f>IF(AO16=0,"",IFERROR(AVERAGEIFS(Data!$BF$4:$BF$375,Data!$A$4:$A$375,"&gt;"&amp;($A16-30),Data!$A$4:$A$375,"&lt;="&amp;$A16),""))</f>
        <v/>
      </c>
      <c r="BI16" s="359">
        <f>IF($A16="","",IFERROR(AVERAGEIFS(Data!$AF$4:$AF$375,Data!$A$4:$A$375,"&gt;"&amp;($A16-7),Data!$A$4:$A$375,"&lt;="&amp;$A16,Data!$AF$4:$AF$375,"&gt;0"),""))</f>
        <v/>
      </c>
      <c r="BJ16" s="345">
        <f>IF($A16="","",F16+G16+H16+I16+J16+K16+L16+M16+N16-IF(AS16=1,0,J16))</f>
        <v/>
      </c>
      <c r="BK16" s="345">
        <f>IF($A16="","",8+AS16)</f>
        <v/>
      </c>
      <c r="BL16" s="345">
        <f>IF(ISNUMBER(BF16),BF16,NA())</f>
        <v/>
      </c>
      <c r="BM16" s="345">
        <f>IF(ISNUMBER(AF16),AF16,NA())</f>
        <v/>
      </c>
      <c r="BN16" s="345">
        <f>IF(ISNUMBER(BI16),BI16,NA())</f>
        <v/>
      </c>
      <c r="BO16" s="345">
        <f>IF(ISNUMBER(AL16),AL16,NA())</f>
        <v/>
      </c>
      <c r="BP16" s="345">
        <f>IF(ISNUMBER(AM16),AM16,NA())</f>
        <v/>
      </c>
      <c r="BQ16" s="345">
        <f>IF(ISNUMBER(AN16),AN16,NA())</f>
        <v/>
      </c>
    </row>
    <row r="17">
      <c r="A17" s="358">
        <f>IF('Oct 2026'!R7="","",'Oct 2026'!R7)</f>
        <v/>
      </c>
      <c r="B17" s="345" t="n">
        <v>1</v>
      </c>
      <c r="C17" s="345">
        <f>IF($A17="","",14)</f>
        <v/>
      </c>
      <c r="D17" s="345">
        <f>IF($A17="","",WEEKDAY($A17,2))</f>
        <v/>
      </c>
      <c r="E17" s="345">
        <f>IF($A17="","",UPPER(TRIM('Oct 2026'!R8)))</f>
        <v/>
      </c>
      <c r="F17" s="345">
        <f>IF($A17="","",IF(OR('Oct 2026'!R10=TRUE,'Oct 2026'!R10="x",'Oct 2026'!R10="X"),1,0))</f>
        <v/>
      </c>
      <c r="G17" s="345">
        <f>IF($A17="","",IF(OR('Oct 2026'!R11=TRUE,'Oct 2026'!R11="x",'Oct 2026'!R11="X"),1,0))</f>
        <v/>
      </c>
      <c r="H17" s="345">
        <f>IF($A17="","",IF(OR('Oct 2026'!R12=TRUE,'Oct 2026'!R12="x",'Oct 2026'!R12="X"),1,0))</f>
        <v/>
      </c>
      <c r="I17" s="345">
        <f>IF($A17="","",IF(OR('Oct 2026'!R13=TRUE,'Oct 2026'!R13="x",'Oct 2026'!R13="X"),1,0))</f>
        <v/>
      </c>
      <c r="J17" s="345">
        <f>IF($A17="","",IF(OR('Oct 2026'!R14=TRUE,'Oct 2026'!R14="x",'Oct 2026'!R14="X"),1,0))</f>
        <v/>
      </c>
      <c r="K17" s="345">
        <f>IF($A17="","",IF(OR('Oct 2026'!R15=TRUE,'Oct 2026'!R15="x",'Oct 2026'!R15="X"),1,0))</f>
        <v/>
      </c>
      <c r="L17" s="345">
        <f>IF($A17="","",IF(OR('Oct 2026'!R16=TRUE,'Oct 2026'!R16="x",'Oct 2026'!R16="X"),1,0))</f>
        <v/>
      </c>
      <c r="M17" s="345">
        <f>IF($A17="","",IF(OR('Oct 2026'!R17=TRUE,'Oct 2026'!R17="x",'Oct 2026'!R17="X"),1,0))</f>
        <v/>
      </c>
      <c r="N17" s="345">
        <f>IF($A17="","",IF(OR('Oct 2026'!R18=TRUE,'Oct 2026'!R18="x",'Oct 2026'!R18="X"),1,0))</f>
        <v/>
      </c>
      <c r="O17" s="345">
        <f>IF($A17="","",IF(OR('Oct 2026'!R20=TRUE,'Oct 2026'!R20="x",'Oct 2026'!R20="X"),1,0))</f>
        <v/>
      </c>
      <c r="P17" s="345">
        <f>IF($A17="","",IF(OR('Oct 2026'!R21=TRUE,'Oct 2026'!R21="x",'Oct 2026'!R21="X"),1,0))</f>
        <v/>
      </c>
      <c r="Q17" s="345">
        <f>IF($A17="","",IF(OR('Oct 2026'!R22=TRUE,'Oct 2026'!R22="x",'Oct 2026'!R22="X"),1,0))</f>
        <v/>
      </c>
      <c r="R17" s="345">
        <f>IF($A17="","",IF(OR('Oct 2026'!R23=TRUE,'Oct 2026'!R23="x",'Oct 2026'!R23="X"),1,0))</f>
        <v/>
      </c>
      <c r="S17" s="345">
        <f>IF($A17="","",IF(OR('Oct 2026'!R24=TRUE,'Oct 2026'!R24="x",'Oct 2026'!R24="X"),1,0))</f>
        <v/>
      </c>
      <c r="T17" s="345">
        <f>IF($A17="","",IF(OR('Oct 2026'!R25=TRUE,'Oct 2026'!R25="x",'Oct 2026'!R25="X"),1,0))</f>
        <v/>
      </c>
      <c r="U17" s="345">
        <f>IF($A17="","",IF(OR('Oct 2026'!R26=TRUE,'Oct 2026'!R26="x",'Oct 2026'!R26="X"),1,0))</f>
        <v/>
      </c>
      <c r="V17" s="345">
        <f>IF($A17="","",IF(OR('Oct 2026'!R27=TRUE,'Oct 2026'!R27="x",'Oct 2026'!R27="X"),1,0))</f>
        <v/>
      </c>
      <c r="W17" s="345">
        <f>IF($A17="","",IF(OR('Oct 2026'!R28=TRUE,'Oct 2026'!R28="x",'Oct 2026'!R28="X"),1,0))</f>
        <v/>
      </c>
      <c r="X17" s="345">
        <f>IF($A17="","",IF(OR('Oct 2026'!R29=TRUE,'Oct 2026'!R29="x",'Oct 2026'!R29="X"),1,0))</f>
        <v/>
      </c>
      <c r="Y17" s="345">
        <f>IF($A17="","",IF(OR('Oct 2026'!R30=TRUE,'Oct 2026'!R30="x",'Oct 2026'!R30="X"),1,0))</f>
        <v/>
      </c>
      <c r="Z17" s="345">
        <f>IF($A17="","",IF(OR('Oct 2026'!R31=TRUE,'Oct 2026'!R31="x",'Oct 2026'!R31="X"),1,0))</f>
        <v/>
      </c>
      <c r="AA17" s="345">
        <f>IF($A17="","",IF(OR('Oct 2026'!R32=TRUE,'Oct 2026'!R32="x",'Oct 2026'!R32="X"),1,0))</f>
        <v/>
      </c>
      <c r="AB17" s="345">
        <f>IF($A17="","",IF(OR('Oct 2026'!R34=TRUE,'Oct 2026'!R34="x",'Oct 2026'!R34="X"),1,0))</f>
        <v/>
      </c>
      <c r="AC17" s="345">
        <f>IF($A17="","",IF(OR('Oct 2026'!R35=TRUE,'Oct 2026'!R35="x",'Oct 2026'!R35="X"),1,0))</f>
        <v/>
      </c>
      <c r="AD17" s="345">
        <f>IF($A17="","",IF(OR('Oct 2026'!R36=TRUE,'Oct 2026'!R36="x",'Oct 2026'!R36="X"),1,0))</f>
        <v/>
      </c>
      <c r="AE17" s="345">
        <f>IF($A17="","",IF(OR('Oct 2026'!R37=TRUE,'Oct 2026'!R37="x",'Oct 2026'!R37="X"),1,0))</f>
        <v/>
      </c>
      <c r="AF17" s="345">
        <f>IF($A17="","",IF('Oct 2026'!R59="","",'Oct 2026'!R59))</f>
        <v/>
      </c>
      <c r="AG17" s="345">
        <f>IF($A17="","",IF('Oct 2026'!R60="","",'Oct 2026'!R60))</f>
        <v/>
      </c>
      <c r="AH17" s="345">
        <f>IF($A17="","",IF('Oct 2026'!R61="","",'Oct 2026'!R61))</f>
        <v/>
      </c>
      <c r="AI17" s="345">
        <f>IF($A17="","",IF('Oct 2026'!R62="","",'Oct 2026'!R62))</f>
        <v/>
      </c>
      <c r="AJ17" s="345">
        <f>IF($A17="","",IF('Oct 2026'!R63="","",'Oct 2026'!R63))</f>
        <v/>
      </c>
      <c r="AK17" s="345">
        <f>IF($A17="","",IF('Oct 2026'!R64="","",'Oct 2026'!R64))</f>
        <v/>
      </c>
      <c r="AL17" s="345">
        <f>IF($A17="","",IF('Oct 2026'!R65="","",'Oct 2026'!R65))</f>
        <v/>
      </c>
      <c r="AM17" s="345">
        <f>IF($A17="","",IF('Oct 2026'!R66="","",'Oct 2026'!R66))</f>
        <v/>
      </c>
      <c r="AN17" s="345">
        <f>IF($A17="","",IF('Oct 2026'!R67="","",'Oct 2026'!R67))</f>
        <v/>
      </c>
      <c r="AO17" s="345">
        <f>IF($A17="",0,IF(AND($A17&gt;=TrackStart,$A17&lt;=TODAY()),1,0))</f>
        <v/>
      </c>
      <c r="AP17" s="345">
        <f>IF($A17="",0,IF(SUM(F17:AE17)+COUNT(AF17:AN17)&gt;0,1,0))</f>
        <v/>
      </c>
      <c r="AQ17" s="345">
        <f>IF($A17="","",INT(($A17-TrackStart)/7)+1)</f>
        <v/>
      </c>
      <c r="AR17" s="345">
        <f>IF($A17="","",IF(AQ17&lt;=1,Steps1,IF(AQ17=2,Steps2,Steps3)))</f>
        <v/>
      </c>
      <c r="AS17" s="345">
        <f>IF($A17="",0,IF(ISNUMBER(SEARCH(TEXT(D17,"0"),WorkDays&amp;"")),1,0))</f>
        <v/>
      </c>
      <c r="AT17" s="345">
        <f>IF($A17="",0,IF(ISNUMBER(SEARCH(TEXT(D17,"0"),StrDays&amp;"")),1,0))</f>
        <v/>
      </c>
      <c r="AU17" s="345">
        <f>IF($A17="",0,IF(ISNUMBER(AK17),IF(AK17&gt;=SleepMin,1,0),N17))</f>
        <v/>
      </c>
      <c r="AV17" s="345">
        <f>IF($A17="",0,MAX(I17,O17,S17,AC17))</f>
        <v/>
      </c>
      <c r="AW17" s="345">
        <f>IF($A17="",0,IF(ISNUMBER(AH17),IF(AH17&gt;=ProtHit,1,0),0))</f>
        <v/>
      </c>
      <c r="AX17" s="345">
        <f>IF($A17="",0,IF(ISNUMBER(AI17),IF(AI17&gt;=WaterHit,1,0),0))</f>
        <v/>
      </c>
      <c r="AY17" s="345">
        <f>IF($A17="",0,IF(ISNUMBER(AG17),IF(AG17&gt;=AR17,1,0),0))</f>
        <v/>
      </c>
      <c r="AZ17" s="345">
        <f>IF($A17="",0,G17)</f>
        <v/>
      </c>
      <c r="BA17" s="345">
        <f>IF($A17="",0,J17)</f>
        <v/>
      </c>
      <c r="BB17" s="345">
        <f>IF($A17="",0,K17)</f>
        <v/>
      </c>
      <c r="BC17" s="345">
        <f>IF($A17="",0,MAX(L17,AE17))</f>
        <v/>
      </c>
      <c r="BD17" s="344">
        <f>IF($A17="","",(AU17+AV17+AW17+AX17+AY17+AZ17+BB17+BC17+IF(AS17=1,BA17,0))/(8+AS17))</f>
        <v/>
      </c>
      <c r="BE17" s="344">
        <f>IF($A17="","",(IF(ISNUMBER(AI17),IF(AI17&gt;=WaterMVD,1,0),0)+AV17+IF(ISNUMBER(AH17),IF(AH17&gt;=ProtMVD,1,0),0)+MAX(H17,AD17)+AZ17+BB17+AU17)/7)</f>
        <v/>
      </c>
      <c r="BF17" s="344">
        <f>IF(AO17=0,"",IF(E17="S","",IF(AND(AP17=0,$A17=TODAY()),"",IF(E17="M",BE17,BD17))))</f>
        <v/>
      </c>
      <c r="BG17" s="344">
        <f>IF(AO17=0,"",IFERROR(AVERAGEIFS(Data!$BF$4:$BF$375,Data!$A$4:$A$375,"&gt;"&amp;($A17-7),Data!$A$4:$A$375,"&lt;="&amp;$A17),""))</f>
        <v/>
      </c>
      <c r="BH17" s="344">
        <f>IF(AO17=0,"",IFERROR(AVERAGEIFS(Data!$BF$4:$BF$375,Data!$A$4:$A$375,"&gt;"&amp;($A17-30),Data!$A$4:$A$375,"&lt;="&amp;$A17),""))</f>
        <v/>
      </c>
      <c r="BI17" s="359">
        <f>IF($A17="","",IFERROR(AVERAGEIFS(Data!$AF$4:$AF$375,Data!$A$4:$A$375,"&gt;"&amp;($A17-7),Data!$A$4:$A$375,"&lt;="&amp;$A17,Data!$AF$4:$AF$375,"&gt;0"),""))</f>
        <v/>
      </c>
      <c r="BJ17" s="345">
        <f>IF($A17="","",F17+G17+H17+I17+J17+K17+L17+M17+N17-IF(AS17=1,0,J17))</f>
        <v/>
      </c>
      <c r="BK17" s="345">
        <f>IF($A17="","",8+AS17)</f>
        <v/>
      </c>
      <c r="BL17" s="345">
        <f>IF(ISNUMBER(BF17),BF17,NA())</f>
        <v/>
      </c>
      <c r="BM17" s="345">
        <f>IF(ISNUMBER(AF17),AF17,NA())</f>
        <v/>
      </c>
      <c r="BN17" s="345">
        <f>IF(ISNUMBER(BI17),BI17,NA())</f>
        <v/>
      </c>
      <c r="BO17" s="345">
        <f>IF(ISNUMBER(AL17),AL17,NA())</f>
        <v/>
      </c>
      <c r="BP17" s="345">
        <f>IF(ISNUMBER(AM17),AM17,NA())</f>
        <v/>
      </c>
      <c r="BQ17" s="345">
        <f>IF(ISNUMBER(AN17),AN17,NA())</f>
        <v/>
      </c>
    </row>
    <row r="18">
      <c r="A18" s="358">
        <f>IF('Oct 2026'!S7="","",'Oct 2026'!S7)</f>
        <v/>
      </c>
      <c r="B18" s="345" t="n">
        <v>1</v>
      </c>
      <c r="C18" s="345">
        <f>IF($A18="","",15)</f>
        <v/>
      </c>
      <c r="D18" s="345">
        <f>IF($A18="","",WEEKDAY($A18,2))</f>
        <v/>
      </c>
      <c r="E18" s="345">
        <f>IF($A18="","",UPPER(TRIM('Oct 2026'!S8)))</f>
        <v/>
      </c>
      <c r="F18" s="345">
        <f>IF($A18="","",IF(OR('Oct 2026'!S10=TRUE,'Oct 2026'!S10="x",'Oct 2026'!S10="X"),1,0))</f>
        <v/>
      </c>
      <c r="G18" s="345">
        <f>IF($A18="","",IF(OR('Oct 2026'!S11=TRUE,'Oct 2026'!S11="x",'Oct 2026'!S11="X"),1,0))</f>
        <v/>
      </c>
      <c r="H18" s="345">
        <f>IF($A18="","",IF(OR('Oct 2026'!S12=TRUE,'Oct 2026'!S12="x",'Oct 2026'!S12="X"),1,0))</f>
        <v/>
      </c>
      <c r="I18" s="345">
        <f>IF($A18="","",IF(OR('Oct 2026'!S13=TRUE,'Oct 2026'!S13="x",'Oct 2026'!S13="X"),1,0))</f>
        <v/>
      </c>
      <c r="J18" s="345">
        <f>IF($A18="","",IF(OR('Oct 2026'!S14=TRUE,'Oct 2026'!S14="x",'Oct 2026'!S14="X"),1,0))</f>
        <v/>
      </c>
      <c r="K18" s="345">
        <f>IF($A18="","",IF(OR('Oct 2026'!S15=TRUE,'Oct 2026'!S15="x",'Oct 2026'!S15="X"),1,0))</f>
        <v/>
      </c>
      <c r="L18" s="345">
        <f>IF($A18="","",IF(OR('Oct 2026'!S16=TRUE,'Oct 2026'!S16="x",'Oct 2026'!S16="X"),1,0))</f>
        <v/>
      </c>
      <c r="M18" s="345">
        <f>IF($A18="","",IF(OR('Oct 2026'!S17=TRUE,'Oct 2026'!S17="x",'Oct 2026'!S17="X"),1,0))</f>
        <v/>
      </c>
      <c r="N18" s="345">
        <f>IF($A18="","",IF(OR('Oct 2026'!S18=TRUE,'Oct 2026'!S18="x",'Oct 2026'!S18="X"),1,0))</f>
        <v/>
      </c>
      <c r="O18" s="345">
        <f>IF($A18="","",IF(OR('Oct 2026'!S20=TRUE,'Oct 2026'!S20="x",'Oct 2026'!S20="X"),1,0))</f>
        <v/>
      </c>
      <c r="P18" s="345">
        <f>IF($A18="","",IF(OR('Oct 2026'!S21=TRUE,'Oct 2026'!S21="x",'Oct 2026'!S21="X"),1,0))</f>
        <v/>
      </c>
      <c r="Q18" s="345">
        <f>IF($A18="","",IF(OR('Oct 2026'!S22=TRUE,'Oct 2026'!S22="x",'Oct 2026'!S22="X"),1,0))</f>
        <v/>
      </c>
      <c r="R18" s="345">
        <f>IF($A18="","",IF(OR('Oct 2026'!S23=TRUE,'Oct 2026'!S23="x",'Oct 2026'!S23="X"),1,0))</f>
        <v/>
      </c>
      <c r="S18" s="345">
        <f>IF($A18="","",IF(OR('Oct 2026'!S24=TRUE,'Oct 2026'!S24="x",'Oct 2026'!S24="X"),1,0))</f>
        <v/>
      </c>
      <c r="T18" s="345">
        <f>IF($A18="","",IF(OR('Oct 2026'!S25=TRUE,'Oct 2026'!S25="x",'Oct 2026'!S25="X"),1,0))</f>
        <v/>
      </c>
      <c r="U18" s="345">
        <f>IF($A18="","",IF(OR('Oct 2026'!S26=TRUE,'Oct 2026'!S26="x",'Oct 2026'!S26="X"),1,0))</f>
        <v/>
      </c>
      <c r="V18" s="345">
        <f>IF($A18="","",IF(OR('Oct 2026'!S27=TRUE,'Oct 2026'!S27="x",'Oct 2026'!S27="X"),1,0))</f>
        <v/>
      </c>
      <c r="W18" s="345">
        <f>IF($A18="","",IF(OR('Oct 2026'!S28=TRUE,'Oct 2026'!S28="x",'Oct 2026'!S28="X"),1,0))</f>
        <v/>
      </c>
      <c r="X18" s="345">
        <f>IF($A18="","",IF(OR('Oct 2026'!S29=TRUE,'Oct 2026'!S29="x",'Oct 2026'!S29="X"),1,0))</f>
        <v/>
      </c>
      <c r="Y18" s="345">
        <f>IF($A18="","",IF(OR('Oct 2026'!S30=TRUE,'Oct 2026'!S30="x",'Oct 2026'!S30="X"),1,0))</f>
        <v/>
      </c>
      <c r="Z18" s="345">
        <f>IF($A18="","",IF(OR('Oct 2026'!S31=TRUE,'Oct 2026'!S31="x",'Oct 2026'!S31="X"),1,0))</f>
        <v/>
      </c>
      <c r="AA18" s="345">
        <f>IF($A18="","",IF(OR('Oct 2026'!S32=TRUE,'Oct 2026'!S32="x",'Oct 2026'!S32="X"),1,0))</f>
        <v/>
      </c>
      <c r="AB18" s="345">
        <f>IF($A18="","",IF(OR('Oct 2026'!S34=TRUE,'Oct 2026'!S34="x",'Oct 2026'!S34="X"),1,0))</f>
        <v/>
      </c>
      <c r="AC18" s="345">
        <f>IF($A18="","",IF(OR('Oct 2026'!S35=TRUE,'Oct 2026'!S35="x",'Oct 2026'!S35="X"),1,0))</f>
        <v/>
      </c>
      <c r="AD18" s="345">
        <f>IF($A18="","",IF(OR('Oct 2026'!S36=TRUE,'Oct 2026'!S36="x",'Oct 2026'!S36="X"),1,0))</f>
        <v/>
      </c>
      <c r="AE18" s="345">
        <f>IF($A18="","",IF(OR('Oct 2026'!S37=TRUE,'Oct 2026'!S37="x",'Oct 2026'!S37="X"),1,0))</f>
        <v/>
      </c>
      <c r="AF18" s="345">
        <f>IF($A18="","",IF('Oct 2026'!S59="","",'Oct 2026'!S59))</f>
        <v/>
      </c>
      <c r="AG18" s="345">
        <f>IF($A18="","",IF('Oct 2026'!S60="","",'Oct 2026'!S60))</f>
        <v/>
      </c>
      <c r="AH18" s="345">
        <f>IF($A18="","",IF('Oct 2026'!S61="","",'Oct 2026'!S61))</f>
        <v/>
      </c>
      <c r="AI18" s="345">
        <f>IF($A18="","",IF('Oct 2026'!S62="","",'Oct 2026'!S62))</f>
        <v/>
      </c>
      <c r="AJ18" s="345">
        <f>IF($A18="","",IF('Oct 2026'!S63="","",'Oct 2026'!S63))</f>
        <v/>
      </c>
      <c r="AK18" s="345">
        <f>IF($A18="","",IF('Oct 2026'!S64="","",'Oct 2026'!S64))</f>
        <v/>
      </c>
      <c r="AL18" s="345">
        <f>IF($A18="","",IF('Oct 2026'!S65="","",'Oct 2026'!S65))</f>
        <v/>
      </c>
      <c r="AM18" s="345">
        <f>IF($A18="","",IF('Oct 2026'!S66="","",'Oct 2026'!S66))</f>
        <v/>
      </c>
      <c r="AN18" s="345">
        <f>IF($A18="","",IF('Oct 2026'!S67="","",'Oct 2026'!S67))</f>
        <v/>
      </c>
      <c r="AO18" s="345">
        <f>IF($A18="",0,IF(AND($A18&gt;=TrackStart,$A18&lt;=TODAY()),1,0))</f>
        <v/>
      </c>
      <c r="AP18" s="345">
        <f>IF($A18="",0,IF(SUM(F18:AE18)+COUNT(AF18:AN18)&gt;0,1,0))</f>
        <v/>
      </c>
      <c r="AQ18" s="345">
        <f>IF($A18="","",INT(($A18-TrackStart)/7)+1)</f>
        <v/>
      </c>
      <c r="AR18" s="345">
        <f>IF($A18="","",IF(AQ18&lt;=1,Steps1,IF(AQ18=2,Steps2,Steps3)))</f>
        <v/>
      </c>
      <c r="AS18" s="345">
        <f>IF($A18="",0,IF(ISNUMBER(SEARCH(TEXT(D18,"0"),WorkDays&amp;"")),1,0))</f>
        <v/>
      </c>
      <c r="AT18" s="345">
        <f>IF($A18="",0,IF(ISNUMBER(SEARCH(TEXT(D18,"0"),StrDays&amp;"")),1,0))</f>
        <v/>
      </c>
      <c r="AU18" s="345">
        <f>IF($A18="",0,IF(ISNUMBER(AK18),IF(AK18&gt;=SleepMin,1,0),N18))</f>
        <v/>
      </c>
      <c r="AV18" s="345">
        <f>IF($A18="",0,MAX(I18,O18,S18,AC18))</f>
        <v/>
      </c>
      <c r="AW18" s="345">
        <f>IF($A18="",0,IF(ISNUMBER(AH18),IF(AH18&gt;=ProtHit,1,0),0))</f>
        <v/>
      </c>
      <c r="AX18" s="345">
        <f>IF($A18="",0,IF(ISNUMBER(AI18),IF(AI18&gt;=WaterHit,1,0),0))</f>
        <v/>
      </c>
      <c r="AY18" s="345">
        <f>IF($A18="",0,IF(ISNUMBER(AG18),IF(AG18&gt;=AR18,1,0),0))</f>
        <v/>
      </c>
      <c r="AZ18" s="345">
        <f>IF($A18="",0,G18)</f>
        <v/>
      </c>
      <c r="BA18" s="345">
        <f>IF($A18="",0,J18)</f>
        <v/>
      </c>
      <c r="BB18" s="345">
        <f>IF($A18="",0,K18)</f>
        <v/>
      </c>
      <c r="BC18" s="345">
        <f>IF($A18="",0,MAX(L18,AE18))</f>
        <v/>
      </c>
      <c r="BD18" s="344">
        <f>IF($A18="","",(AU18+AV18+AW18+AX18+AY18+AZ18+BB18+BC18+IF(AS18=1,BA18,0))/(8+AS18))</f>
        <v/>
      </c>
      <c r="BE18" s="344">
        <f>IF($A18="","",(IF(ISNUMBER(AI18),IF(AI18&gt;=WaterMVD,1,0),0)+AV18+IF(ISNUMBER(AH18),IF(AH18&gt;=ProtMVD,1,0),0)+MAX(H18,AD18)+AZ18+BB18+AU18)/7)</f>
        <v/>
      </c>
      <c r="BF18" s="344">
        <f>IF(AO18=0,"",IF(E18="S","",IF(AND(AP18=0,$A18=TODAY()),"",IF(E18="M",BE18,BD18))))</f>
        <v/>
      </c>
      <c r="BG18" s="344">
        <f>IF(AO18=0,"",IFERROR(AVERAGEIFS(Data!$BF$4:$BF$375,Data!$A$4:$A$375,"&gt;"&amp;($A18-7),Data!$A$4:$A$375,"&lt;="&amp;$A18),""))</f>
        <v/>
      </c>
      <c r="BH18" s="344">
        <f>IF(AO18=0,"",IFERROR(AVERAGEIFS(Data!$BF$4:$BF$375,Data!$A$4:$A$375,"&gt;"&amp;($A18-30),Data!$A$4:$A$375,"&lt;="&amp;$A18),""))</f>
        <v/>
      </c>
      <c r="BI18" s="359">
        <f>IF($A18="","",IFERROR(AVERAGEIFS(Data!$AF$4:$AF$375,Data!$A$4:$A$375,"&gt;"&amp;($A18-7),Data!$A$4:$A$375,"&lt;="&amp;$A18,Data!$AF$4:$AF$375,"&gt;0"),""))</f>
        <v/>
      </c>
      <c r="BJ18" s="345">
        <f>IF($A18="","",F18+G18+H18+I18+J18+K18+L18+M18+N18-IF(AS18=1,0,J18))</f>
        <v/>
      </c>
      <c r="BK18" s="345">
        <f>IF($A18="","",8+AS18)</f>
        <v/>
      </c>
      <c r="BL18" s="345">
        <f>IF(ISNUMBER(BF18),BF18,NA())</f>
        <v/>
      </c>
      <c r="BM18" s="345">
        <f>IF(ISNUMBER(AF18),AF18,NA())</f>
        <v/>
      </c>
      <c r="BN18" s="345">
        <f>IF(ISNUMBER(BI18),BI18,NA())</f>
        <v/>
      </c>
      <c r="BO18" s="345">
        <f>IF(ISNUMBER(AL18),AL18,NA())</f>
        <v/>
      </c>
      <c r="BP18" s="345">
        <f>IF(ISNUMBER(AM18),AM18,NA())</f>
        <v/>
      </c>
      <c r="BQ18" s="345">
        <f>IF(ISNUMBER(AN18),AN18,NA())</f>
        <v/>
      </c>
    </row>
    <row r="19">
      <c r="A19" s="358">
        <f>IF('Oct 2026'!T7="","",'Oct 2026'!T7)</f>
        <v/>
      </c>
      <c r="B19" s="345" t="n">
        <v>1</v>
      </c>
      <c r="C19" s="345">
        <f>IF($A19="","",16)</f>
        <v/>
      </c>
      <c r="D19" s="345">
        <f>IF($A19="","",WEEKDAY($A19,2))</f>
        <v/>
      </c>
      <c r="E19" s="345">
        <f>IF($A19="","",UPPER(TRIM('Oct 2026'!T8)))</f>
        <v/>
      </c>
      <c r="F19" s="345">
        <f>IF($A19="","",IF(OR('Oct 2026'!T10=TRUE,'Oct 2026'!T10="x",'Oct 2026'!T10="X"),1,0))</f>
        <v/>
      </c>
      <c r="G19" s="345">
        <f>IF($A19="","",IF(OR('Oct 2026'!T11=TRUE,'Oct 2026'!T11="x",'Oct 2026'!T11="X"),1,0))</f>
        <v/>
      </c>
      <c r="H19" s="345">
        <f>IF($A19="","",IF(OR('Oct 2026'!T12=TRUE,'Oct 2026'!T12="x",'Oct 2026'!T12="X"),1,0))</f>
        <v/>
      </c>
      <c r="I19" s="345">
        <f>IF($A19="","",IF(OR('Oct 2026'!T13=TRUE,'Oct 2026'!T13="x",'Oct 2026'!T13="X"),1,0))</f>
        <v/>
      </c>
      <c r="J19" s="345">
        <f>IF($A19="","",IF(OR('Oct 2026'!T14=TRUE,'Oct 2026'!T14="x",'Oct 2026'!T14="X"),1,0))</f>
        <v/>
      </c>
      <c r="K19" s="345">
        <f>IF($A19="","",IF(OR('Oct 2026'!T15=TRUE,'Oct 2026'!T15="x",'Oct 2026'!T15="X"),1,0))</f>
        <v/>
      </c>
      <c r="L19" s="345">
        <f>IF($A19="","",IF(OR('Oct 2026'!T16=TRUE,'Oct 2026'!T16="x",'Oct 2026'!T16="X"),1,0))</f>
        <v/>
      </c>
      <c r="M19" s="345">
        <f>IF($A19="","",IF(OR('Oct 2026'!T17=TRUE,'Oct 2026'!T17="x",'Oct 2026'!T17="X"),1,0))</f>
        <v/>
      </c>
      <c r="N19" s="345">
        <f>IF($A19="","",IF(OR('Oct 2026'!T18=TRUE,'Oct 2026'!T18="x",'Oct 2026'!T18="X"),1,0))</f>
        <v/>
      </c>
      <c r="O19" s="345">
        <f>IF($A19="","",IF(OR('Oct 2026'!T20=TRUE,'Oct 2026'!T20="x",'Oct 2026'!T20="X"),1,0))</f>
        <v/>
      </c>
      <c r="P19" s="345">
        <f>IF($A19="","",IF(OR('Oct 2026'!T21=TRUE,'Oct 2026'!T21="x",'Oct 2026'!T21="X"),1,0))</f>
        <v/>
      </c>
      <c r="Q19" s="345">
        <f>IF($A19="","",IF(OR('Oct 2026'!T22=TRUE,'Oct 2026'!T22="x",'Oct 2026'!T22="X"),1,0))</f>
        <v/>
      </c>
      <c r="R19" s="345">
        <f>IF($A19="","",IF(OR('Oct 2026'!T23=TRUE,'Oct 2026'!T23="x",'Oct 2026'!T23="X"),1,0))</f>
        <v/>
      </c>
      <c r="S19" s="345">
        <f>IF($A19="","",IF(OR('Oct 2026'!T24=TRUE,'Oct 2026'!T24="x",'Oct 2026'!T24="X"),1,0))</f>
        <v/>
      </c>
      <c r="T19" s="345">
        <f>IF($A19="","",IF(OR('Oct 2026'!T25=TRUE,'Oct 2026'!T25="x",'Oct 2026'!T25="X"),1,0))</f>
        <v/>
      </c>
      <c r="U19" s="345">
        <f>IF($A19="","",IF(OR('Oct 2026'!T26=TRUE,'Oct 2026'!T26="x",'Oct 2026'!T26="X"),1,0))</f>
        <v/>
      </c>
      <c r="V19" s="345">
        <f>IF($A19="","",IF(OR('Oct 2026'!T27=TRUE,'Oct 2026'!T27="x",'Oct 2026'!T27="X"),1,0))</f>
        <v/>
      </c>
      <c r="W19" s="345">
        <f>IF($A19="","",IF(OR('Oct 2026'!T28=TRUE,'Oct 2026'!T28="x",'Oct 2026'!T28="X"),1,0))</f>
        <v/>
      </c>
      <c r="X19" s="345">
        <f>IF($A19="","",IF(OR('Oct 2026'!T29=TRUE,'Oct 2026'!T29="x",'Oct 2026'!T29="X"),1,0))</f>
        <v/>
      </c>
      <c r="Y19" s="345">
        <f>IF($A19="","",IF(OR('Oct 2026'!T30=TRUE,'Oct 2026'!T30="x",'Oct 2026'!T30="X"),1,0))</f>
        <v/>
      </c>
      <c r="Z19" s="345">
        <f>IF($A19="","",IF(OR('Oct 2026'!T31=TRUE,'Oct 2026'!T31="x",'Oct 2026'!T31="X"),1,0))</f>
        <v/>
      </c>
      <c r="AA19" s="345">
        <f>IF($A19="","",IF(OR('Oct 2026'!T32=TRUE,'Oct 2026'!T32="x",'Oct 2026'!T32="X"),1,0))</f>
        <v/>
      </c>
      <c r="AB19" s="345">
        <f>IF($A19="","",IF(OR('Oct 2026'!T34=TRUE,'Oct 2026'!T34="x",'Oct 2026'!T34="X"),1,0))</f>
        <v/>
      </c>
      <c r="AC19" s="345">
        <f>IF($A19="","",IF(OR('Oct 2026'!T35=TRUE,'Oct 2026'!T35="x",'Oct 2026'!T35="X"),1,0))</f>
        <v/>
      </c>
      <c r="AD19" s="345">
        <f>IF($A19="","",IF(OR('Oct 2026'!T36=TRUE,'Oct 2026'!T36="x",'Oct 2026'!T36="X"),1,0))</f>
        <v/>
      </c>
      <c r="AE19" s="345">
        <f>IF($A19="","",IF(OR('Oct 2026'!T37=TRUE,'Oct 2026'!T37="x",'Oct 2026'!T37="X"),1,0))</f>
        <v/>
      </c>
      <c r="AF19" s="345">
        <f>IF($A19="","",IF('Oct 2026'!T59="","",'Oct 2026'!T59))</f>
        <v/>
      </c>
      <c r="AG19" s="345">
        <f>IF($A19="","",IF('Oct 2026'!T60="","",'Oct 2026'!T60))</f>
        <v/>
      </c>
      <c r="AH19" s="345">
        <f>IF($A19="","",IF('Oct 2026'!T61="","",'Oct 2026'!T61))</f>
        <v/>
      </c>
      <c r="AI19" s="345">
        <f>IF($A19="","",IF('Oct 2026'!T62="","",'Oct 2026'!T62))</f>
        <v/>
      </c>
      <c r="AJ19" s="345">
        <f>IF($A19="","",IF('Oct 2026'!T63="","",'Oct 2026'!T63))</f>
        <v/>
      </c>
      <c r="AK19" s="345">
        <f>IF($A19="","",IF('Oct 2026'!T64="","",'Oct 2026'!T64))</f>
        <v/>
      </c>
      <c r="AL19" s="345">
        <f>IF($A19="","",IF('Oct 2026'!T65="","",'Oct 2026'!T65))</f>
        <v/>
      </c>
      <c r="AM19" s="345">
        <f>IF($A19="","",IF('Oct 2026'!T66="","",'Oct 2026'!T66))</f>
        <v/>
      </c>
      <c r="AN19" s="345">
        <f>IF($A19="","",IF('Oct 2026'!T67="","",'Oct 2026'!T67))</f>
        <v/>
      </c>
      <c r="AO19" s="345">
        <f>IF($A19="",0,IF(AND($A19&gt;=TrackStart,$A19&lt;=TODAY()),1,0))</f>
        <v/>
      </c>
      <c r="AP19" s="345">
        <f>IF($A19="",0,IF(SUM(F19:AE19)+COUNT(AF19:AN19)&gt;0,1,0))</f>
        <v/>
      </c>
      <c r="AQ19" s="345">
        <f>IF($A19="","",INT(($A19-TrackStart)/7)+1)</f>
        <v/>
      </c>
      <c r="AR19" s="345">
        <f>IF($A19="","",IF(AQ19&lt;=1,Steps1,IF(AQ19=2,Steps2,Steps3)))</f>
        <v/>
      </c>
      <c r="AS19" s="345">
        <f>IF($A19="",0,IF(ISNUMBER(SEARCH(TEXT(D19,"0"),WorkDays&amp;"")),1,0))</f>
        <v/>
      </c>
      <c r="AT19" s="345">
        <f>IF($A19="",0,IF(ISNUMBER(SEARCH(TEXT(D19,"0"),StrDays&amp;"")),1,0))</f>
        <v/>
      </c>
      <c r="AU19" s="345">
        <f>IF($A19="",0,IF(ISNUMBER(AK19),IF(AK19&gt;=SleepMin,1,0),N19))</f>
        <v/>
      </c>
      <c r="AV19" s="345">
        <f>IF($A19="",0,MAX(I19,O19,S19,AC19))</f>
        <v/>
      </c>
      <c r="AW19" s="345">
        <f>IF($A19="",0,IF(ISNUMBER(AH19),IF(AH19&gt;=ProtHit,1,0),0))</f>
        <v/>
      </c>
      <c r="AX19" s="345">
        <f>IF($A19="",0,IF(ISNUMBER(AI19),IF(AI19&gt;=WaterHit,1,0),0))</f>
        <v/>
      </c>
      <c r="AY19" s="345">
        <f>IF($A19="",0,IF(ISNUMBER(AG19),IF(AG19&gt;=AR19,1,0),0))</f>
        <v/>
      </c>
      <c r="AZ19" s="345">
        <f>IF($A19="",0,G19)</f>
        <v/>
      </c>
      <c r="BA19" s="345">
        <f>IF($A19="",0,J19)</f>
        <v/>
      </c>
      <c r="BB19" s="345">
        <f>IF($A19="",0,K19)</f>
        <v/>
      </c>
      <c r="BC19" s="345">
        <f>IF($A19="",0,MAX(L19,AE19))</f>
        <v/>
      </c>
      <c r="BD19" s="344">
        <f>IF($A19="","",(AU19+AV19+AW19+AX19+AY19+AZ19+BB19+BC19+IF(AS19=1,BA19,0))/(8+AS19))</f>
        <v/>
      </c>
      <c r="BE19" s="344">
        <f>IF($A19="","",(IF(ISNUMBER(AI19),IF(AI19&gt;=WaterMVD,1,0),0)+AV19+IF(ISNUMBER(AH19),IF(AH19&gt;=ProtMVD,1,0),0)+MAX(H19,AD19)+AZ19+BB19+AU19)/7)</f>
        <v/>
      </c>
      <c r="BF19" s="344">
        <f>IF(AO19=0,"",IF(E19="S","",IF(AND(AP19=0,$A19=TODAY()),"",IF(E19="M",BE19,BD19))))</f>
        <v/>
      </c>
      <c r="BG19" s="344">
        <f>IF(AO19=0,"",IFERROR(AVERAGEIFS(Data!$BF$4:$BF$375,Data!$A$4:$A$375,"&gt;"&amp;($A19-7),Data!$A$4:$A$375,"&lt;="&amp;$A19),""))</f>
        <v/>
      </c>
      <c r="BH19" s="344">
        <f>IF(AO19=0,"",IFERROR(AVERAGEIFS(Data!$BF$4:$BF$375,Data!$A$4:$A$375,"&gt;"&amp;($A19-30),Data!$A$4:$A$375,"&lt;="&amp;$A19),""))</f>
        <v/>
      </c>
      <c r="BI19" s="359">
        <f>IF($A19="","",IFERROR(AVERAGEIFS(Data!$AF$4:$AF$375,Data!$A$4:$A$375,"&gt;"&amp;($A19-7),Data!$A$4:$A$375,"&lt;="&amp;$A19,Data!$AF$4:$AF$375,"&gt;0"),""))</f>
        <v/>
      </c>
      <c r="BJ19" s="345">
        <f>IF($A19="","",F19+G19+H19+I19+J19+K19+L19+M19+N19-IF(AS19=1,0,J19))</f>
        <v/>
      </c>
      <c r="BK19" s="345">
        <f>IF($A19="","",8+AS19)</f>
        <v/>
      </c>
      <c r="BL19" s="345">
        <f>IF(ISNUMBER(BF19),BF19,NA())</f>
        <v/>
      </c>
      <c r="BM19" s="345">
        <f>IF(ISNUMBER(AF19),AF19,NA())</f>
        <v/>
      </c>
      <c r="BN19" s="345">
        <f>IF(ISNUMBER(BI19),BI19,NA())</f>
        <v/>
      </c>
      <c r="BO19" s="345">
        <f>IF(ISNUMBER(AL19),AL19,NA())</f>
        <v/>
      </c>
      <c r="BP19" s="345">
        <f>IF(ISNUMBER(AM19),AM19,NA())</f>
        <v/>
      </c>
      <c r="BQ19" s="345">
        <f>IF(ISNUMBER(AN19),AN19,NA())</f>
        <v/>
      </c>
    </row>
    <row r="20">
      <c r="A20" s="358">
        <f>IF('Oct 2026'!U7="","",'Oct 2026'!U7)</f>
        <v/>
      </c>
      <c r="B20" s="345" t="n">
        <v>1</v>
      </c>
      <c r="C20" s="345">
        <f>IF($A20="","",17)</f>
        <v/>
      </c>
      <c r="D20" s="345">
        <f>IF($A20="","",WEEKDAY($A20,2))</f>
        <v/>
      </c>
      <c r="E20" s="345">
        <f>IF($A20="","",UPPER(TRIM('Oct 2026'!U8)))</f>
        <v/>
      </c>
      <c r="F20" s="345">
        <f>IF($A20="","",IF(OR('Oct 2026'!U10=TRUE,'Oct 2026'!U10="x",'Oct 2026'!U10="X"),1,0))</f>
        <v/>
      </c>
      <c r="G20" s="345">
        <f>IF($A20="","",IF(OR('Oct 2026'!U11=TRUE,'Oct 2026'!U11="x",'Oct 2026'!U11="X"),1,0))</f>
        <v/>
      </c>
      <c r="H20" s="345">
        <f>IF($A20="","",IF(OR('Oct 2026'!U12=TRUE,'Oct 2026'!U12="x",'Oct 2026'!U12="X"),1,0))</f>
        <v/>
      </c>
      <c r="I20" s="345">
        <f>IF($A20="","",IF(OR('Oct 2026'!U13=TRUE,'Oct 2026'!U13="x",'Oct 2026'!U13="X"),1,0))</f>
        <v/>
      </c>
      <c r="J20" s="345">
        <f>IF($A20="","",IF(OR('Oct 2026'!U14=TRUE,'Oct 2026'!U14="x",'Oct 2026'!U14="X"),1,0))</f>
        <v/>
      </c>
      <c r="K20" s="345">
        <f>IF($A20="","",IF(OR('Oct 2026'!U15=TRUE,'Oct 2026'!U15="x",'Oct 2026'!U15="X"),1,0))</f>
        <v/>
      </c>
      <c r="L20" s="345">
        <f>IF($A20="","",IF(OR('Oct 2026'!U16=TRUE,'Oct 2026'!U16="x",'Oct 2026'!U16="X"),1,0))</f>
        <v/>
      </c>
      <c r="M20" s="345">
        <f>IF($A20="","",IF(OR('Oct 2026'!U17=TRUE,'Oct 2026'!U17="x",'Oct 2026'!U17="X"),1,0))</f>
        <v/>
      </c>
      <c r="N20" s="345">
        <f>IF($A20="","",IF(OR('Oct 2026'!U18=TRUE,'Oct 2026'!U18="x",'Oct 2026'!U18="X"),1,0))</f>
        <v/>
      </c>
      <c r="O20" s="345">
        <f>IF($A20="","",IF(OR('Oct 2026'!U20=TRUE,'Oct 2026'!U20="x",'Oct 2026'!U20="X"),1,0))</f>
        <v/>
      </c>
      <c r="P20" s="345">
        <f>IF($A20="","",IF(OR('Oct 2026'!U21=TRUE,'Oct 2026'!U21="x",'Oct 2026'!U21="X"),1,0))</f>
        <v/>
      </c>
      <c r="Q20" s="345">
        <f>IF($A20="","",IF(OR('Oct 2026'!U22=TRUE,'Oct 2026'!U22="x",'Oct 2026'!U22="X"),1,0))</f>
        <v/>
      </c>
      <c r="R20" s="345">
        <f>IF($A20="","",IF(OR('Oct 2026'!U23=TRUE,'Oct 2026'!U23="x",'Oct 2026'!U23="X"),1,0))</f>
        <v/>
      </c>
      <c r="S20" s="345">
        <f>IF($A20="","",IF(OR('Oct 2026'!U24=TRUE,'Oct 2026'!U24="x",'Oct 2026'!U24="X"),1,0))</f>
        <v/>
      </c>
      <c r="T20" s="345">
        <f>IF($A20="","",IF(OR('Oct 2026'!U25=TRUE,'Oct 2026'!U25="x",'Oct 2026'!U25="X"),1,0))</f>
        <v/>
      </c>
      <c r="U20" s="345">
        <f>IF($A20="","",IF(OR('Oct 2026'!U26=TRUE,'Oct 2026'!U26="x",'Oct 2026'!U26="X"),1,0))</f>
        <v/>
      </c>
      <c r="V20" s="345">
        <f>IF($A20="","",IF(OR('Oct 2026'!U27=TRUE,'Oct 2026'!U27="x",'Oct 2026'!U27="X"),1,0))</f>
        <v/>
      </c>
      <c r="W20" s="345">
        <f>IF($A20="","",IF(OR('Oct 2026'!U28=TRUE,'Oct 2026'!U28="x",'Oct 2026'!U28="X"),1,0))</f>
        <v/>
      </c>
      <c r="X20" s="345">
        <f>IF($A20="","",IF(OR('Oct 2026'!U29=TRUE,'Oct 2026'!U29="x",'Oct 2026'!U29="X"),1,0))</f>
        <v/>
      </c>
      <c r="Y20" s="345">
        <f>IF($A20="","",IF(OR('Oct 2026'!U30=TRUE,'Oct 2026'!U30="x",'Oct 2026'!U30="X"),1,0))</f>
        <v/>
      </c>
      <c r="Z20" s="345">
        <f>IF($A20="","",IF(OR('Oct 2026'!U31=TRUE,'Oct 2026'!U31="x",'Oct 2026'!U31="X"),1,0))</f>
        <v/>
      </c>
      <c r="AA20" s="345">
        <f>IF($A20="","",IF(OR('Oct 2026'!U32=TRUE,'Oct 2026'!U32="x",'Oct 2026'!U32="X"),1,0))</f>
        <v/>
      </c>
      <c r="AB20" s="345">
        <f>IF($A20="","",IF(OR('Oct 2026'!U34=TRUE,'Oct 2026'!U34="x",'Oct 2026'!U34="X"),1,0))</f>
        <v/>
      </c>
      <c r="AC20" s="345">
        <f>IF($A20="","",IF(OR('Oct 2026'!U35=TRUE,'Oct 2026'!U35="x",'Oct 2026'!U35="X"),1,0))</f>
        <v/>
      </c>
      <c r="AD20" s="345">
        <f>IF($A20="","",IF(OR('Oct 2026'!U36=TRUE,'Oct 2026'!U36="x",'Oct 2026'!U36="X"),1,0))</f>
        <v/>
      </c>
      <c r="AE20" s="345">
        <f>IF($A20="","",IF(OR('Oct 2026'!U37=TRUE,'Oct 2026'!U37="x",'Oct 2026'!U37="X"),1,0))</f>
        <v/>
      </c>
      <c r="AF20" s="345">
        <f>IF($A20="","",IF('Oct 2026'!U59="","",'Oct 2026'!U59))</f>
        <v/>
      </c>
      <c r="AG20" s="345">
        <f>IF($A20="","",IF('Oct 2026'!U60="","",'Oct 2026'!U60))</f>
        <v/>
      </c>
      <c r="AH20" s="345">
        <f>IF($A20="","",IF('Oct 2026'!U61="","",'Oct 2026'!U61))</f>
        <v/>
      </c>
      <c r="AI20" s="345">
        <f>IF($A20="","",IF('Oct 2026'!U62="","",'Oct 2026'!U62))</f>
        <v/>
      </c>
      <c r="AJ20" s="345">
        <f>IF($A20="","",IF('Oct 2026'!U63="","",'Oct 2026'!U63))</f>
        <v/>
      </c>
      <c r="AK20" s="345">
        <f>IF($A20="","",IF('Oct 2026'!U64="","",'Oct 2026'!U64))</f>
        <v/>
      </c>
      <c r="AL20" s="345">
        <f>IF($A20="","",IF('Oct 2026'!U65="","",'Oct 2026'!U65))</f>
        <v/>
      </c>
      <c r="AM20" s="345">
        <f>IF($A20="","",IF('Oct 2026'!U66="","",'Oct 2026'!U66))</f>
        <v/>
      </c>
      <c r="AN20" s="345">
        <f>IF($A20="","",IF('Oct 2026'!U67="","",'Oct 2026'!U67))</f>
        <v/>
      </c>
      <c r="AO20" s="345">
        <f>IF($A20="",0,IF(AND($A20&gt;=TrackStart,$A20&lt;=TODAY()),1,0))</f>
        <v/>
      </c>
      <c r="AP20" s="345">
        <f>IF($A20="",0,IF(SUM(F20:AE20)+COUNT(AF20:AN20)&gt;0,1,0))</f>
        <v/>
      </c>
      <c r="AQ20" s="345">
        <f>IF($A20="","",INT(($A20-TrackStart)/7)+1)</f>
        <v/>
      </c>
      <c r="AR20" s="345">
        <f>IF($A20="","",IF(AQ20&lt;=1,Steps1,IF(AQ20=2,Steps2,Steps3)))</f>
        <v/>
      </c>
      <c r="AS20" s="345">
        <f>IF($A20="",0,IF(ISNUMBER(SEARCH(TEXT(D20,"0"),WorkDays&amp;"")),1,0))</f>
        <v/>
      </c>
      <c r="AT20" s="345">
        <f>IF($A20="",0,IF(ISNUMBER(SEARCH(TEXT(D20,"0"),StrDays&amp;"")),1,0))</f>
        <v/>
      </c>
      <c r="AU20" s="345">
        <f>IF($A20="",0,IF(ISNUMBER(AK20),IF(AK20&gt;=SleepMin,1,0),N20))</f>
        <v/>
      </c>
      <c r="AV20" s="345">
        <f>IF($A20="",0,MAX(I20,O20,S20,AC20))</f>
        <v/>
      </c>
      <c r="AW20" s="345">
        <f>IF($A20="",0,IF(ISNUMBER(AH20),IF(AH20&gt;=ProtHit,1,0),0))</f>
        <v/>
      </c>
      <c r="AX20" s="345">
        <f>IF($A20="",0,IF(ISNUMBER(AI20),IF(AI20&gt;=WaterHit,1,0),0))</f>
        <v/>
      </c>
      <c r="AY20" s="345">
        <f>IF($A20="",0,IF(ISNUMBER(AG20),IF(AG20&gt;=AR20,1,0),0))</f>
        <v/>
      </c>
      <c r="AZ20" s="345">
        <f>IF($A20="",0,G20)</f>
        <v/>
      </c>
      <c r="BA20" s="345">
        <f>IF($A20="",0,J20)</f>
        <v/>
      </c>
      <c r="BB20" s="345">
        <f>IF($A20="",0,K20)</f>
        <v/>
      </c>
      <c r="BC20" s="345">
        <f>IF($A20="",0,MAX(L20,AE20))</f>
        <v/>
      </c>
      <c r="BD20" s="344">
        <f>IF($A20="","",(AU20+AV20+AW20+AX20+AY20+AZ20+BB20+BC20+IF(AS20=1,BA20,0))/(8+AS20))</f>
        <v/>
      </c>
      <c r="BE20" s="344">
        <f>IF($A20="","",(IF(ISNUMBER(AI20),IF(AI20&gt;=WaterMVD,1,0),0)+AV20+IF(ISNUMBER(AH20),IF(AH20&gt;=ProtMVD,1,0),0)+MAX(H20,AD20)+AZ20+BB20+AU20)/7)</f>
        <v/>
      </c>
      <c r="BF20" s="344">
        <f>IF(AO20=0,"",IF(E20="S","",IF(AND(AP20=0,$A20=TODAY()),"",IF(E20="M",BE20,BD20))))</f>
        <v/>
      </c>
      <c r="BG20" s="344">
        <f>IF(AO20=0,"",IFERROR(AVERAGEIFS(Data!$BF$4:$BF$375,Data!$A$4:$A$375,"&gt;"&amp;($A20-7),Data!$A$4:$A$375,"&lt;="&amp;$A20),""))</f>
        <v/>
      </c>
      <c r="BH20" s="344">
        <f>IF(AO20=0,"",IFERROR(AVERAGEIFS(Data!$BF$4:$BF$375,Data!$A$4:$A$375,"&gt;"&amp;($A20-30),Data!$A$4:$A$375,"&lt;="&amp;$A20),""))</f>
        <v/>
      </c>
      <c r="BI20" s="359">
        <f>IF($A20="","",IFERROR(AVERAGEIFS(Data!$AF$4:$AF$375,Data!$A$4:$A$375,"&gt;"&amp;($A20-7),Data!$A$4:$A$375,"&lt;="&amp;$A20,Data!$AF$4:$AF$375,"&gt;0"),""))</f>
        <v/>
      </c>
      <c r="BJ20" s="345">
        <f>IF($A20="","",F20+G20+H20+I20+J20+K20+L20+M20+N20-IF(AS20=1,0,J20))</f>
        <v/>
      </c>
      <c r="BK20" s="345">
        <f>IF($A20="","",8+AS20)</f>
        <v/>
      </c>
      <c r="BL20" s="345">
        <f>IF(ISNUMBER(BF20),BF20,NA())</f>
        <v/>
      </c>
      <c r="BM20" s="345">
        <f>IF(ISNUMBER(AF20),AF20,NA())</f>
        <v/>
      </c>
      <c r="BN20" s="345">
        <f>IF(ISNUMBER(BI20),BI20,NA())</f>
        <v/>
      </c>
      <c r="BO20" s="345">
        <f>IF(ISNUMBER(AL20),AL20,NA())</f>
        <v/>
      </c>
      <c r="BP20" s="345">
        <f>IF(ISNUMBER(AM20),AM20,NA())</f>
        <v/>
      </c>
      <c r="BQ20" s="345">
        <f>IF(ISNUMBER(AN20),AN20,NA())</f>
        <v/>
      </c>
    </row>
    <row r="21">
      <c r="A21" s="358">
        <f>IF('Oct 2026'!V7="","",'Oct 2026'!V7)</f>
        <v/>
      </c>
      <c r="B21" s="345" t="n">
        <v>1</v>
      </c>
      <c r="C21" s="345">
        <f>IF($A21="","",18)</f>
        <v/>
      </c>
      <c r="D21" s="345">
        <f>IF($A21="","",WEEKDAY($A21,2))</f>
        <v/>
      </c>
      <c r="E21" s="345">
        <f>IF($A21="","",UPPER(TRIM('Oct 2026'!V8)))</f>
        <v/>
      </c>
      <c r="F21" s="345">
        <f>IF($A21="","",IF(OR('Oct 2026'!V10=TRUE,'Oct 2026'!V10="x",'Oct 2026'!V10="X"),1,0))</f>
        <v/>
      </c>
      <c r="G21" s="345">
        <f>IF($A21="","",IF(OR('Oct 2026'!V11=TRUE,'Oct 2026'!V11="x",'Oct 2026'!V11="X"),1,0))</f>
        <v/>
      </c>
      <c r="H21" s="345">
        <f>IF($A21="","",IF(OR('Oct 2026'!V12=TRUE,'Oct 2026'!V12="x",'Oct 2026'!V12="X"),1,0))</f>
        <v/>
      </c>
      <c r="I21" s="345">
        <f>IF($A21="","",IF(OR('Oct 2026'!V13=TRUE,'Oct 2026'!V13="x",'Oct 2026'!V13="X"),1,0))</f>
        <v/>
      </c>
      <c r="J21" s="345">
        <f>IF($A21="","",IF(OR('Oct 2026'!V14=TRUE,'Oct 2026'!V14="x",'Oct 2026'!V14="X"),1,0))</f>
        <v/>
      </c>
      <c r="K21" s="345">
        <f>IF($A21="","",IF(OR('Oct 2026'!V15=TRUE,'Oct 2026'!V15="x",'Oct 2026'!V15="X"),1,0))</f>
        <v/>
      </c>
      <c r="L21" s="345">
        <f>IF($A21="","",IF(OR('Oct 2026'!V16=TRUE,'Oct 2026'!V16="x",'Oct 2026'!V16="X"),1,0))</f>
        <v/>
      </c>
      <c r="M21" s="345">
        <f>IF($A21="","",IF(OR('Oct 2026'!V17=TRUE,'Oct 2026'!V17="x",'Oct 2026'!V17="X"),1,0))</f>
        <v/>
      </c>
      <c r="N21" s="345">
        <f>IF($A21="","",IF(OR('Oct 2026'!V18=TRUE,'Oct 2026'!V18="x",'Oct 2026'!V18="X"),1,0))</f>
        <v/>
      </c>
      <c r="O21" s="345">
        <f>IF($A21="","",IF(OR('Oct 2026'!V20=TRUE,'Oct 2026'!V20="x",'Oct 2026'!V20="X"),1,0))</f>
        <v/>
      </c>
      <c r="P21" s="345">
        <f>IF($A21="","",IF(OR('Oct 2026'!V21=TRUE,'Oct 2026'!V21="x",'Oct 2026'!V21="X"),1,0))</f>
        <v/>
      </c>
      <c r="Q21" s="345">
        <f>IF($A21="","",IF(OR('Oct 2026'!V22=TRUE,'Oct 2026'!V22="x",'Oct 2026'!V22="X"),1,0))</f>
        <v/>
      </c>
      <c r="R21" s="345">
        <f>IF($A21="","",IF(OR('Oct 2026'!V23=TRUE,'Oct 2026'!V23="x",'Oct 2026'!V23="X"),1,0))</f>
        <v/>
      </c>
      <c r="S21" s="345">
        <f>IF($A21="","",IF(OR('Oct 2026'!V24=TRUE,'Oct 2026'!V24="x",'Oct 2026'!V24="X"),1,0))</f>
        <v/>
      </c>
      <c r="T21" s="345">
        <f>IF($A21="","",IF(OR('Oct 2026'!V25=TRUE,'Oct 2026'!V25="x",'Oct 2026'!V25="X"),1,0))</f>
        <v/>
      </c>
      <c r="U21" s="345">
        <f>IF($A21="","",IF(OR('Oct 2026'!V26=TRUE,'Oct 2026'!V26="x",'Oct 2026'!V26="X"),1,0))</f>
        <v/>
      </c>
      <c r="V21" s="345">
        <f>IF($A21="","",IF(OR('Oct 2026'!V27=TRUE,'Oct 2026'!V27="x",'Oct 2026'!V27="X"),1,0))</f>
        <v/>
      </c>
      <c r="W21" s="345">
        <f>IF($A21="","",IF(OR('Oct 2026'!V28=TRUE,'Oct 2026'!V28="x",'Oct 2026'!V28="X"),1,0))</f>
        <v/>
      </c>
      <c r="X21" s="345">
        <f>IF($A21="","",IF(OR('Oct 2026'!V29=TRUE,'Oct 2026'!V29="x",'Oct 2026'!V29="X"),1,0))</f>
        <v/>
      </c>
      <c r="Y21" s="345">
        <f>IF($A21="","",IF(OR('Oct 2026'!V30=TRUE,'Oct 2026'!V30="x",'Oct 2026'!V30="X"),1,0))</f>
        <v/>
      </c>
      <c r="Z21" s="345">
        <f>IF($A21="","",IF(OR('Oct 2026'!V31=TRUE,'Oct 2026'!V31="x",'Oct 2026'!V31="X"),1,0))</f>
        <v/>
      </c>
      <c r="AA21" s="345">
        <f>IF($A21="","",IF(OR('Oct 2026'!V32=TRUE,'Oct 2026'!V32="x",'Oct 2026'!V32="X"),1,0))</f>
        <v/>
      </c>
      <c r="AB21" s="345">
        <f>IF($A21="","",IF(OR('Oct 2026'!V34=TRUE,'Oct 2026'!V34="x",'Oct 2026'!V34="X"),1,0))</f>
        <v/>
      </c>
      <c r="AC21" s="345">
        <f>IF($A21="","",IF(OR('Oct 2026'!V35=TRUE,'Oct 2026'!V35="x",'Oct 2026'!V35="X"),1,0))</f>
        <v/>
      </c>
      <c r="AD21" s="345">
        <f>IF($A21="","",IF(OR('Oct 2026'!V36=TRUE,'Oct 2026'!V36="x",'Oct 2026'!V36="X"),1,0))</f>
        <v/>
      </c>
      <c r="AE21" s="345">
        <f>IF($A21="","",IF(OR('Oct 2026'!V37=TRUE,'Oct 2026'!V37="x",'Oct 2026'!V37="X"),1,0))</f>
        <v/>
      </c>
      <c r="AF21" s="345">
        <f>IF($A21="","",IF('Oct 2026'!V59="","",'Oct 2026'!V59))</f>
        <v/>
      </c>
      <c r="AG21" s="345">
        <f>IF($A21="","",IF('Oct 2026'!V60="","",'Oct 2026'!V60))</f>
        <v/>
      </c>
      <c r="AH21" s="345">
        <f>IF($A21="","",IF('Oct 2026'!V61="","",'Oct 2026'!V61))</f>
        <v/>
      </c>
      <c r="AI21" s="345">
        <f>IF($A21="","",IF('Oct 2026'!V62="","",'Oct 2026'!V62))</f>
        <v/>
      </c>
      <c r="AJ21" s="345">
        <f>IF($A21="","",IF('Oct 2026'!V63="","",'Oct 2026'!V63))</f>
        <v/>
      </c>
      <c r="AK21" s="345">
        <f>IF($A21="","",IF('Oct 2026'!V64="","",'Oct 2026'!V64))</f>
        <v/>
      </c>
      <c r="AL21" s="345">
        <f>IF($A21="","",IF('Oct 2026'!V65="","",'Oct 2026'!V65))</f>
        <v/>
      </c>
      <c r="AM21" s="345">
        <f>IF($A21="","",IF('Oct 2026'!V66="","",'Oct 2026'!V66))</f>
        <v/>
      </c>
      <c r="AN21" s="345">
        <f>IF($A21="","",IF('Oct 2026'!V67="","",'Oct 2026'!V67))</f>
        <v/>
      </c>
      <c r="AO21" s="345">
        <f>IF($A21="",0,IF(AND($A21&gt;=TrackStart,$A21&lt;=TODAY()),1,0))</f>
        <v/>
      </c>
      <c r="AP21" s="345">
        <f>IF($A21="",0,IF(SUM(F21:AE21)+COUNT(AF21:AN21)&gt;0,1,0))</f>
        <v/>
      </c>
      <c r="AQ21" s="345">
        <f>IF($A21="","",INT(($A21-TrackStart)/7)+1)</f>
        <v/>
      </c>
      <c r="AR21" s="345">
        <f>IF($A21="","",IF(AQ21&lt;=1,Steps1,IF(AQ21=2,Steps2,Steps3)))</f>
        <v/>
      </c>
      <c r="AS21" s="345">
        <f>IF($A21="",0,IF(ISNUMBER(SEARCH(TEXT(D21,"0"),WorkDays&amp;"")),1,0))</f>
        <v/>
      </c>
      <c r="AT21" s="345">
        <f>IF($A21="",0,IF(ISNUMBER(SEARCH(TEXT(D21,"0"),StrDays&amp;"")),1,0))</f>
        <v/>
      </c>
      <c r="AU21" s="345">
        <f>IF($A21="",0,IF(ISNUMBER(AK21),IF(AK21&gt;=SleepMin,1,0),N21))</f>
        <v/>
      </c>
      <c r="AV21" s="345">
        <f>IF($A21="",0,MAX(I21,O21,S21,AC21))</f>
        <v/>
      </c>
      <c r="AW21" s="345">
        <f>IF($A21="",0,IF(ISNUMBER(AH21),IF(AH21&gt;=ProtHit,1,0),0))</f>
        <v/>
      </c>
      <c r="AX21" s="345">
        <f>IF($A21="",0,IF(ISNUMBER(AI21),IF(AI21&gt;=WaterHit,1,0),0))</f>
        <v/>
      </c>
      <c r="AY21" s="345">
        <f>IF($A21="",0,IF(ISNUMBER(AG21),IF(AG21&gt;=AR21,1,0),0))</f>
        <v/>
      </c>
      <c r="AZ21" s="345">
        <f>IF($A21="",0,G21)</f>
        <v/>
      </c>
      <c r="BA21" s="345">
        <f>IF($A21="",0,J21)</f>
        <v/>
      </c>
      <c r="BB21" s="345">
        <f>IF($A21="",0,K21)</f>
        <v/>
      </c>
      <c r="BC21" s="345">
        <f>IF($A21="",0,MAX(L21,AE21))</f>
        <v/>
      </c>
      <c r="BD21" s="344">
        <f>IF($A21="","",(AU21+AV21+AW21+AX21+AY21+AZ21+BB21+BC21+IF(AS21=1,BA21,0))/(8+AS21))</f>
        <v/>
      </c>
      <c r="BE21" s="344">
        <f>IF($A21="","",(IF(ISNUMBER(AI21),IF(AI21&gt;=WaterMVD,1,0),0)+AV21+IF(ISNUMBER(AH21),IF(AH21&gt;=ProtMVD,1,0),0)+MAX(H21,AD21)+AZ21+BB21+AU21)/7)</f>
        <v/>
      </c>
      <c r="BF21" s="344">
        <f>IF(AO21=0,"",IF(E21="S","",IF(AND(AP21=0,$A21=TODAY()),"",IF(E21="M",BE21,BD21))))</f>
        <v/>
      </c>
      <c r="BG21" s="344">
        <f>IF(AO21=0,"",IFERROR(AVERAGEIFS(Data!$BF$4:$BF$375,Data!$A$4:$A$375,"&gt;"&amp;($A21-7),Data!$A$4:$A$375,"&lt;="&amp;$A21),""))</f>
        <v/>
      </c>
      <c r="BH21" s="344">
        <f>IF(AO21=0,"",IFERROR(AVERAGEIFS(Data!$BF$4:$BF$375,Data!$A$4:$A$375,"&gt;"&amp;($A21-30),Data!$A$4:$A$375,"&lt;="&amp;$A21),""))</f>
        <v/>
      </c>
      <c r="BI21" s="359">
        <f>IF($A21="","",IFERROR(AVERAGEIFS(Data!$AF$4:$AF$375,Data!$A$4:$A$375,"&gt;"&amp;($A21-7),Data!$A$4:$A$375,"&lt;="&amp;$A21,Data!$AF$4:$AF$375,"&gt;0"),""))</f>
        <v/>
      </c>
      <c r="BJ21" s="345">
        <f>IF($A21="","",F21+G21+H21+I21+J21+K21+L21+M21+N21-IF(AS21=1,0,J21))</f>
        <v/>
      </c>
      <c r="BK21" s="345">
        <f>IF($A21="","",8+AS21)</f>
        <v/>
      </c>
      <c r="BL21" s="345">
        <f>IF(ISNUMBER(BF21),BF21,NA())</f>
        <v/>
      </c>
      <c r="BM21" s="345">
        <f>IF(ISNUMBER(AF21),AF21,NA())</f>
        <v/>
      </c>
      <c r="BN21" s="345">
        <f>IF(ISNUMBER(BI21),BI21,NA())</f>
        <v/>
      </c>
      <c r="BO21" s="345">
        <f>IF(ISNUMBER(AL21),AL21,NA())</f>
        <v/>
      </c>
      <c r="BP21" s="345">
        <f>IF(ISNUMBER(AM21),AM21,NA())</f>
        <v/>
      </c>
      <c r="BQ21" s="345">
        <f>IF(ISNUMBER(AN21),AN21,NA())</f>
        <v/>
      </c>
    </row>
    <row r="22">
      <c r="A22" s="358">
        <f>IF('Oct 2026'!W7="","",'Oct 2026'!W7)</f>
        <v/>
      </c>
      <c r="B22" s="345" t="n">
        <v>1</v>
      </c>
      <c r="C22" s="345">
        <f>IF($A22="","",19)</f>
        <v/>
      </c>
      <c r="D22" s="345">
        <f>IF($A22="","",WEEKDAY($A22,2))</f>
        <v/>
      </c>
      <c r="E22" s="345">
        <f>IF($A22="","",UPPER(TRIM('Oct 2026'!W8)))</f>
        <v/>
      </c>
      <c r="F22" s="345">
        <f>IF($A22="","",IF(OR('Oct 2026'!W10=TRUE,'Oct 2026'!W10="x",'Oct 2026'!W10="X"),1,0))</f>
        <v/>
      </c>
      <c r="G22" s="345">
        <f>IF($A22="","",IF(OR('Oct 2026'!W11=TRUE,'Oct 2026'!W11="x",'Oct 2026'!W11="X"),1,0))</f>
        <v/>
      </c>
      <c r="H22" s="345">
        <f>IF($A22="","",IF(OR('Oct 2026'!W12=TRUE,'Oct 2026'!W12="x",'Oct 2026'!W12="X"),1,0))</f>
        <v/>
      </c>
      <c r="I22" s="345">
        <f>IF($A22="","",IF(OR('Oct 2026'!W13=TRUE,'Oct 2026'!W13="x",'Oct 2026'!W13="X"),1,0))</f>
        <v/>
      </c>
      <c r="J22" s="345">
        <f>IF($A22="","",IF(OR('Oct 2026'!W14=TRUE,'Oct 2026'!W14="x",'Oct 2026'!W14="X"),1,0))</f>
        <v/>
      </c>
      <c r="K22" s="345">
        <f>IF($A22="","",IF(OR('Oct 2026'!W15=TRUE,'Oct 2026'!W15="x",'Oct 2026'!W15="X"),1,0))</f>
        <v/>
      </c>
      <c r="L22" s="345">
        <f>IF($A22="","",IF(OR('Oct 2026'!W16=TRUE,'Oct 2026'!W16="x",'Oct 2026'!W16="X"),1,0))</f>
        <v/>
      </c>
      <c r="M22" s="345">
        <f>IF($A22="","",IF(OR('Oct 2026'!W17=TRUE,'Oct 2026'!W17="x",'Oct 2026'!W17="X"),1,0))</f>
        <v/>
      </c>
      <c r="N22" s="345">
        <f>IF($A22="","",IF(OR('Oct 2026'!W18=TRUE,'Oct 2026'!W18="x",'Oct 2026'!W18="X"),1,0))</f>
        <v/>
      </c>
      <c r="O22" s="345">
        <f>IF($A22="","",IF(OR('Oct 2026'!W20=TRUE,'Oct 2026'!W20="x",'Oct 2026'!W20="X"),1,0))</f>
        <v/>
      </c>
      <c r="P22" s="345">
        <f>IF($A22="","",IF(OR('Oct 2026'!W21=TRUE,'Oct 2026'!W21="x",'Oct 2026'!W21="X"),1,0))</f>
        <v/>
      </c>
      <c r="Q22" s="345">
        <f>IF($A22="","",IF(OR('Oct 2026'!W22=TRUE,'Oct 2026'!W22="x",'Oct 2026'!W22="X"),1,0))</f>
        <v/>
      </c>
      <c r="R22" s="345">
        <f>IF($A22="","",IF(OR('Oct 2026'!W23=TRUE,'Oct 2026'!W23="x",'Oct 2026'!W23="X"),1,0))</f>
        <v/>
      </c>
      <c r="S22" s="345">
        <f>IF($A22="","",IF(OR('Oct 2026'!W24=TRUE,'Oct 2026'!W24="x",'Oct 2026'!W24="X"),1,0))</f>
        <v/>
      </c>
      <c r="T22" s="345">
        <f>IF($A22="","",IF(OR('Oct 2026'!W25=TRUE,'Oct 2026'!W25="x",'Oct 2026'!W25="X"),1,0))</f>
        <v/>
      </c>
      <c r="U22" s="345">
        <f>IF($A22="","",IF(OR('Oct 2026'!W26=TRUE,'Oct 2026'!W26="x",'Oct 2026'!W26="X"),1,0))</f>
        <v/>
      </c>
      <c r="V22" s="345">
        <f>IF($A22="","",IF(OR('Oct 2026'!W27=TRUE,'Oct 2026'!W27="x",'Oct 2026'!W27="X"),1,0))</f>
        <v/>
      </c>
      <c r="W22" s="345">
        <f>IF($A22="","",IF(OR('Oct 2026'!W28=TRUE,'Oct 2026'!W28="x",'Oct 2026'!W28="X"),1,0))</f>
        <v/>
      </c>
      <c r="X22" s="345">
        <f>IF($A22="","",IF(OR('Oct 2026'!W29=TRUE,'Oct 2026'!W29="x",'Oct 2026'!W29="X"),1,0))</f>
        <v/>
      </c>
      <c r="Y22" s="345">
        <f>IF($A22="","",IF(OR('Oct 2026'!W30=TRUE,'Oct 2026'!W30="x",'Oct 2026'!W30="X"),1,0))</f>
        <v/>
      </c>
      <c r="Z22" s="345">
        <f>IF($A22="","",IF(OR('Oct 2026'!W31=TRUE,'Oct 2026'!W31="x",'Oct 2026'!W31="X"),1,0))</f>
        <v/>
      </c>
      <c r="AA22" s="345">
        <f>IF($A22="","",IF(OR('Oct 2026'!W32=TRUE,'Oct 2026'!W32="x",'Oct 2026'!W32="X"),1,0))</f>
        <v/>
      </c>
      <c r="AB22" s="345">
        <f>IF($A22="","",IF(OR('Oct 2026'!W34=TRUE,'Oct 2026'!W34="x",'Oct 2026'!W34="X"),1,0))</f>
        <v/>
      </c>
      <c r="AC22" s="345">
        <f>IF($A22="","",IF(OR('Oct 2026'!W35=TRUE,'Oct 2026'!W35="x",'Oct 2026'!W35="X"),1,0))</f>
        <v/>
      </c>
      <c r="AD22" s="345">
        <f>IF($A22="","",IF(OR('Oct 2026'!W36=TRUE,'Oct 2026'!W36="x",'Oct 2026'!W36="X"),1,0))</f>
        <v/>
      </c>
      <c r="AE22" s="345">
        <f>IF($A22="","",IF(OR('Oct 2026'!W37=TRUE,'Oct 2026'!W37="x",'Oct 2026'!W37="X"),1,0))</f>
        <v/>
      </c>
      <c r="AF22" s="345">
        <f>IF($A22="","",IF('Oct 2026'!W59="","",'Oct 2026'!W59))</f>
        <v/>
      </c>
      <c r="AG22" s="345">
        <f>IF($A22="","",IF('Oct 2026'!W60="","",'Oct 2026'!W60))</f>
        <v/>
      </c>
      <c r="AH22" s="345">
        <f>IF($A22="","",IF('Oct 2026'!W61="","",'Oct 2026'!W61))</f>
        <v/>
      </c>
      <c r="AI22" s="345">
        <f>IF($A22="","",IF('Oct 2026'!W62="","",'Oct 2026'!W62))</f>
        <v/>
      </c>
      <c r="AJ22" s="345">
        <f>IF($A22="","",IF('Oct 2026'!W63="","",'Oct 2026'!W63))</f>
        <v/>
      </c>
      <c r="AK22" s="345">
        <f>IF($A22="","",IF('Oct 2026'!W64="","",'Oct 2026'!W64))</f>
        <v/>
      </c>
      <c r="AL22" s="345">
        <f>IF($A22="","",IF('Oct 2026'!W65="","",'Oct 2026'!W65))</f>
        <v/>
      </c>
      <c r="AM22" s="345">
        <f>IF($A22="","",IF('Oct 2026'!W66="","",'Oct 2026'!W66))</f>
        <v/>
      </c>
      <c r="AN22" s="345">
        <f>IF($A22="","",IF('Oct 2026'!W67="","",'Oct 2026'!W67))</f>
        <v/>
      </c>
      <c r="AO22" s="345">
        <f>IF($A22="",0,IF(AND($A22&gt;=TrackStart,$A22&lt;=TODAY()),1,0))</f>
        <v/>
      </c>
      <c r="AP22" s="345">
        <f>IF($A22="",0,IF(SUM(F22:AE22)+COUNT(AF22:AN22)&gt;0,1,0))</f>
        <v/>
      </c>
      <c r="AQ22" s="345">
        <f>IF($A22="","",INT(($A22-TrackStart)/7)+1)</f>
        <v/>
      </c>
      <c r="AR22" s="345">
        <f>IF($A22="","",IF(AQ22&lt;=1,Steps1,IF(AQ22=2,Steps2,Steps3)))</f>
        <v/>
      </c>
      <c r="AS22" s="345">
        <f>IF($A22="",0,IF(ISNUMBER(SEARCH(TEXT(D22,"0"),WorkDays&amp;"")),1,0))</f>
        <v/>
      </c>
      <c r="AT22" s="345">
        <f>IF($A22="",0,IF(ISNUMBER(SEARCH(TEXT(D22,"0"),StrDays&amp;"")),1,0))</f>
        <v/>
      </c>
      <c r="AU22" s="345">
        <f>IF($A22="",0,IF(ISNUMBER(AK22),IF(AK22&gt;=SleepMin,1,0),N22))</f>
        <v/>
      </c>
      <c r="AV22" s="345">
        <f>IF($A22="",0,MAX(I22,O22,S22,AC22))</f>
        <v/>
      </c>
      <c r="AW22" s="345">
        <f>IF($A22="",0,IF(ISNUMBER(AH22),IF(AH22&gt;=ProtHit,1,0),0))</f>
        <v/>
      </c>
      <c r="AX22" s="345">
        <f>IF($A22="",0,IF(ISNUMBER(AI22),IF(AI22&gt;=WaterHit,1,0),0))</f>
        <v/>
      </c>
      <c r="AY22" s="345">
        <f>IF($A22="",0,IF(ISNUMBER(AG22),IF(AG22&gt;=AR22,1,0),0))</f>
        <v/>
      </c>
      <c r="AZ22" s="345">
        <f>IF($A22="",0,G22)</f>
        <v/>
      </c>
      <c r="BA22" s="345">
        <f>IF($A22="",0,J22)</f>
        <v/>
      </c>
      <c r="BB22" s="345">
        <f>IF($A22="",0,K22)</f>
        <v/>
      </c>
      <c r="BC22" s="345">
        <f>IF($A22="",0,MAX(L22,AE22))</f>
        <v/>
      </c>
      <c r="BD22" s="344">
        <f>IF($A22="","",(AU22+AV22+AW22+AX22+AY22+AZ22+BB22+BC22+IF(AS22=1,BA22,0))/(8+AS22))</f>
        <v/>
      </c>
      <c r="BE22" s="344">
        <f>IF($A22="","",(IF(ISNUMBER(AI22),IF(AI22&gt;=WaterMVD,1,0),0)+AV22+IF(ISNUMBER(AH22),IF(AH22&gt;=ProtMVD,1,0),0)+MAX(H22,AD22)+AZ22+BB22+AU22)/7)</f>
        <v/>
      </c>
      <c r="BF22" s="344">
        <f>IF(AO22=0,"",IF(E22="S","",IF(AND(AP22=0,$A22=TODAY()),"",IF(E22="M",BE22,BD22))))</f>
        <v/>
      </c>
      <c r="BG22" s="344">
        <f>IF(AO22=0,"",IFERROR(AVERAGEIFS(Data!$BF$4:$BF$375,Data!$A$4:$A$375,"&gt;"&amp;($A22-7),Data!$A$4:$A$375,"&lt;="&amp;$A22),""))</f>
        <v/>
      </c>
      <c r="BH22" s="344">
        <f>IF(AO22=0,"",IFERROR(AVERAGEIFS(Data!$BF$4:$BF$375,Data!$A$4:$A$375,"&gt;"&amp;($A22-30),Data!$A$4:$A$375,"&lt;="&amp;$A22),""))</f>
        <v/>
      </c>
      <c r="BI22" s="359">
        <f>IF($A22="","",IFERROR(AVERAGEIFS(Data!$AF$4:$AF$375,Data!$A$4:$A$375,"&gt;"&amp;($A22-7),Data!$A$4:$A$375,"&lt;="&amp;$A22,Data!$AF$4:$AF$375,"&gt;0"),""))</f>
        <v/>
      </c>
      <c r="BJ22" s="345">
        <f>IF($A22="","",F22+G22+H22+I22+J22+K22+L22+M22+N22-IF(AS22=1,0,J22))</f>
        <v/>
      </c>
      <c r="BK22" s="345">
        <f>IF($A22="","",8+AS22)</f>
        <v/>
      </c>
      <c r="BL22" s="345">
        <f>IF(ISNUMBER(BF22),BF22,NA())</f>
        <v/>
      </c>
      <c r="BM22" s="345">
        <f>IF(ISNUMBER(AF22),AF22,NA())</f>
        <v/>
      </c>
      <c r="BN22" s="345">
        <f>IF(ISNUMBER(BI22),BI22,NA())</f>
        <v/>
      </c>
      <c r="BO22" s="345">
        <f>IF(ISNUMBER(AL22),AL22,NA())</f>
        <v/>
      </c>
      <c r="BP22" s="345">
        <f>IF(ISNUMBER(AM22),AM22,NA())</f>
        <v/>
      </c>
      <c r="BQ22" s="345">
        <f>IF(ISNUMBER(AN22),AN22,NA())</f>
        <v/>
      </c>
    </row>
    <row r="23">
      <c r="A23" s="358">
        <f>IF('Oct 2026'!X7="","",'Oct 2026'!X7)</f>
        <v/>
      </c>
      <c r="B23" s="345" t="n">
        <v>1</v>
      </c>
      <c r="C23" s="345">
        <f>IF($A23="","",20)</f>
        <v/>
      </c>
      <c r="D23" s="345">
        <f>IF($A23="","",WEEKDAY($A23,2))</f>
        <v/>
      </c>
      <c r="E23" s="345">
        <f>IF($A23="","",UPPER(TRIM('Oct 2026'!X8)))</f>
        <v/>
      </c>
      <c r="F23" s="345">
        <f>IF($A23="","",IF(OR('Oct 2026'!X10=TRUE,'Oct 2026'!X10="x",'Oct 2026'!X10="X"),1,0))</f>
        <v/>
      </c>
      <c r="G23" s="345">
        <f>IF($A23="","",IF(OR('Oct 2026'!X11=TRUE,'Oct 2026'!X11="x",'Oct 2026'!X11="X"),1,0))</f>
        <v/>
      </c>
      <c r="H23" s="345">
        <f>IF($A23="","",IF(OR('Oct 2026'!X12=TRUE,'Oct 2026'!X12="x",'Oct 2026'!X12="X"),1,0))</f>
        <v/>
      </c>
      <c r="I23" s="345">
        <f>IF($A23="","",IF(OR('Oct 2026'!X13=TRUE,'Oct 2026'!X13="x",'Oct 2026'!X13="X"),1,0))</f>
        <v/>
      </c>
      <c r="J23" s="345">
        <f>IF($A23="","",IF(OR('Oct 2026'!X14=TRUE,'Oct 2026'!X14="x",'Oct 2026'!X14="X"),1,0))</f>
        <v/>
      </c>
      <c r="K23" s="345">
        <f>IF($A23="","",IF(OR('Oct 2026'!X15=TRUE,'Oct 2026'!X15="x",'Oct 2026'!X15="X"),1,0))</f>
        <v/>
      </c>
      <c r="L23" s="345">
        <f>IF($A23="","",IF(OR('Oct 2026'!X16=TRUE,'Oct 2026'!X16="x",'Oct 2026'!X16="X"),1,0))</f>
        <v/>
      </c>
      <c r="M23" s="345">
        <f>IF($A23="","",IF(OR('Oct 2026'!X17=TRUE,'Oct 2026'!X17="x",'Oct 2026'!X17="X"),1,0))</f>
        <v/>
      </c>
      <c r="N23" s="345">
        <f>IF($A23="","",IF(OR('Oct 2026'!X18=TRUE,'Oct 2026'!X18="x",'Oct 2026'!X18="X"),1,0))</f>
        <v/>
      </c>
      <c r="O23" s="345">
        <f>IF($A23="","",IF(OR('Oct 2026'!X20=TRUE,'Oct 2026'!X20="x",'Oct 2026'!X20="X"),1,0))</f>
        <v/>
      </c>
      <c r="P23" s="345">
        <f>IF($A23="","",IF(OR('Oct 2026'!X21=TRUE,'Oct 2026'!X21="x",'Oct 2026'!X21="X"),1,0))</f>
        <v/>
      </c>
      <c r="Q23" s="345">
        <f>IF($A23="","",IF(OR('Oct 2026'!X22=TRUE,'Oct 2026'!X22="x",'Oct 2026'!X22="X"),1,0))</f>
        <v/>
      </c>
      <c r="R23" s="345">
        <f>IF($A23="","",IF(OR('Oct 2026'!X23=TRUE,'Oct 2026'!X23="x",'Oct 2026'!X23="X"),1,0))</f>
        <v/>
      </c>
      <c r="S23" s="345">
        <f>IF($A23="","",IF(OR('Oct 2026'!X24=TRUE,'Oct 2026'!X24="x",'Oct 2026'!X24="X"),1,0))</f>
        <v/>
      </c>
      <c r="T23" s="345">
        <f>IF($A23="","",IF(OR('Oct 2026'!X25=TRUE,'Oct 2026'!X25="x",'Oct 2026'!X25="X"),1,0))</f>
        <v/>
      </c>
      <c r="U23" s="345">
        <f>IF($A23="","",IF(OR('Oct 2026'!X26=TRUE,'Oct 2026'!X26="x",'Oct 2026'!X26="X"),1,0))</f>
        <v/>
      </c>
      <c r="V23" s="345">
        <f>IF($A23="","",IF(OR('Oct 2026'!X27=TRUE,'Oct 2026'!X27="x",'Oct 2026'!X27="X"),1,0))</f>
        <v/>
      </c>
      <c r="W23" s="345">
        <f>IF($A23="","",IF(OR('Oct 2026'!X28=TRUE,'Oct 2026'!X28="x",'Oct 2026'!X28="X"),1,0))</f>
        <v/>
      </c>
      <c r="X23" s="345">
        <f>IF($A23="","",IF(OR('Oct 2026'!X29=TRUE,'Oct 2026'!X29="x",'Oct 2026'!X29="X"),1,0))</f>
        <v/>
      </c>
      <c r="Y23" s="345">
        <f>IF($A23="","",IF(OR('Oct 2026'!X30=TRUE,'Oct 2026'!X30="x",'Oct 2026'!X30="X"),1,0))</f>
        <v/>
      </c>
      <c r="Z23" s="345">
        <f>IF($A23="","",IF(OR('Oct 2026'!X31=TRUE,'Oct 2026'!X31="x",'Oct 2026'!X31="X"),1,0))</f>
        <v/>
      </c>
      <c r="AA23" s="345">
        <f>IF($A23="","",IF(OR('Oct 2026'!X32=TRUE,'Oct 2026'!X32="x",'Oct 2026'!X32="X"),1,0))</f>
        <v/>
      </c>
      <c r="AB23" s="345">
        <f>IF($A23="","",IF(OR('Oct 2026'!X34=TRUE,'Oct 2026'!X34="x",'Oct 2026'!X34="X"),1,0))</f>
        <v/>
      </c>
      <c r="AC23" s="345">
        <f>IF($A23="","",IF(OR('Oct 2026'!X35=TRUE,'Oct 2026'!X35="x",'Oct 2026'!X35="X"),1,0))</f>
        <v/>
      </c>
      <c r="AD23" s="345">
        <f>IF($A23="","",IF(OR('Oct 2026'!X36=TRUE,'Oct 2026'!X36="x",'Oct 2026'!X36="X"),1,0))</f>
        <v/>
      </c>
      <c r="AE23" s="345">
        <f>IF($A23="","",IF(OR('Oct 2026'!X37=TRUE,'Oct 2026'!X37="x",'Oct 2026'!X37="X"),1,0))</f>
        <v/>
      </c>
      <c r="AF23" s="345">
        <f>IF($A23="","",IF('Oct 2026'!X59="","",'Oct 2026'!X59))</f>
        <v/>
      </c>
      <c r="AG23" s="345">
        <f>IF($A23="","",IF('Oct 2026'!X60="","",'Oct 2026'!X60))</f>
        <v/>
      </c>
      <c r="AH23" s="345">
        <f>IF($A23="","",IF('Oct 2026'!X61="","",'Oct 2026'!X61))</f>
        <v/>
      </c>
      <c r="AI23" s="345">
        <f>IF($A23="","",IF('Oct 2026'!X62="","",'Oct 2026'!X62))</f>
        <v/>
      </c>
      <c r="AJ23" s="345">
        <f>IF($A23="","",IF('Oct 2026'!X63="","",'Oct 2026'!X63))</f>
        <v/>
      </c>
      <c r="AK23" s="345">
        <f>IF($A23="","",IF('Oct 2026'!X64="","",'Oct 2026'!X64))</f>
        <v/>
      </c>
      <c r="AL23" s="345">
        <f>IF($A23="","",IF('Oct 2026'!X65="","",'Oct 2026'!X65))</f>
        <v/>
      </c>
      <c r="AM23" s="345">
        <f>IF($A23="","",IF('Oct 2026'!X66="","",'Oct 2026'!X66))</f>
        <v/>
      </c>
      <c r="AN23" s="345">
        <f>IF($A23="","",IF('Oct 2026'!X67="","",'Oct 2026'!X67))</f>
        <v/>
      </c>
      <c r="AO23" s="345">
        <f>IF($A23="",0,IF(AND($A23&gt;=TrackStart,$A23&lt;=TODAY()),1,0))</f>
        <v/>
      </c>
      <c r="AP23" s="345">
        <f>IF($A23="",0,IF(SUM(F23:AE23)+COUNT(AF23:AN23)&gt;0,1,0))</f>
        <v/>
      </c>
      <c r="AQ23" s="345">
        <f>IF($A23="","",INT(($A23-TrackStart)/7)+1)</f>
        <v/>
      </c>
      <c r="AR23" s="345">
        <f>IF($A23="","",IF(AQ23&lt;=1,Steps1,IF(AQ23=2,Steps2,Steps3)))</f>
        <v/>
      </c>
      <c r="AS23" s="345">
        <f>IF($A23="",0,IF(ISNUMBER(SEARCH(TEXT(D23,"0"),WorkDays&amp;"")),1,0))</f>
        <v/>
      </c>
      <c r="AT23" s="345">
        <f>IF($A23="",0,IF(ISNUMBER(SEARCH(TEXT(D23,"0"),StrDays&amp;"")),1,0))</f>
        <v/>
      </c>
      <c r="AU23" s="345">
        <f>IF($A23="",0,IF(ISNUMBER(AK23),IF(AK23&gt;=SleepMin,1,0),N23))</f>
        <v/>
      </c>
      <c r="AV23" s="345">
        <f>IF($A23="",0,MAX(I23,O23,S23,AC23))</f>
        <v/>
      </c>
      <c r="AW23" s="345">
        <f>IF($A23="",0,IF(ISNUMBER(AH23),IF(AH23&gt;=ProtHit,1,0),0))</f>
        <v/>
      </c>
      <c r="AX23" s="345">
        <f>IF($A23="",0,IF(ISNUMBER(AI23),IF(AI23&gt;=WaterHit,1,0),0))</f>
        <v/>
      </c>
      <c r="AY23" s="345">
        <f>IF($A23="",0,IF(ISNUMBER(AG23),IF(AG23&gt;=AR23,1,0),0))</f>
        <v/>
      </c>
      <c r="AZ23" s="345">
        <f>IF($A23="",0,G23)</f>
        <v/>
      </c>
      <c r="BA23" s="345">
        <f>IF($A23="",0,J23)</f>
        <v/>
      </c>
      <c r="BB23" s="345">
        <f>IF($A23="",0,K23)</f>
        <v/>
      </c>
      <c r="BC23" s="345">
        <f>IF($A23="",0,MAX(L23,AE23))</f>
        <v/>
      </c>
      <c r="BD23" s="344">
        <f>IF($A23="","",(AU23+AV23+AW23+AX23+AY23+AZ23+BB23+BC23+IF(AS23=1,BA23,0))/(8+AS23))</f>
        <v/>
      </c>
      <c r="BE23" s="344">
        <f>IF($A23="","",(IF(ISNUMBER(AI23),IF(AI23&gt;=WaterMVD,1,0),0)+AV23+IF(ISNUMBER(AH23),IF(AH23&gt;=ProtMVD,1,0),0)+MAX(H23,AD23)+AZ23+BB23+AU23)/7)</f>
        <v/>
      </c>
      <c r="BF23" s="344">
        <f>IF(AO23=0,"",IF(E23="S","",IF(AND(AP23=0,$A23=TODAY()),"",IF(E23="M",BE23,BD23))))</f>
        <v/>
      </c>
      <c r="BG23" s="344">
        <f>IF(AO23=0,"",IFERROR(AVERAGEIFS(Data!$BF$4:$BF$375,Data!$A$4:$A$375,"&gt;"&amp;($A23-7),Data!$A$4:$A$375,"&lt;="&amp;$A23),""))</f>
        <v/>
      </c>
      <c r="BH23" s="344">
        <f>IF(AO23=0,"",IFERROR(AVERAGEIFS(Data!$BF$4:$BF$375,Data!$A$4:$A$375,"&gt;"&amp;($A23-30),Data!$A$4:$A$375,"&lt;="&amp;$A23),""))</f>
        <v/>
      </c>
      <c r="BI23" s="359">
        <f>IF($A23="","",IFERROR(AVERAGEIFS(Data!$AF$4:$AF$375,Data!$A$4:$A$375,"&gt;"&amp;($A23-7),Data!$A$4:$A$375,"&lt;="&amp;$A23,Data!$AF$4:$AF$375,"&gt;0"),""))</f>
        <v/>
      </c>
      <c r="BJ23" s="345">
        <f>IF($A23="","",F23+G23+H23+I23+J23+K23+L23+M23+N23-IF(AS23=1,0,J23))</f>
        <v/>
      </c>
      <c r="BK23" s="345">
        <f>IF($A23="","",8+AS23)</f>
        <v/>
      </c>
      <c r="BL23" s="345">
        <f>IF(ISNUMBER(BF23),BF23,NA())</f>
        <v/>
      </c>
      <c r="BM23" s="345">
        <f>IF(ISNUMBER(AF23),AF23,NA())</f>
        <v/>
      </c>
      <c r="BN23" s="345">
        <f>IF(ISNUMBER(BI23),BI23,NA())</f>
        <v/>
      </c>
      <c r="BO23" s="345">
        <f>IF(ISNUMBER(AL23),AL23,NA())</f>
        <v/>
      </c>
      <c r="BP23" s="345">
        <f>IF(ISNUMBER(AM23),AM23,NA())</f>
        <v/>
      </c>
      <c r="BQ23" s="345">
        <f>IF(ISNUMBER(AN23),AN23,NA())</f>
        <v/>
      </c>
    </row>
    <row r="24">
      <c r="A24" s="358">
        <f>IF('Oct 2026'!Y7="","",'Oct 2026'!Y7)</f>
        <v/>
      </c>
      <c r="B24" s="345" t="n">
        <v>1</v>
      </c>
      <c r="C24" s="345">
        <f>IF($A24="","",21)</f>
        <v/>
      </c>
      <c r="D24" s="345">
        <f>IF($A24="","",WEEKDAY($A24,2))</f>
        <v/>
      </c>
      <c r="E24" s="345">
        <f>IF($A24="","",UPPER(TRIM('Oct 2026'!Y8)))</f>
        <v/>
      </c>
      <c r="F24" s="345">
        <f>IF($A24="","",IF(OR('Oct 2026'!Y10=TRUE,'Oct 2026'!Y10="x",'Oct 2026'!Y10="X"),1,0))</f>
        <v/>
      </c>
      <c r="G24" s="345">
        <f>IF($A24="","",IF(OR('Oct 2026'!Y11=TRUE,'Oct 2026'!Y11="x",'Oct 2026'!Y11="X"),1,0))</f>
        <v/>
      </c>
      <c r="H24" s="345">
        <f>IF($A24="","",IF(OR('Oct 2026'!Y12=TRUE,'Oct 2026'!Y12="x",'Oct 2026'!Y12="X"),1,0))</f>
        <v/>
      </c>
      <c r="I24" s="345">
        <f>IF($A24="","",IF(OR('Oct 2026'!Y13=TRUE,'Oct 2026'!Y13="x",'Oct 2026'!Y13="X"),1,0))</f>
        <v/>
      </c>
      <c r="J24" s="345">
        <f>IF($A24="","",IF(OR('Oct 2026'!Y14=TRUE,'Oct 2026'!Y14="x",'Oct 2026'!Y14="X"),1,0))</f>
        <v/>
      </c>
      <c r="K24" s="345">
        <f>IF($A24="","",IF(OR('Oct 2026'!Y15=TRUE,'Oct 2026'!Y15="x",'Oct 2026'!Y15="X"),1,0))</f>
        <v/>
      </c>
      <c r="L24" s="345">
        <f>IF($A24="","",IF(OR('Oct 2026'!Y16=TRUE,'Oct 2026'!Y16="x",'Oct 2026'!Y16="X"),1,0))</f>
        <v/>
      </c>
      <c r="M24" s="345">
        <f>IF($A24="","",IF(OR('Oct 2026'!Y17=TRUE,'Oct 2026'!Y17="x",'Oct 2026'!Y17="X"),1,0))</f>
        <v/>
      </c>
      <c r="N24" s="345">
        <f>IF($A24="","",IF(OR('Oct 2026'!Y18=TRUE,'Oct 2026'!Y18="x",'Oct 2026'!Y18="X"),1,0))</f>
        <v/>
      </c>
      <c r="O24" s="345">
        <f>IF($A24="","",IF(OR('Oct 2026'!Y20=TRUE,'Oct 2026'!Y20="x",'Oct 2026'!Y20="X"),1,0))</f>
        <v/>
      </c>
      <c r="P24" s="345">
        <f>IF($A24="","",IF(OR('Oct 2026'!Y21=TRUE,'Oct 2026'!Y21="x",'Oct 2026'!Y21="X"),1,0))</f>
        <v/>
      </c>
      <c r="Q24" s="345">
        <f>IF($A24="","",IF(OR('Oct 2026'!Y22=TRUE,'Oct 2026'!Y22="x",'Oct 2026'!Y22="X"),1,0))</f>
        <v/>
      </c>
      <c r="R24" s="345">
        <f>IF($A24="","",IF(OR('Oct 2026'!Y23=TRUE,'Oct 2026'!Y23="x",'Oct 2026'!Y23="X"),1,0))</f>
        <v/>
      </c>
      <c r="S24" s="345">
        <f>IF($A24="","",IF(OR('Oct 2026'!Y24=TRUE,'Oct 2026'!Y24="x",'Oct 2026'!Y24="X"),1,0))</f>
        <v/>
      </c>
      <c r="T24" s="345">
        <f>IF($A24="","",IF(OR('Oct 2026'!Y25=TRUE,'Oct 2026'!Y25="x",'Oct 2026'!Y25="X"),1,0))</f>
        <v/>
      </c>
      <c r="U24" s="345">
        <f>IF($A24="","",IF(OR('Oct 2026'!Y26=TRUE,'Oct 2026'!Y26="x",'Oct 2026'!Y26="X"),1,0))</f>
        <v/>
      </c>
      <c r="V24" s="345">
        <f>IF($A24="","",IF(OR('Oct 2026'!Y27=TRUE,'Oct 2026'!Y27="x",'Oct 2026'!Y27="X"),1,0))</f>
        <v/>
      </c>
      <c r="W24" s="345">
        <f>IF($A24="","",IF(OR('Oct 2026'!Y28=TRUE,'Oct 2026'!Y28="x",'Oct 2026'!Y28="X"),1,0))</f>
        <v/>
      </c>
      <c r="X24" s="345">
        <f>IF($A24="","",IF(OR('Oct 2026'!Y29=TRUE,'Oct 2026'!Y29="x",'Oct 2026'!Y29="X"),1,0))</f>
        <v/>
      </c>
      <c r="Y24" s="345">
        <f>IF($A24="","",IF(OR('Oct 2026'!Y30=TRUE,'Oct 2026'!Y30="x",'Oct 2026'!Y30="X"),1,0))</f>
        <v/>
      </c>
      <c r="Z24" s="345">
        <f>IF($A24="","",IF(OR('Oct 2026'!Y31=TRUE,'Oct 2026'!Y31="x",'Oct 2026'!Y31="X"),1,0))</f>
        <v/>
      </c>
      <c r="AA24" s="345">
        <f>IF($A24="","",IF(OR('Oct 2026'!Y32=TRUE,'Oct 2026'!Y32="x",'Oct 2026'!Y32="X"),1,0))</f>
        <v/>
      </c>
      <c r="AB24" s="345">
        <f>IF($A24="","",IF(OR('Oct 2026'!Y34=TRUE,'Oct 2026'!Y34="x",'Oct 2026'!Y34="X"),1,0))</f>
        <v/>
      </c>
      <c r="AC24" s="345">
        <f>IF($A24="","",IF(OR('Oct 2026'!Y35=TRUE,'Oct 2026'!Y35="x",'Oct 2026'!Y35="X"),1,0))</f>
        <v/>
      </c>
      <c r="AD24" s="345">
        <f>IF($A24="","",IF(OR('Oct 2026'!Y36=TRUE,'Oct 2026'!Y36="x",'Oct 2026'!Y36="X"),1,0))</f>
        <v/>
      </c>
      <c r="AE24" s="345">
        <f>IF($A24="","",IF(OR('Oct 2026'!Y37=TRUE,'Oct 2026'!Y37="x",'Oct 2026'!Y37="X"),1,0))</f>
        <v/>
      </c>
      <c r="AF24" s="345">
        <f>IF($A24="","",IF('Oct 2026'!Y59="","",'Oct 2026'!Y59))</f>
        <v/>
      </c>
      <c r="AG24" s="345">
        <f>IF($A24="","",IF('Oct 2026'!Y60="","",'Oct 2026'!Y60))</f>
        <v/>
      </c>
      <c r="AH24" s="345">
        <f>IF($A24="","",IF('Oct 2026'!Y61="","",'Oct 2026'!Y61))</f>
        <v/>
      </c>
      <c r="AI24" s="345">
        <f>IF($A24="","",IF('Oct 2026'!Y62="","",'Oct 2026'!Y62))</f>
        <v/>
      </c>
      <c r="AJ24" s="345">
        <f>IF($A24="","",IF('Oct 2026'!Y63="","",'Oct 2026'!Y63))</f>
        <v/>
      </c>
      <c r="AK24" s="345">
        <f>IF($A24="","",IF('Oct 2026'!Y64="","",'Oct 2026'!Y64))</f>
        <v/>
      </c>
      <c r="AL24" s="345">
        <f>IF($A24="","",IF('Oct 2026'!Y65="","",'Oct 2026'!Y65))</f>
        <v/>
      </c>
      <c r="AM24" s="345">
        <f>IF($A24="","",IF('Oct 2026'!Y66="","",'Oct 2026'!Y66))</f>
        <v/>
      </c>
      <c r="AN24" s="345">
        <f>IF($A24="","",IF('Oct 2026'!Y67="","",'Oct 2026'!Y67))</f>
        <v/>
      </c>
      <c r="AO24" s="345">
        <f>IF($A24="",0,IF(AND($A24&gt;=TrackStart,$A24&lt;=TODAY()),1,0))</f>
        <v/>
      </c>
      <c r="AP24" s="345">
        <f>IF($A24="",0,IF(SUM(F24:AE24)+COUNT(AF24:AN24)&gt;0,1,0))</f>
        <v/>
      </c>
      <c r="AQ24" s="345">
        <f>IF($A24="","",INT(($A24-TrackStart)/7)+1)</f>
        <v/>
      </c>
      <c r="AR24" s="345">
        <f>IF($A24="","",IF(AQ24&lt;=1,Steps1,IF(AQ24=2,Steps2,Steps3)))</f>
        <v/>
      </c>
      <c r="AS24" s="345">
        <f>IF($A24="",0,IF(ISNUMBER(SEARCH(TEXT(D24,"0"),WorkDays&amp;"")),1,0))</f>
        <v/>
      </c>
      <c r="AT24" s="345">
        <f>IF($A24="",0,IF(ISNUMBER(SEARCH(TEXT(D24,"0"),StrDays&amp;"")),1,0))</f>
        <v/>
      </c>
      <c r="AU24" s="345">
        <f>IF($A24="",0,IF(ISNUMBER(AK24),IF(AK24&gt;=SleepMin,1,0),N24))</f>
        <v/>
      </c>
      <c r="AV24" s="345">
        <f>IF($A24="",0,MAX(I24,O24,S24,AC24))</f>
        <v/>
      </c>
      <c r="AW24" s="345">
        <f>IF($A24="",0,IF(ISNUMBER(AH24),IF(AH24&gt;=ProtHit,1,0),0))</f>
        <v/>
      </c>
      <c r="AX24" s="345">
        <f>IF($A24="",0,IF(ISNUMBER(AI24),IF(AI24&gt;=WaterHit,1,0),0))</f>
        <v/>
      </c>
      <c r="AY24" s="345">
        <f>IF($A24="",0,IF(ISNUMBER(AG24),IF(AG24&gt;=AR24,1,0),0))</f>
        <v/>
      </c>
      <c r="AZ24" s="345">
        <f>IF($A24="",0,G24)</f>
        <v/>
      </c>
      <c r="BA24" s="345">
        <f>IF($A24="",0,J24)</f>
        <v/>
      </c>
      <c r="BB24" s="345">
        <f>IF($A24="",0,K24)</f>
        <v/>
      </c>
      <c r="BC24" s="345">
        <f>IF($A24="",0,MAX(L24,AE24))</f>
        <v/>
      </c>
      <c r="BD24" s="344">
        <f>IF($A24="","",(AU24+AV24+AW24+AX24+AY24+AZ24+BB24+BC24+IF(AS24=1,BA24,0))/(8+AS24))</f>
        <v/>
      </c>
      <c r="BE24" s="344">
        <f>IF($A24="","",(IF(ISNUMBER(AI24),IF(AI24&gt;=WaterMVD,1,0),0)+AV24+IF(ISNUMBER(AH24),IF(AH24&gt;=ProtMVD,1,0),0)+MAX(H24,AD24)+AZ24+BB24+AU24)/7)</f>
        <v/>
      </c>
      <c r="BF24" s="344">
        <f>IF(AO24=0,"",IF(E24="S","",IF(AND(AP24=0,$A24=TODAY()),"",IF(E24="M",BE24,BD24))))</f>
        <v/>
      </c>
      <c r="BG24" s="344">
        <f>IF(AO24=0,"",IFERROR(AVERAGEIFS(Data!$BF$4:$BF$375,Data!$A$4:$A$375,"&gt;"&amp;($A24-7),Data!$A$4:$A$375,"&lt;="&amp;$A24),""))</f>
        <v/>
      </c>
      <c r="BH24" s="344">
        <f>IF(AO24=0,"",IFERROR(AVERAGEIFS(Data!$BF$4:$BF$375,Data!$A$4:$A$375,"&gt;"&amp;($A24-30),Data!$A$4:$A$375,"&lt;="&amp;$A24),""))</f>
        <v/>
      </c>
      <c r="BI24" s="359">
        <f>IF($A24="","",IFERROR(AVERAGEIFS(Data!$AF$4:$AF$375,Data!$A$4:$A$375,"&gt;"&amp;($A24-7),Data!$A$4:$A$375,"&lt;="&amp;$A24,Data!$AF$4:$AF$375,"&gt;0"),""))</f>
        <v/>
      </c>
      <c r="BJ24" s="345">
        <f>IF($A24="","",F24+G24+H24+I24+J24+K24+L24+M24+N24-IF(AS24=1,0,J24))</f>
        <v/>
      </c>
      <c r="BK24" s="345">
        <f>IF($A24="","",8+AS24)</f>
        <v/>
      </c>
      <c r="BL24" s="345">
        <f>IF(ISNUMBER(BF24),BF24,NA())</f>
        <v/>
      </c>
      <c r="BM24" s="345">
        <f>IF(ISNUMBER(AF24),AF24,NA())</f>
        <v/>
      </c>
      <c r="BN24" s="345">
        <f>IF(ISNUMBER(BI24),BI24,NA())</f>
        <v/>
      </c>
      <c r="BO24" s="345">
        <f>IF(ISNUMBER(AL24),AL24,NA())</f>
        <v/>
      </c>
      <c r="BP24" s="345">
        <f>IF(ISNUMBER(AM24),AM24,NA())</f>
        <v/>
      </c>
      <c r="BQ24" s="345">
        <f>IF(ISNUMBER(AN24),AN24,NA())</f>
        <v/>
      </c>
    </row>
    <row r="25">
      <c r="A25" s="358">
        <f>IF('Oct 2026'!Z7="","",'Oct 2026'!Z7)</f>
        <v/>
      </c>
      <c r="B25" s="345" t="n">
        <v>1</v>
      </c>
      <c r="C25" s="345">
        <f>IF($A25="","",22)</f>
        <v/>
      </c>
      <c r="D25" s="345">
        <f>IF($A25="","",WEEKDAY($A25,2))</f>
        <v/>
      </c>
      <c r="E25" s="345">
        <f>IF($A25="","",UPPER(TRIM('Oct 2026'!Z8)))</f>
        <v/>
      </c>
      <c r="F25" s="345">
        <f>IF($A25="","",IF(OR('Oct 2026'!Z10=TRUE,'Oct 2026'!Z10="x",'Oct 2026'!Z10="X"),1,0))</f>
        <v/>
      </c>
      <c r="G25" s="345">
        <f>IF($A25="","",IF(OR('Oct 2026'!Z11=TRUE,'Oct 2026'!Z11="x",'Oct 2026'!Z11="X"),1,0))</f>
        <v/>
      </c>
      <c r="H25" s="345">
        <f>IF($A25="","",IF(OR('Oct 2026'!Z12=TRUE,'Oct 2026'!Z12="x",'Oct 2026'!Z12="X"),1,0))</f>
        <v/>
      </c>
      <c r="I25" s="345">
        <f>IF($A25="","",IF(OR('Oct 2026'!Z13=TRUE,'Oct 2026'!Z13="x",'Oct 2026'!Z13="X"),1,0))</f>
        <v/>
      </c>
      <c r="J25" s="345">
        <f>IF($A25="","",IF(OR('Oct 2026'!Z14=TRUE,'Oct 2026'!Z14="x",'Oct 2026'!Z14="X"),1,0))</f>
        <v/>
      </c>
      <c r="K25" s="345">
        <f>IF($A25="","",IF(OR('Oct 2026'!Z15=TRUE,'Oct 2026'!Z15="x",'Oct 2026'!Z15="X"),1,0))</f>
        <v/>
      </c>
      <c r="L25" s="345">
        <f>IF($A25="","",IF(OR('Oct 2026'!Z16=TRUE,'Oct 2026'!Z16="x",'Oct 2026'!Z16="X"),1,0))</f>
        <v/>
      </c>
      <c r="M25" s="345">
        <f>IF($A25="","",IF(OR('Oct 2026'!Z17=TRUE,'Oct 2026'!Z17="x",'Oct 2026'!Z17="X"),1,0))</f>
        <v/>
      </c>
      <c r="N25" s="345">
        <f>IF($A25="","",IF(OR('Oct 2026'!Z18=TRUE,'Oct 2026'!Z18="x",'Oct 2026'!Z18="X"),1,0))</f>
        <v/>
      </c>
      <c r="O25" s="345">
        <f>IF($A25="","",IF(OR('Oct 2026'!Z20=TRUE,'Oct 2026'!Z20="x",'Oct 2026'!Z20="X"),1,0))</f>
        <v/>
      </c>
      <c r="P25" s="345">
        <f>IF($A25="","",IF(OR('Oct 2026'!Z21=TRUE,'Oct 2026'!Z21="x",'Oct 2026'!Z21="X"),1,0))</f>
        <v/>
      </c>
      <c r="Q25" s="345">
        <f>IF($A25="","",IF(OR('Oct 2026'!Z22=TRUE,'Oct 2026'!Z22="x",'Oct 2026'!Z22="X"),1,0))</f>
        <v/>
      </c>
      <c r="R25" s="345">
        <f>IF($A25="","",IF(OR('Oct 2026'!Z23=TRUE,'Oct 2026'!Z23="x",'Oct 2026'!Z23="X"),1,0))</f>
        <v/>
      </c>
      <c r="S25" s="345">
        <f>IF($A25="","",IF(OR('Oct 2026'!Z24=TRUE,'Oct 2026'!Z24="x",'Oct 2026'!Z24="X"),1,0))</f>
        <v/>
      </c>
      <c r="T25" s="345">
        <f>IF($A25="","",IF(OR('Oct 2026'!Z25=TRUE,'Oct 2026'!Z25="x",'Oct 2026'!Z25="X"),1,0))</f>
        <v/>
      </c>
      <c r="U25" s="345">
        <f>IF($A25="","",IF(OR('Oct 2026'!Z26=TRUE,'Oct 2026'!Z26="x",'Oct 2026'!Z26="X"),1,0))</f>
        <v/>
      </c>
      <c r="V25" s="345">
        <f>IF($A25="","",IF(OR('Oct 2026'!Z27=TRUE,'Oct 2026'!Z27="x",'Oct 2026'!Z27="X"),1,0))</f>
        <v/>
      </c>
      <c r="W25" s="345">
        <f>IF($A25="","",IF(OR('Oct 2026'!Z28=TRUE,'Oct 2026'!Z28="x",'Oct 2026'!Z28="X"),1,0))</f>
        <v/>
      </c>
      <c r="X25" s="345">
        <f>IF($A25="","",IF(OR('Oct 2026'!Z29=TRUE,'Oct 2026'!Z29="x",'Oct 2026'!Z29="X"),1,0))</f>
        <v/>
      </c>
      <c r="Y25" s="345">
        <f>IF($A25="","",IF(OR('Oct 2026'!Z30=TRUE,'Oct 2026'!Z30="x",'Oct 2026'!Z30="X"),1,0))</f>
        <v/>
      </c>
      <c r="Z25" s="345">
        <f>IF($A25="","",IF(OR('Oct 2026'!Z31=TRUE,'Oct 2026'!Z31="x",'Oct 2026'!Z31="X"),1,0))</f>
        <v/>
      </c>
      <c r="AA25" s="345">
        <f>IF($A25="","",IF(OR('Oct 2026'!Z32=TRUE,'Oct 2026'!Z32="x",'Oct 2026'!Z32="X"),1,0))</f>
        <v/>
      </c>
      <c r="AB25" s="345">
        <f>IF($A25="","",IF(OR('Oct 2026'!Z34=TRUE,'Oct 2026'!Z34="x",'Oct 2026'!Z34="X"),1,0))</f>
        <v/>
      </c>
      <c r="AC25" s="345">
        <f>IF($A25="","",IF(OR('Oct 2026'!Z35=TRUE,'Oct 2026'!Z35="x",'Oct 2026'!Z35="X"),1,0))</f>
        <v/>
      </c>
      <c r="AD25" s="345">
        <f>IF($A25="","",IF(OR('Oct 2026'!Z36=TRUE,'Oct 2026'!Z36="x",'Oct 2026'!Z36="X"),1,0))</f>
        <v/>
      </c>
      <c r="AE25" s="345">
        <f>IF($A25="","",IF(OR('Oct 2026'!Z37=TRUE,'Oct 2026'!Z37="x",'Oct 2026'!Z37="X"),1,0))</f>
        <v/>
      </c>
      <c r="AF25" s="345">
        <f>IF($A25="","",IF('Oct 2026'!Z59="","",'Oct 2026'!Z59))</f>
        <v/>
      </c>
      <c r="AG25" s="345">
        <f>IF($A25="","",IF('Oct 2026'!Z60="","",'Oct 2026'!Z60))</f>
        <v/>
      </c>
      <c r="AH25" s="345">
        <f>IF($A25="","",IF('Oct 2026'!Z61="","",'Oct 2026'!Z61))</f>
        <v/>
      </c>
      <c r="AI25" s="345">
        <f>IF($A25="","",IF('Oct 2026'!Z62="","",'Oct 2026'!Z62))</f>
        <v/>
      </c>
      <c r="AJ25" s="345">
        <f>IF($A25="","",IF('Oct 2026'!Z63="","",'Oct 2026'!Z63))</f>
        <v/>
      </c>
      <c r="AK25" s="345">
        <f>IF($A25="","",IF('Oct 2026'!Z64="","",'Oct 2026'!Z64))</f>
        <v/>
      </c>
      <c r="AL25" s="345">
        <f>IF($A25="","",IF('Oct 2026'!Z65="","",'Oct 2026'!Z65))</f>
        <v/>
      </c>
      <c r="AM25" s="345">
        <f>IF($A25="","",IF('Oct 2026'!Z66="","",'Oct 2026'!Z66))</f>
        <v/>
      </c>
      <c r="AN25" s="345">
        <f>IF($A25="","",IF('Oct 2026'!Z67="","",'Oct 2026'!Z67))</f>
        <v/>
      </c>
      <c r="AO25" s="345">
        <f>IF($A25="",0,IF(AND($A25&gt;=TrackStart,$A25&lt;=TODAY()),1,0))</f>
        <v/>
      </c>
      <c r="AP25" s="345">
        <f>IF($A25="",0,IF(SUM(F25:AE25)+COUNT(AF25:AN25)&gt;0,1,0))</f>
        <v/>
      </c>
      <c r="AQ25" s="345">
        <f>IF($A25="","",INT(($A25-TrackStart)/7)+1)</f>
        <v/>
      </c>
      <c r="AR25" s="345">
        <f>IF($A25="","",IF(AQ25&lt;=1,Steps1,IF(AQ25=2,Steps2,Steps3)))</f>
        <v/>
      </c>
      <c r="AS25" s="345">
        <f>IF($A25="",0,IF(ISNUMBER(SEARCH(TEXT(D25,"0"),WorkDays&amp;"")),1,0))</f>
        <v/>
      </c>
      <c r="AT25" s="345">
        <f>IF($A25="",0,IF(ISNUMBER(SEARCH(TEXT(D25,"0"),StrDays&amp;"")),1,0))</f>
        <v/>
      </c>
      <c r="AU25" s="345">
        <f>IF($A25="",0,IF(ISNUMBER(AK25),IF(AK25&gt;=SleepMin,1,0),N25))</f>
        <v/>
      </c>
      <c r="AV25" s="345">
        <f>IF($A25="",0,MAX(I25,O25,S25,AC25))</f>
        <v/>
      </c>
      <c r="AW25" s="345">
        <f>IF($A25="",0,IF(ISNUMBER(AH25),IF(AH25&gt;=ProtHit,1,0),0))</f>
        <v/>
      </c>
      <c r="AX25" s="345">
        <f>IF($A25="",0,IF(ISNUMBER(AI25),IF(AI25&gt;=WaterHit,1,0),0))</f>
        <v/>
      </c>
      <c r="AY25" s="345">
        <f>IF($A25="",0,IF(ISNUMBER(AG25),IF(AG25&gt;=AR25,1,0),0))</f>
        <v/>
      </c>
      <c r="AZ25" s="345">
        <f>IF($A25="",0,G25)</f>
        <v/>
      </c>
      <c r="BA25" s="345">
        <f>IF($A25="",0,J25)</f>
        <v/>
      </c>
      <c r="BB25" s="345">
        <f>IF($A25="",0,K25)</f>
        <v/>
      </c>
      <c r="BC25" s="345">
        <f>IF($A25="",0,MAX(L25,AE25))</f>
        <v/>
      </c>
      <c r="BD25" s="344">
        <f>IF($A25="","",(AU25+AV25+AW25+AX25+AY25+AZ25+BB25+BC25+IF(AS25=1,BA25,0))/(8+AS25))</f>
        <v/>
      </c>
      <c r="BE25" s="344">
        <f>IF($A25="","",(IF(ISNUMBER(AI25),IF(AI25&gt;=WaterMVD,1,0),0)+AV25+IF(ISNUMBER(AH25),IF(AH25&gt;=ProtMVD,1,0),0)+MAX(H25,AD25)+AZ25+BB25+AU25)/7)</f>
        <v/>
      </c>
      <c r="BF25" s="344">
        <f>IF(AO25=0,"",IF(E25="S","",IF(AND(AP25=0,$A25=TODAY()),"",IF(E25="M",BE25,BD25))))</f>
        <v/>
      </c>
      <c r="BG25" s="344">
        <f>IF(AO25=0,"",IFERROR(AVERAGEIFS(Data!$BF$4:$BF$375,Data!$A$4:$A$375,"&gt;"&amp;($A25-7),Data!$A$4:$A$375,"&lt;="&amp;$A25),""))</f>
        <v/>
      </c>
      <c r="BH25" s="344">
        <f>IF(AO25=0,"",IFERROR(AVERAGEIFS(Data!$BF$4:$BF$375,Data!$A$4:$A$375,"&gt;"&amp;($A25-30),Data!$A$4:$A$375,"&lt;="&amp;$A25),""))</f>
        <v/>
      </c>
      <c r="BI25" s="359">
        <f>IF($A25="","",IFERROR(AVERAGEIFS(Data!$AF$4:$AF$375,Data!$A$4:$A$375,"&gt;"&amp;($A25-7),Data!$A$4:$A$375,"&lt;="&amp;$A25,Data!$AF$4:$AF$375,"&gt;0"),""))</f>
        <v/>
      </c>
      <c r="BJ25" s="345">
        <f>IF($A25="","",F25+G25+H25+I25+J25+K25+L25+M25+N25-IF(AS25=1,0,J25))</f>
        <v/>
      </c>
      <c r="BK25" s="345">
        <f>IF($A25="","",8+AS25)</f>
        <v/>
      </c>
      <c r="BL25" s="345">
        <f>IF(ISNUMBER(BF25),BF25,NA())</f>
        <v/>
      </c>
      <c r="BM25" s="345">
        <f>IF(ISNUMBER(AF25),AF25,NA())</f>
        <v/>
      </c>
      <c r="BN25" s="345">
        <f>IF(ISNUMBER(BI25),BI25,NA())</f>
        <v/>
      </c>
      <c r="BO25" s="345">
        <f>IF(ISNUMBER(AL25),AL25,NA())</f>
        <v/>
      </c>
      <c r="BP25" s="345">
        <f>IF(ISNUMBER(AM25),AM25,NA())</f>
        <v/>
      </c>
      <c r="BQ25" s="345">
        <f>IF(ISNUMBER(AN25),AN25,NA())</f>
        <v/>
      </c>
    </row>
    <row r="26">
      <c r="A26" s="358">
        <f>IF('Oct 2026'!AA7="","",'Oct 2026'!AA7)</f>
        <v/>
      </c>
      <c r="B26" s="345" t="n">
        <v>1</v>
      </c>
      <c r="C26" s="345">
        <f>IF($A26="","",23)</f>
        <v/>
      </c>
      <c r="D26" s="345">
        <f>IF($A26="","",WEEKDAY($A26,2))</f>
        <v/>
      </c>
      <c r="E26" s="345">
        <f>IF($A26="","",UPPER(TRIM('Oct 2026'!AA8)))</f>
        <v/>
      </c>
      <c r="F26" s="345">
        <f>IF($A26="","",IF(OR('Oct 2026'!AA10=TRUE,'Oct 2026'!AA10="x",'Oct 2026'!AA10="X"),1,0))</f>
        <v/>
      </c>
      <c r="G26" s="345">
        <f>IF($A26="","",IF(OR('Oct 2026'!AA11=TRUE,'Oct 2026'!AA11="x",'Oct 2026'!AA11="X"),1,0))</f>
        <v/>
      </c>
      <c r="H26" s="345">
        <f>IF($A26="","",IF(OR('Oct 2026'!AA12=TRUE,'Oct 2026'!AA12="x",'Oct 2026'!AA12="X"),1,0))</f>
        <v/>
      </c>
      <c r="I26" s="345">
        <f>IF($A26="","",IF(OR('Oct 2026'!AA13=TRUE,'Oct 2026'!AA13="x",'Oct 2026'!AA13="X"),1,0))</f>
        <v/>
      </c>
      <c r="J26" s="345">
        <f>IF($A26="","",IF(OR('Oct 2026'!AA14=TRUE,'Oct 2026'!AA14="x",'Oct 2026'!AA14="X"),1,0))</f>
        <v/>
      </c>
      <c r="K26" s="345">
        <f>IF($A26="","",IF(OR('Oct 2026'!AA15=TRUE,'Oct 2026'!AA15="x",'Oct 2026'!AA15="X"),1,0))</f>
        <v/>
      </c>
      <c r="L26" s="345">
        <f>IF($A26="","",IF(OR('Oct 2026'!AA16=TRUE,'Oct 2026'!AA16="x",'Oct 2026'!AA16="X"),1,0))</f>
        <v/>
      </c>
      <c r="M26" s="345">
        <f>IF($A26="","",IF(OR('Oct 2026'!AA17=TRUE,'Oct 2026'!AA17="x",'Oct 2026'!AA17="X"),1,0))</f>
        <v/>
      </c>
      <c r="N26" s="345">
        <f>IF($A26="","",IF(OR('Oct 2026'!AA18=TRUE,'Oct 2026'!AA18="x",'Oct 2026'!AA18="X"),1,0))</f>
        <v/>
      </c>
      <c r="O26" s="345">
        <f>IF($A26="","",IF(OR('Oct 2026'!AA20=TRUE,'Oct 2026'!AA20="x",'Oct 2026'!AA20="X"),1,0))</f>
        <v/>
      </c>
      <c r="P26" s="345">
        <f>IF($A26="","",IF(OR('Oct 2026'!AA21=TRUE,'Oct 2026'!AA21="x",'Oct 2026'!AA21="X"),1,0))</f>
        <v/>
      </c>
      <c r="Q26" s="345">
        <f>IF($A26="","",IF(OR('Oct 2026'!AA22=TRUE,'Oct 2026'!AA22="x",'Oct 2026'!AA22="X"),1,0))</f>
        <v/>
      </c>
      <c r="R26" s="345">
        <f>IF($A26="","",IF(OR('Oct 2026'!AA23=TRUE,'Oct 2026'!AA23="x",'Oct 2026'!AA23="X"),1,0))</f>
        <v/>
      </c>
      <c r="S26" s="345">
        <f>IF($A26="","",IF(OR('Oct 2026'!AA24=TRUE,'Oct 2026'!AA24="x",'Oct 2026'!AA24="X"),1,0))</f>
        <v/>
      </c>
      <c r="T26" s="345">
        <f>IF($A26="","",IF(OR('Oct 2026'!AA25=TRUE,'Oct 2026'!AA25="x",'Oct 2026'!AA25="X"),1,0))</f>
        <v/>
      </c>
      <c r="U26" s="345">
        <f>IF($A26="","",IF(OR('Oct 2026'!AA26=TRUE,'Oct 2026'!AA26="x",'Oct 2026'!AA26="X"),1,0))</f>
        <v/>
      </c>
      <c r="V26" s="345">
        <f>IF($A26="","",IF(OR('Oct 2026'!AA27=TRUE,'Oct 2026'!AA27="x",'Oct 2026'!AA27="X"),1,0))</f>
        <v/>
      </c>
      <c r="W26" s="345">
        <f>IF($A26="","",IF(OR('Oct 2026'!AA28=TRUE,'Oct 2026'!AA28="x",'Oct 2026'!AA28="X"),1,0))</f>
        <v/>
      </c>
      <c r="X26" s="345">
        <f>IF($A26="","",IF(OR('Oct 2026'!AA29=TRUE,'Oct 2026'!AA29="x",'Oct 2026'!AA29="X"),1,0))</f>
        <v/>
      </c>
      <c r="Y26" s="345">
        <f>IF($A26="","",IF(OR('Oct 2026'!AA30=TRUE,'Oct 2026'!AA30="x",'Oct 2026'!AA30="X"),1,0))</f>
        <v/>
      </c>
      <c r="Z26" s="345">
        <f>IF($A26="","",IF(OR('Oct 2026'!AA31=TRUE,'Oct 2026'!AA31="x",'Oct 2026'!AA31="X"),1,0))</f>
        <v/>
      </c>
      <c r="AA26" s="345">
        <f>IF($A26="","",IF(OR('Oct 2026'!AA32=TRUE,'Oct 2026'!AA32="x",'Oct 2026'!AA32="X"),1,0))</f>
        <v/>
      </c>
      <c r="AB26" s="345">
        <f>IF($A26="","",IF(OR('Oct 2026'!AA34=TRUE,'Oct 2026'!AA34="x",'Oct 2026'!AA34="X"),1,0))</f>
        <v/>
      </c>
      <c r="AC26" s="345">
        <f>IF($A26="","",IF(OR('Oct 2026'!AA35=TRUE,'Oct 2026'!AA35="x",'Oct 2026'!AA35="X"),1,0))</f>
        <v/>
      </c>
      <c r="AD26" s="345">
        <f>IF($A26="","",IF(OR('Oct 2026'!AA36=TRUE,'Oct 2026'!AA36="x",'Oct 2026'!AA36="X"),1,0))</f>
        <v/>
      </c>
      <c r="AE26" s="345">
        <f>IF($A26="","",IF(OR('Oct 2026'!AA37=TRUE,'Oct 2026'!AA37="x",'Oct 2026'!AA37="X"),1,0))</f>
        <v/>
      </c>
      <c r="AF26" s="345">
        <f>IF($A26="","",IF('Oct 2026'!AA59="","",'Oct 2026'!AA59))</f>
        <v/>
      </c>
      <c r="AG26" s="345">
        <f>IF($A26="","",IF('Oct 2026'!AA60="","",'Oct 2026'!AA60))</f>
        <v/>
      </c>
      <c r="AH26" s="345">
        <f>IF($A26="","",IF('Oct 2026'!AA61="","",'Oct 2026'!AA61))</f>
        <v/>
      </c>
      <c r="AI26" s="345">
        <f>IF($A26="","",IF('Oct 2026'!AA62="","",'Oct 2026'!AA62))</f>
        <v/>
      </c>
      <c r="AJ26" s="345">
        <f>IF($A26="","",IF('Oct 2026'!AA63="","",'Oct 2026'!AA63))</f>
        <v/>
      </c>
      <c r="AK26" s="345">
        <f>IF($A26="","",IF('Oct 2026'!AA64="","",'Oct 2026'!AA64))</f>
        <v/>
      </c>
      <c r="AL26" s="345">
        <f>IF($A26="","",IF('Oct 2026'!AA65="","",'Oct 2026'!AA65))</f>
        <v/>
      </c>
      <c r="AM26" s="345">
        <f>IF($A26="","",IF('Oct 2026'!AA66="","",'Oct 2026'!AA66))</f>
        <v/>
      </c>
      <c r="AN26" s="345">
        <f>IF($A26="","",IF('Oct 2026'!AA67="","",'Oct 2026'!AA67))</f>
        <v/>
      </c>
      <c r="AO26" s="345">
        <f>IF($A26="",0,IF(AND($A26&gt;=TrackStart,$A26&lt;=TODAY()),1,0))</f>
        <v/>
      </c>
      <c r="AP26" s="345">
        <f>IF($A26="",0,IF(SUM(F26:AE26)+COUNT(AF26:AN26)&gt;0,1,0))</f>
        <v/>
      </c>
      <c r="AQ26" s="345">
        <f>IF($A26="","",INT(($A26-TrackStart)/7)+1)</f>
        <v/>
      </c>
      <c r="AR26" s="345">
        <f>IF($A26="","",IF(AQ26&lt;=1,Steps1,IF(AQ26=2,Steps2,Steps3)))</f>
        <v/>
      </c>
      <c r="AS26" s="345">
        <f>IF($A26="",0,IF(ISNUMBER(SEARCH(TEXT(D26,"0"),WorkDays&amp;"")),1,0))</f>
        <v/>
      </c>
      <c r="AT26" s="345">
        <f>IF($A26="",0,IF(ISNUMBER(SEARCH(TEXT(D26,"0"),StrDays&amp;"")),1,0))</f>
        <v/>
      </c>
      <c r="AU26" s="345">
        <f>IF($A26="",0,IF(ISNUMBER(AK26),IF(AK26&gt;=SleepMin,1,0),N26))</f>
        <v/>
      </c>
      <c r="AV26" s="345">
        <f>IF($A26="",0,MAX(I26,O26,S26,AC26))</f>
        <v/>
      </c>
      <c r="AW26" s="345">
        <f>IF($A26="",0,IF(ISNUMBER(AH26),IF(AH26&gt;=ProtHit,1,0),0))</f>
        <v/>
      </c>
      <c r="AX26" s="345">
        <f>IF($A26="",0,IF(ISNUMBER(AI26),IF(AI26&gt;=WaterHit,1,0),0))</f>
        <v/>
      </c>
      <c r="AY26" s="345">
        <f>IF($A26="",0,IF(ISNUMBER(AG26),IF(AG26&gt;=AR26,1,0),0))</f>
        <v/>
      </c>
      <c r="AZ26" s="345">
        <f>IF($A26="",0,G26)</f>
        <v/>
      </c>
      <c r="BA26" s="345">
        <f>IF($A26="",0,J26)</f>
        <v/>
      </c>
      <c r="BB26" s="345">
        <f>IF($A26="",0,K26)</f>
        <v/>
      </c>
      <c r="BC26" s="345">
        <f>IF($A26="",0,MAX(L26,AE26))</f>
        <v/>
      </c>
      <c r="BD26" s="344">
        <f>IF($A26="","",(AU26+AV26+AW26+AX26+AY26+AZ26+BB26+BC26+IF(AS26=1,BA26,0))/(8+AS26))</f>
        <v/>
      </c>
      <c r="BE26" s="344">
        <f>IF($A26="","",(IF(ISNUMBER(AI26),IF(AI26&gt;=WaterMVD,1,0),0)+AV26+IF(ISNUMBER(AH26),IF(AH26&gt;=ProtMVD,1,0),0)+MAX(H26,AD26)+AZ26+BB26+AU26)/7)</f>
        <v/>
      </c>
      <c r="BF26" s="344">
        <f>IF(AO26=0,"",IF(E26="S","",IF(AND(AP26=0,$A26=TODAY()),"",IF(E26="M",BE26,BD26))))</f>
        <v/>
      </c>
      <c r="BG26" s="344">
        <f>IF(AO26=0,"",IFERROR(AVERAGEIFS(Data!$BF$4:$BF$375,Data!$A$4:$A$375,"&gt;"&amp;($A26-7),Data!$A$4:$A$375,"&lt;="&amp;$A26),""))</f>
        <v/>
      </c>
      <c r="BH26" s="344">
        <f>IF(AO26=0,"",IFERROR(AVERAGEIFS(Data!$BF$4:$BF$375,Data!$A$4:$A$375,"&gt;"&amp;($A26-30),Data!$A$4:$A$375,"&lt;="&amp;$A26),""))</f>
        <v/>
      </c>
      <c r="BI26" s="359">
        <f>IF($A26="","",IFERROR(AVERAGEIFS(Data!$AF$4:$AF$375,Data!$A$4:$A$375,"&gt;"&amp;($A26-7),Data!$A$4:$A$375,"&lt;="&amp;$A26,Data!$AF$4:$AF$375,"&gt;0"),""))</f>
        <v/>
      </c>
      <c r="BJ26" s="345">
        <f>IF($A26="","",F26+G26+H26+I26+J26+K26+L26+M26+N26-IF(AS26=1,0,J26))</f>
        <v/>
      </c>
      <c r="BK26" s="345">
        <f>IF($A26="","",8+AS26)</f>
        <v/>
      </c>
      <c r="BL26" s="345">
        <f>IF(ISNUMBER(BF26),BF26,NA())</f>
        <v/>
      </c>
      <c r="BM26" s="345">
        <f>IF(ISNUMBER(AF26),AF26,NA())</f>
        <v/>
      </c>
      <c r="BN26" s="345">
        <f>IF(ISNUMBER(BI26),BI26,NA())</f>
        <v/>
      </c>
      <c r="BO26" s="345">
        <f>IF(ISNUMBER(AL26),AL26,NA())</f>
        <v/>
      </c>
      <c r="BP26" s="345">
        <f>IF(ISNUMBER(AM26),AM26,NA())</f>
        <v/>
      </c>
      <c r="BQ26" s="345">
        <f>IF(ISNUMBER(AN26),AN26,NA())</f>
        <v/>
      </c>
    </row>
    <row r="27">
      <c r="A27" s="358">
        <f>IF('Oct 2026'!AB7="","",'Oct 2026'!AB7)</f>
        <v/>
      </c>
      <c r="B27" s="345" t="n">
        <v>1</v>
      </c>
      <c r="C27" s="345">
        <f>IF($A27="","",24)</f>
        <v/>
      </c>
      <c r="D27" s="345">
        <f>IF($A27="","",WEEKDAY($A27,2))</f>
        <v/>
      </c>
      <c r="E27" s="345">
        <f>IF($A27="","",UPPER(TRIM('Oct 2026'!AB8)))</f>
        <v/>
      </c>
      <c r="F27" s="345">
        <f>IF($A27="","",IF(OR('Oct 2026'!AB10=TRUE,'Oct 2026'!AB10="x",'Oct 2026'!AB10="X"),1,0))</f>
        <v/>
      </c>
      <c r="G27" s="345">
        <f>IF($A27="","",IF(OR('Oct 2026'!AB11=TRUE,'Oct 2026'!AB11="x",'Oct 2026'!AB11="X"),1,0))</f>
        <v/>
      </c>
      <c r="H27" s="345">
        <f>IF($A27="","",IF(OR('Oct 2026'!AB12=TRUE,'Oct 2026'!AB12="x",'Oct 2026'!AB12="X"),1,0))</f>
        <v/>
      </c>
      <c r="I27" s="345">
        <f>IF($A27="","",IF(OR('Oct 2026'!AB13=TRUE,'Oct 2026'!AB13="x",'Oct 2026'!AB13="X"),1,0))</f>
        <v/>
      </c>
      <c r="J27" s="345">
        <f>IF($A27="","",IF(OR('Oct 2026'!AB14=TRUE,'Oct 2026'!AB14="x",'Oct 2026'!AB14="X"),1,0))</f>
        <v/>
      </c>
      <c r="K27" s="345">
        <f>IF($A27="","",IF(OR('Oct 2026'!AB15=TRUE,'Oct 2026'!AB15="x",'Oct 2026'!AB15="X"),1,0))</f>
        <v/>
      </c>
      <c r="L27" s="345">
        <f>IF($A27="","",IF(OR('Oct 2026'!AB16=TRUE,'Oct 2026'!AB16="x",'Oct 2026'!AB16="X"),1,0))</f>
        <v/>
      </c>
      <c r="M27" s="345">
        <f>IF($A27="","",IF(OR('Oct 2026'!AB17=TRUE,'Oct 2026'!AB17="x",'Oct 2026'!AB17="X"),1,0))</f>
        <v/>
      </c>
      <c r="N27" s="345">
        <f>IF($A27="","",IF(OR('Oct 2026'!AB18=TRUE,'Oct 2026'!AB18="x",'Oct 2026'!AB18="X"),1,0))</f>
        <v/>
      </c>
      <c r="O27" s="345">
        <f>IF($A27="","",IF(OR('Oct 2026'!AB20=TRUE,'Oct 2026'!AB20="x",'Oct 2026'!AB20="X"),1,0))</f>
        <v/>
      </c>
      <c r="P27" s="345">
        <f>IF($A27="","",IF(OR('Oct 2026'!AB21=TRUE,'Oct 2026'!AB21="x",'Oct 2026'!AB21="X"),1,0))</f>
        <v/>
      </c>
      <c r="Q27" s="345">
        <f>IF($A27="","",IF(OR('Oct 2026'!AB22=TRUE,'Oct 2026'!AB22="x",'Oct 2026'!AB22="X"),1,0))</f>
        <v/>
      </c>
      <c r="R27" s="345">
        <f>IF($A27="","",IF(OR('Oct 2026'!AB23=TRUE,'Oct 2026'!AB23="x",'Oct 2026'!AB23="X"),1,0))</f>
        <v/>
      </c>
      <c r="S27" s="345">
        <f>IF($A27="","",IF(OR('Oct 2026'!AB24=TRUE,'Oct 2026'!AB24="x",'Oct 2026'!AB24="X"),1,0))</f>
        <v/>
      </c>
      <c r="T27" s="345">
        <f>IF($A27="","",IF(OR('Oct 2026'!AB25=TRUE,'Oct 2026'!AB25="x",'Oct 2026'!AB25="X"),1,0))</f>
        <v/>
      </c>
      <c r="U27" s="345">
        <f>IF($A27="","",IF(OR('Oct 2026'!AB26=TRUE,'Oct 2026'!AB26="x",'Oct 2026'!AB26="X"),1,0))</f>
        <v/>
      </c>
      <c r="V27" s="345">
        <f>IF($A27="","",IF(OR('Oct 2026'!AB27=TRUE,'Oct 2026'!AB27="x",'Oct 2026'!AB27="X"),1,0))</f>
        <v/>
      </c>
      <c r="W27" s="345">
        <f>IF($A27="","",IF(OR('Oct 2026'!AB28=TRUE,'Oct 2026'!AB28="x",'Oct 2026'!AB28="X"),1,0))</f>
        <v/>
      </c>
      <c r="X27" s="345">
        <f>IF($A27="","",IF(OR('Oct 2026'!AB29=TRUE,'Oct 2026'!AB29="x",'Oct 2026'!AB29="X"),1,0))</f>
        <v/>
      </c>
      <c r="Y27" s="345">
        <f>IF($A27="","",IF(OR('Oct 2026'!AB30=TRUE,'Oct 2026'!AB30="x",'Oct 2026'!AB30="X"),1,0))</f>
        <v/>
      </c>
      <c r="Z27" s="345">
        <f>IF($A27="","",IF(OR('Oct 2026'!AB31=TRUE,'Oct 2026'!AB31="x",'Oct 2026'!AB31="X"),1,0))</f>
        <v/>
      </c>
      <c r="AA27" s="345">
        <f>IF($A27="","",IF(OR('Oct 2026'!AB32=TRUE,'Oct 2026'!AB32="x",'Oct 2026'!AB32="X"),1,0))</f>
        <v/>
      </c>
      <c r="AB27" s="345">
        <f>IF($A27="","",IF(OR('Oct 2026'!AB34=TRUE,'Oct 2026'!AB34="x",'Oct 2026'!AB34="X"),1,0))</f>
        <v/>
      </c>
      <c r="AC27" s="345">
        <f>IF($A27="","",IF(OR('Oct 2026'!AB35=TRUE,'Oct 2026'!AB35="x",'Oct 2026'!AB35="X"),1,0))</f>
        <v/>
      </c>
      <c r="AD27" s="345">
        <f>IF($A27="","",IF(OR('Oct 2026'!AB36=TRUE,'Oct 2026'!AB36="x",'Oct 2026'!AB36="X"),1,0))</f>
        <v/>
      </c>
      <c r="AE27" s="345">
        <f>IF($A27="","",IF(OR('Oct 2026'!AB37=TRUE,'Oct 2026'!AB37="x",'Oct 2026'!AB37="X"),1,0))</f>
        <v/>
      </c>
      <c r="AF27" s="345">
        <f>IF($A27="","",IF('Oct 2026'!AB59="","",'Oct 2026'!AB59))</f>
        <v/>
      </c>
      <c r="AG27" s="345">
        <f>IF($A27="","",IF('Oct 2026'!AB60="","",'Oct 2026'!AB60))</f>
        <v/>
      </c>
      <c r="AH27" s="345">
        <f>IF($A27="","",IF('Oct 2026'!AB61="","",'Oct 2026'!AB61))</f>
        <v/>
      </c>
      <c r="AI27" s="345">
        <f>IF($A27="","",IF('Oct 2026'!AB62="","",'Oct 2026'!AB62))</f>
        <v/>
      </c>
      <c r="AJ27" s="345">
        <f>IF($A27="","",IF('Oct 2026'!AB63="","",'Oct 2026'!AB63))</f>
        <v/>
      </c>
      <c r="AK27" s="345">
        <f>IF($A27="","",IF('Oct 2026'!AB64="","",'Oct 2026'!AB64))</f>
        <v/>
      </c>
      <c r="AL27" s="345">
        <f>IF($A27="","",IF('Oct 2026'!AB65="","",'Oct 2026'!AB65))</f>
        <v/>
      </c>
      <c r="AM27" s="345">
        <f>IF($A27="","",IF('Oct 2026'!AB66="","",'Oct 2026'!AB66))</f>
        <v/>
      </c>
      <c r="AN27" s="345">
        <f>IF($A27="","",IF('Oct 2026'!AB67="","",'Oct 2026'!AB67))</f>
        <v/>
      </c>
      <c r="AO27" s="345">
        <f>IF($A27="",0,IF(AND($A27&gt;=TrackStart,$A27&lt;=TODAY()),1,0))</f>
        <v/>
      </c>
      <c r="AP27" s="345">
        <f>IF($A27="",0,IF(SUM(F27:AE27)+COUNT(AF27:AN27)&gt;0,1,0))</f>
        <v/>
      </c>
      <c r="AQ27" s="345">
        <f>IF($A27="","",INT(($A27-TrackStart)/7)+1)</f>
        <v/>
      </c>
      <c r="AR27" s="345">
        <f>IF($A27="","",IF(AQ27&lt;=1,Steps1,IF(AQ27=2,Steps2,Steps3)))</f>
        <v/>
      </c>
      <c r="AS27" s="345">
        <f>IF($A27="",0,IF(ISNUMBER(SEARCH(TEXT(D27,"0"),WorkDays&amp;"")),1,0))</f>
        <v/>
      </c>
      <c r="AT27" s="345">
        <f>IF($A27="",0,IF(ISNUMBER(SEARCH(TEXT(D27,"0"),StrDays&amp;"")),1,0))</f>
        <v/>
      </c>
      <c r="AU27" s="345">
        <f>IF($A27="",0,IF(ISNUMBER(AK27),IF(AK27&gt;=SleepMin,1,0),N27))</f>
        <v/>
      </c>
      <c r="AV27" s="345">
        <f>IF($A27="",0,MAX(I27,O27,S27,AC27))</f>
        <v/>
      </c>
      <c r="AW27" s="345">
        <f>IF($A27="",0,IF(ISNUMBER(AH27),IF(AH27&gt;=ProtHit,1,0),0))</f>
        <v/>
      </c>
      <c r="AX27" s="345">
        <f>IF($A27="",0,IF(ISNUMBER(AI27),IF(AI27&gt;=WaterHit,1,0),0))</f>
        <v/>
      </c>
      <c r="AY27" s="345">
        <f>IF($A27="",0,IF(ISNUMBER(AG27),IF(AG27&gt;=AR27,1,0),0))</f>
        <v/>
      </c>
      <c r="AZ27" s="345">
        <f>IF($A27="",0,G27)</f>
        <v/>
      </c>
      <c r="BA27" s="345">
        <f>IF($A27="",0,J27)</f>
        <v/>
      </c>
      <c r="BB27" s="345">
        <f>IF($A27="",0,K27)</f>
        <v/>
      </c>
      <c r="BC27" s="345">
        <f>IF($A27="",0,MAX(L27,AE27))</f>
        <v/>
      </c>
      <c r="BD27" s="344">
        <f>IF($A27="","",(AU27+AV27+AW27+AX27+AY27+AZ27+BB27+BC27+IF(AS27=1,BA27,0))/(8+AS27))</f>
        <v/>
      </c>
      <c r="BE27" s="344">
        <f>IF($A27="","",(IF(ISNUMBER(AI27),IF(AI27&gt;=WaterMVD,1,0),0)+AV27+IF(ISNUMBER(AH27),IF(AH27&gt;=ProtMVD,1,0),0)+MAX(H27,AD27)+AZ27+BB27+AU27)/7)</f>
        <v/>
      </c>
      <c r="BF27" s="344">
        <f>IF(AO27=0,"",IF(E27="S","",IF(AND(AP27=0,$A27=TODAY()),"",IF(E27="M",BE27,BD27))))</f>
        <v/>
      </c>
      <c r="BG27" s="344">
        <f>IF(AO27=0,"",IFERROR(AVERAGEIFS(Data!$BF$4:$BF$375,Data!$A$4:$A$375,"&gt;"&amp;($A27-7),Data!$A$4:$A$375,"&lt;="&amp;$A27),""))</f>
        <v/>
      </c>
      <c r="BH27" s="344">
        <f>IF(AO27=0,"",IFERROR(AVERAGEIFS(Data!$BF$4:$BF$375,Data!$A$4:$A$375,"&gt;"&amp;($A27-30),Data!$A$4:$A$375,"&lt;="&amp;$A27),""))</f>
        <v/>
      </c>
      <c r="BI27" s="359">
        <f>IF($A27="","",IFERROR(AVERAGEIFS(Data!$AF$4:$AF$375,Data!$A$4:$A$375,"&gt;"&amp;($A27-7),Data!$A$4:$A$375,"&lt;="&amp;$A27,Data!$AF$4:$AF$375,"&gt;0"),""))</f>
        <v/>
      </c>
      <c r="BJ27" s="345">
        <f>IF($A27="","",F27+G27+H27+I27+J27+K27+L27+M27+N27-IF(AS27=1,0,J27))</f>
        <v/>
      </c>
      <c r="BK27" s="345">
        <f>IF($A27="","",8+AS27)</f>
        <v/>
      </c>
      <c r="BL27" s="345">
        <f>IF(ISNUMBER(BF27),BF27,NA())</f>
        <v/>
      </c>
      <c r="BM27" s="345">
        <f>IF(ISNUMBER(AF27),AF27,NA())</f>
        <v/>
      </c>
      <c r="BN27" s="345">
        <f>IF(ISNUMBER(BI27),BI27,NA())</f>
        <v/>
      </c>
      <c r="BO27" s="345">
        <f>IF(ISNUMBER(AL27),AL27,NA())</f>
        <v/>
      </c>
      <c r="BP27" s="345">
        <f>IF(ISNUMBER(AM27),AM27,NA())</f>
        <v/>
      </c>
      <c r="BQ27" s="345">
        <f>IF(ISNUMBER(AN27),AN27,NA())</f>
        <v/>
      </c>
    </row>
    <row r="28">
      <c r="A28" s="358">
        <f>IF('Oct 2026'!AC7="","",'Oct 2026'!AC7)</f>
        <v/>
      </c>
      <c r="B28" s="345" t="n">
        <v>1</v>
      </c>
      <c r="C28" s="345">
        <f>IF($A28="","",25)</f>
        <v/>
      </c>
      <c r="D28" s="345">
        <f>IF($A28="","",WEEKDAY($A28,2))</f>
        <v/>
      </c>
      <c r="E28" s="345">
        <f>IF($A28="","",UPPER(TRIM('Oct 2026'!AC8)))</f>
        <v/>
      </c>
      <c r="F28" s="345">
        <f>IF($A28="","",IF(OR('Oct 2026'!AC10=TRUE,'Oct 2026'!AC10="x",'Oct 2026'!AC10="X"),1,0))</f>
        <v/>
      </c>
      <c r="G28" s="345">
        <f>IF($A28="","",IF(OR('Oct 2026'!AC11=TRUE,'Oct 2026'!AC11="x",'Oct 2026'!AC11="X"),1,0))</f>
        <v/>
      </c>
      <c r="H28" s="345">
        <f>IF($A28="","",IF(OR('Oct 2026'!AC12=TRUE,'Oct 2026'!AC12="x",'Oct 2026'!AC12="X"),1,0))</f>
        <v/>
      </c>
      <c r="I28" s="345">
        <f>IF($A28="","",IF(OR('Oct 2026'!AC13=TRUE,'Oct 2026'!AC13="x",'Oct 2026'!AC13="X"),1,0))</f>
        <v/>
      </c>
      <c r="J28" s="345">
        <f>IF($A28="","",IF(OR('Oct 2026'!AC14=TRUE,'Oct 2026'!AC14="x",'Oct 2026'!AC14="X"),1,0))</f>
        <v/>
      </c>
      <c r="K28" s="345">
        <f>IF($A28="","",IF(OR('Oct 2026'!AC15=TRUE,'Oct 2026'!AC15="x",'Oct 2026'!AC15="X"),1,0))</f>
        <v/>
      </c>
      <c r="L28" s="345">
        <f>IF($A28="","",IF(OR('Oct 2026'!AC16=TRUE,'Oct 2026'!AC16="x",'Oct 2026'!AC16="X"),1,0))</f>
        <v/>
      </c>
      <c r="M28" s="345">
        <f>IF($A28="","",IF(OR('Oct 2026'!AC17=TRUE,'Oct 2026'!AC17="x",'Oct 2026'!AC17="X"),1,0))</f>
        <v/>
      </c>
      <c r="N28" s="345">
        <f>IF($A28="","",IF(OR('Oct 2026'!AC18=TRUE,'Oct 2026'!AC18="x",'Oct 2026'!AC18="X"),1,0))</f>
        <v/>
      </c>
      <c r="O28" s="345">
        <f>IF($A28="","",IF(OR('Oct 2026'!AC20=TRUE,'Oct 2026'!AC20="x",'Oct 2026'!AC20="X"),1,0))</f>
        <v/>
      </c>
      <c r="P28" s="345">
        <f>IF($A28="","",IF(OR('Oct 2026'!AC21=TRUE,'Oct 2026'!AC21="x",'Oct 2026'!AC21="X"),1,0))</f>
        <v/>
      </c>
      <c r="Q28" s="345">
        <f>IF($A28="","",IF(OR('Oct 2026'!AC22=TRUE,'Oct 2026'!AC22="x",'Oct 2026'!AC22="X"),1,0))</f>
        <v/>
      </c>
      <c r="R28" s="345">
        <f>IF($A28="","",IF(OR('Oct 2026'!AC23=TRUE,'Oct 2026'!AC23="x",'Oct 2026'!AC23="X"),1,0))</f>
        <v/>
      </c>
      <c r="S28" s="345">
        <f>IF($A28="","",IF(OR('Oct 2026'!AC24=TRUE,'Oct 2026'!AC24="x",'Oct 2026'!AC24="X"),1,0))</f>
        <v/>
      </c>
      <c r="T28" s="345">
        <f>IF($A28="","",IF(OR('Oct 2026'!AC25=TRUE,'Oct 2026'!AC25="x",'Oct 2026'!AC25="X"),1,0))</f>
        <v/>
      </c>
      <c r="U28" s="345">
        <f>IF($A28="","",IF(OR('Oct 2026'!AC26=TRUE,'Oct 2026'!AC26="x",'Oct 2026'!AC26="X"),1,0))</f>
        <v/>
      </c>
      <c r="V28" s="345">
        <f>IF($A28="","",IF(OR('Oct 2026'!AC27=TRUE,'Oct 2026'!AC27="x",'Oct 2026'!AC27="X"),1,0))</f>
        <v/>
      </c>
      <c r="W28" s="345">
        <f>IF($A28="","",IF(OR('Oct 2026'!AC28=TRUE,'Oct 2026'!AC28="x",'Oct 2026'!AC28="X"),1,0))</f>
        <v/>
      </c>
      <c r="X28" s="345">
        <f>IF($A28="","",IF(OR('Oct 2026'!AC29=TRUE,'Oct 2026'!AC29="x",'Oct 2026'!AC29="X"),1,0))</f>
        <v/>
      </c>
      <c r="Y28" s="345">
        <f>IF($A28="","",IF(OR('Oct 2026'!AC30=TRUE,'Oct 2026'!AC30="x",'Oct 2026'!AC30="X"),1,0))</f>
        <v/>
      </c>
      <c r="Z28" s="345">
        <f>IF($A28="","",IF(OR('Oct 2026'!AC31=TRUE,'Oct 2026'!AC31="x",'Oct 2026'!AC31="X"),1,0))</f>
        <v/>
      </c>
      <c r="AA28" s="345">
        <f>IF($A28="","",IF(OR('Oct 2026'!AC32=TRUE,'Oct 2026'!AC32="x",'Oct 2026'!AC32="X"),1,0))</f>
        <v/>
      </c>
      <c r="AB28" s="345">
        <f>IF($A28="","",IF(OR('Oct 2026'!AC34=TRUE,'Oct 2026'!AC34="x",'Oct 2026'!AC34="X"),1,0))</f>
        <v/>
      </c>
      <c r="AC28" s="345">
        <f>IF($A28="","",IF(OR('Oct 2026'!AC35=TRUE,'Oct 2026'!AC35="x",'Oct 2026'!AC35="X"),1,0))</f>
        <v/>
      </c>
      <c r="AD28" s="345">
        <f>IF($A28="","",IF(OR('Oct 2026'!AC36=TRUE,'Oct 2026'!AC36="x",'Oct 2026'!AC36="X"),1,0))</f>
        <v/>
      </c>
      <c r="AE28" s="345">
        <f>IF($A28="","",IF(OR('Oct 2026'!AC37=TRUE,'Oct 2026'!AC37="x",'Oct 2026'!AC37="X"),1,0))</f>
        <v/>
      </c>
      <c r="AF28" s="345">
        <f>IF($A28="","",IF('Oct 2026'!AC59="","",'Oct 2026'!AC59))</f>
        <v/>
      </c>
      <c r="AG28" s="345">
        <f>IF($A28="","",IF('Oct 2026'!AC60="","",'Oct 2026'!AC60))</f>
        <v/>
      </c>
      <c r="AH28" s="345">
        <f>IF($A28="","",IF('Oct 2026'!AC61="","",'Oct 2026'!AC61))</f>
        <v/>
      </c>
      <c r="AI28" s="345">
        <f>IF($A28="","",IF('Oct 2026'!AC62="","",'Oct 2026'!AC62))</f>
        <v/>
      </c>
      <c r="AJ28" s="345">
        <f>IF($A28="","",IF('Oct 2026'!AC63="","",'Oct 2026'!AC63))</f>
        <v/>
      </c>
      <c r="AK28" s="345">
        <f>IF($A28="","",IF('Oct 2026'!AC64="","",'Oct 2026'!AC64))</f>
        <v/>
      </c>
      <c r="AL28" s="345">
        <f>IF($A28="","",IF('Oct 2026'!AC65="","",'Oct 2026'!AC65))</f>
        <v/>
      </c>
      <c r="AM28" s="345">
        <f>IF($A28="","",IF('Oct 2026'!AC66="","",'Oct 2026'!AC66))</f>
        <v/>
      </c>
      <c r="AN28" s="345">
        <f>IF($A28="","",IF('Oct 2026'!AC67="","",'Oct 2026'!AC67))</f>
        <v/>
      </c>
      <c r="AO28" s="345">
        <f>IF($A28="",0,IF(AND($A28&gt;=TrackStart,$A28&lt;=TODAY()),1,0))</f>
        <v/>
      </c>
      <c r="AP28" s="345">
        <f>IF($A28="",0,IF(SUM(F28:AE28)+COUNT(AF28:AN28)&gt;0,1,0))</f>
        <v/>
      </c>
      <c r="AQ28" s="345">
        <f>IF($A28="","",INT(($A28-TrackStart)/7)+1)</f>
        <v/>
      </c>
      <c r="AR28" s="345">
        <f>IF($A28="","",IF(AQ28&lt;=1,Steps1,IF(AQ28=2,Steps2,Steps3)))</f>
        <v/>
      </c>
      <c r="AS28" s="345">
        <f>IF($A28="",0,IF(ISNUMBER(SEARCH(TEXT(D28,"0"),WorkDays&amp;"")),1,0))</f>
        <v/>
      </c>
      <c r="AT28" s="345">
        <f>IF($A28="",0,IF(ISNUMBER(SEARCH(TEXT(D28,"0"),StrDays&amp;"")),1,0))</f>
        <v/>
      </c>
      <c r="AU28" s="345">
        <f>IF($A28="",0,IF(ISNUMBER(AK28),IF(AK28&gt;=SleepMin,1,0),N28))</f>
        <v/>
      </c>
      <c r="AV28" s="345">
        <f>IF($A28="",0,MAX(I28,O28,S28,AC28))</f>
        <v/>
      </c>
      <c r="AW28" s="345">
        <f>IF($A28="",0,IF(ISNUMBER(AH28),IF(AH28&gt;=ProtHit,1,0),0))</f>
        <v/>
      </c>
      <c r="AX28" s="345">
        <f>IF($A28="",0,IF(ISNUMBER(AI28),IF(AI28&gt;=WaterHit,1,0),0))</f>
        <v/>
      </c>
      <c r="AY28" s="345">
        <f>IF($A28="",0,IF(ISNUMBER(AG28),IF(AG28&gt;=AR28,1,0),0))</f>
        <v/>
      </c>
      <c r="AZ28" s="345">
        <f>IF($A28="",0,G28)</f>
        <v/>
      </c>
      <c r="BA28" s="345">
        <f>IF($A28="",0,J28)</f>
        <v/>
      </c>
      <c r="BB28" s="345">
        <f>IF($A28="",0,K28)</f>
        <v/>
      </c>
      <c r="BC28" s="345">
        <f>IF($A28="",0,MAX(L28,AE28))</f>
        <v/>
      </c>
      <c r="BD28" s="344">
        <f>IF($A28="","",(AU28+AV28+AW28+AX28+AY28+AZ28+BB28+BC28+IF(AS28=1,BA28,0))/(8+AS28))</f>
        <v/>
      </c>
      <c r="BE28" s="344">
        <f>IF($A28="","",(IF(ISNUMBER(AI28),IF(AI28&gt;=WaterMVD,1,0),0)+AV28+IF(ISNUMBER(AH28),IF(AH28&gt;=ProtMVD,1,0),0)+MAX(H28,AD28)+AZ28+BB28+AU28)/7)</f>
        <v/>
      </c>
      <c r="BF28" s="344">
        <f>IF(AO28=0,"",IF(E28="S","",IF(AND(AP28=0,$A28=TODAY()),"",IF(E28="M",BE28,BD28))))</f>
        <v/>
      </c>
      <c r="BG28" s="344">
        <f>IF(AO28=0,"",IFERROR(AVERAGEIFS(Data!$BF$4:$BF$375,Data!$A$4:$A$375,"&gt;"&amp;($A28-7),Data!$A$4:$A$375,"&lt;="&amp;$A28),""))</f>
        <v/>
      </c>
      <c r="BH28" s="344">
        <f>IF(AO28=0,"",IFERROR(AVERAGEIFS(Data!$BF$4:$BF$375,Data!$A$4:$A$375,"&gt;"&amp;($A28-30),Data!$A$4:$A$375,"&lt;="&amp;$A28),""))</f>
        <v/>
      </c>
      <c r="BI28" s="359">
        <f>IF($A28="","",IFERROR(AVERAGEIFS(Data!$AF$4:$AF$375,Data!$A$4:$A$375,"&gt;"&amp;($A28-7),Data!$A$4:$A$375,"&lt;="&amp;$A28,Data!$AF$4:$AF$375,"&gt;0"),""))</f>
        <v/>
      </c>
      <c r="BJ28" s="345">
        <f>IF($A28="","",F28+G28+H28+I28+J28+K28+L28+M28+N28-IF(AS28=1,0,J28))</f>
        <v/>
      </c>
      <c r="BK28" s="345">
        <f>IF($A28="","",8+AS28)</f>
        <v/>
      </c>
      <c r="BL28" s="345">
        <f>IF(ISNUMBER(BF28),BF28,NA())</f>
        <v/>
      </c>
      <c r="BM28" s="345">
        <f>IF(ISNUMBER(AF28),AF28,NA())</f>
        <v/>
      </c>
      <c r="BN28" s="345">
        <f>IF(ISNUMBER(BI28),BI28,NA())</f>
        <v/>
      </c>
      <c r="BO28" s="345">
        <f>IF(ISNUMBER(AL28),AL28,NA())</f>
        <v/>
      </c>
      <c r="BP28" s="345">
        <f>IF(ISNUMBER(AM28),AM28,NA())</f>
        <v/>
      </c>
      <c r="BQ28" s="345">
        <f>IF(ISNUMBER(AN28),AN28,NA())</f>
        <v/>
      </c>
    </row>
    <row r="29">
      <c r="A29" s="358">
        <f>IF('Oct 2026'!AD7="","",'Oct 2026'!AD7)</f>
        <v/>
      </c>
      <c r="B29" s="345" t="n">
        <v>1</v>
      </c>
      <c r="C29" s="345">
        <f>IF($A29="","",26)</f>
        <v/>
      </c>
      <c r="D29" s="345">
        <f>IF($A29="","",WEEKDAY($A29,2))</f>
        <v/>
      </c>
      <c r="E29" s="345">
        <f>IF($A29="","",UPPER(TRIM('Oct 2026'!AD8)))</f>
        <v/>
      </c>
      <c r="F29" s="345">
        <f>IF($A29="","",IF(OR('Oct 2026'!AD10=TRUE,'Oct 2026'!AD10="x",'Oct 2026'!AD10="X"),1,0))</f>
        <v/>
      </c>
      <c r="G29" s="345">
        <f>IF($A29="","",IF(OR('Oct 2026'!AD11=TRUE,'Oct 2026'!AD11="x",'Oct 2026'!AD11="X"),1,0))</f>
        <v/>
      </c>
      <c r="H29" s="345">
        <f>IF($A29="","",IF(OR('Oct 2026'!AD12=TRUE,'Oct 2026'!AD12="x",'Oct 2026'!AD12="X"),1,0))</f>
        <v/>
      </c>
      <c r="I29" s="345">
        <f>IF($A29="","",IF(OR('Oct 2026'!AD13=TRUE,'Oct 2026'!AD13="x",'Oct 2026'!AD13="X"),1,0))</f>
        <v/>
      </c>
      <c r="J29" s="345">
        <f>IF($A29="","",IF(OR('Oct 2026'!AD14=TRUE,'Oct 2026'!AD14="x",'Oct 2026'!AD14="X"),1,0))</f>
        <v/>
      </c>
      <c r="K29" s="345">
        <f>IF($A29="","",IF(OR('Oct 2026'!AD15=TRUE,'Oct 2026'!AD15="x",'Oct 2026'!AD15="X"),1,0))</f>
        <v/>
      </c>
      <c r="L29" s="345">
        <f>IF($A29="","",IF(OR('Oct 2026'!AD16=TRUE,'Oct 2026'!AD16="x",'Oct 2026'!AD16="X"),1,0))</f>
        <v/>
      </c>
      <c r="M29" s="345">
        <f>IF($A29="","",IF(OR('Oct 2026'!AD17=TRUE,'Oct 2026'!AD17="x",'Oct 2026'!AD17="X"),1,0))</f>
        <v/>
      </c>
      <c r="N29" s="345">
        <f>IF($A29="","",IF(OR('Oct 2026'!AD18=TRUE,'Oct 2026'!AD18="x",'Oct 2026'!AD18="X"),1,0))</f>
        <v/>
      </c>
      <c r="O29" s="345">
        <f>IF($A29="","",IF(OR('Oct 2026'!AD20=TRUE,'Oct 2026'!AD20="x",'Oct 2026'!AD20="X"),1,0))</f>
        <v/>
      </c>
      <c r="P29" s="345">
        <f>IF($A29="","",IF(OR('Oct 2026'!AD21=TRUE,'Oct 2026'!AD21="x",'Oct 2026'!AD21="X"),1,0))</f>
        <v/>
      </c>
      <c r="Q29" s="345">
        <f>IF($A29="","",IF(OR('Oct 2026'!AD22=TRUE,'Oct 2026'!AD22="x",'Oct 2026'!AD22="X"),1,0))</f>
        <v/>
      </c>
      <c r="R29" s="345">
        <f>IF($A29="","",IF(OR('Oct 2026'!AD23=TRUE,'Oct 2026'!AD23="x",'Oct 2026'!AD23="X"),1,0))</f>
        <v/>
      </c>
      <c r="S29" s="345">
        <f>IF($A29="","",IF(OR('Oct 2026'!AD24=TRUE,'Oct 2026'!AD24="x",'Oct 2026'!AD24="X"),1,0))</f>
        <v/>
      </c>
      <c r="T29" s="345">
        <f>IF($A29="","",IF(OR('Oct 2026'!AD25=TRUE,'Oct 2026'!AD25="x",'Oct 2026'!AD25="X"),1,0))</f>
        <v/>
      </c>
      <c r="U29" s="345">
        <f>IF($A29="","",IF(OR('Oct 2026'!AD26=TRUE,'Oct 2026'!AD26="x",'Oct 2026'!AD26="X"),1,0))</f>
        <v/>
      </c>
      <c r="V29" s="345">
        <f>IF($A29="","",IF(OR('Oct 2026'!AD27=TRUE,'Oct 2026'!AD27="x",'Oct 2026'!AD27="X"),1,0))</f>
        <v/>
      </c>
      <c r="W29" s="345">
        <f>IF($A29="","",IF(OR('Oct 2026'!AD28=TRUE,'Oct 2026'!AD28="x",'Oct 2026'!AD28="X"),1,0))</f>
        <v/>
      </c>
      <c r="X29" s="345">
        <f>IF($A29="","",IF(OR('Oct 2026'!AD29=TRUE,'Oct 2026'!AD29="x",'Oct 2026'!AD29="X"),1,0))</f>
        <v/>
      </c>
      <c r="Y29" s="345">
        <f>IF($A29="","",IF(OR('Oct 2026'!AD30=TRUE,'Oct 2026'!AD30="x",'Oct 2026'!AD30="X"),1,0))</f>
        <v/>
      </c>
      <c r="Z29" s="345">
        <f>IF($A29="","",IF(OR('Oct 2026'!AD31=TRUE,'Oct 2026'!AD31="x",'Oct 2026'!AD31="X"),1,0))</f>
        <v/>
      </c>
      <c r="AA29" s="345">
        <f>IF($A29="","",IF(OR('Oct 2026'!AD32=TRUE,'Oct 2026'!AD32="x",'Oct 2026'!AD32="X"),1,0))</f>
        <v/>
      </c>
      <c r="AB29" s="345">
        <f>IF($A29="","",IF(OR('Oct 2026'!AD34=TRUE,'Oct 2026'!AD34="x",'Oct 2026'!AD34="X"),1,0))</f>
        <v/>
      </c>
      <c r="AC29" s="345">
        <f>IF($A29="","",IF(OR('Oct 2026'!AD35=TRUE,'Oct 2026'!AD35="x",'Oct 2026'!AD35="X"),1,0))</f>
        <v/>
      </c>
      <c r="AD29" s="345">
        <f>IF($A29="","",IF(OR('Oct 2026'!AD36=TRUE,'Oct 2026'!AD36="x",'Oct 2026'!AD36="X"),1,0))</f>
        <v/>
      </c>
      <c r="AE29" s="345">
        <f>IF($A29="","",IF(OR('Oct 2026'!AD37=TRUE,'Oct 2026'!AD37="x",'Oct 2026'!AD37="X"),1,0))</f>
        <v/>
      </c>
      <c r="AF29" s="345">
        <f>IF($A29="","",IF('Oct 2026'!AD59="","",'Oct 2026'!AD59))</f>
        <v/>
      </c>
      <c r="AG29" s="345">
        <f>IF($A29="","",IF('Oct 2026'!AD60="","",'Oct 2026'!AD60))</f>
        <v/>
      </c>
      <c r="AH29" s="345">
        <f>IF($A29="","",IF('Oct 2026'!AD61="","",'Oct 2026'!AD61))</f>
        <v/>
      </c>
      <c r="AI29" s="345">
        <f>IF($A29="","",IF('Oct 2026'!AD62="","",'Oct 2026'!AD62))</f>
        <v/>
      </c>
      <c r="AJ29" s="345">
        <f>IF($A29="","",IF('Oct 2026'!AD63="","",'Oct 2026'!AD63))</f>
        <v/>
      </c>
      <c r="AK29" s="345">
        <f>IF($A29="","",IF('Oct 2026'!AD64="","",'Oct 2026'!AD64))</f>
        <v/>
      </c>
      <c r="AL29" s="345">
        <f>IF($A29="","",IF('Oct 2026'!AD65="","",'Oct 2026'!AD65))</f>
        <v/>
      </c>
      <c r="AM29" s="345">
        <f>IF($A29="","",IF('Oct 2026'!AD66="","",'Oct 2026'!AD66))</f>
        <v/>
      </c>
      <c r="AN29" s="345">
        <f>IF($A29="","",IF('Oct 2026'!AD67="","",'Oct 2026'!AD67))</f>
        <v/>
      </c>
      <c r="AO29" s="345">
        <f>IF($A29="",0,IF(AND($A29&gt;=TrackStart,$A29&lt;=TODAY()),1,0))</f>
        <v/>
      </c>
      <c r="AP29" s="345">
        <f>IF($A29="",0,IF(SUM(F29:AE29)+COUNT(AF29:AN29)&gt;0,1,0))</f>
        <v/>
      </c>
      <c r="AQ29" s="345">
        <f>IF($A29="","",INT(($A29-TrackStart)/7)+1)</f>
        <v/>
      </c>
      <c r="AR29" s="345">
        <f>IF($A29="","",IF(AQ29&lt;=1,Steps1,IF(AQ29=2,Steps2,Steps3)))</f>
        <v/>
      </c>
      <c r="AS29" s="345">
        <f>IF($A29="",0,IF(ISNUMBER(SEARCH(TEXT(D29,"0"),WorkDays&amp;"")),1,0))</f>
        <v/>
      </c>
      <c r="AT29" s="345">
        <f>IF($A29="",0,IF(ISNUMBER(SEARCH(TEXT(D29,"0"),StrDays&amp;"")),1,0))</f>
        <v/>
      </c>
      <c r="AU29" s="345">
        <f>IF($A29="",0,IF(ISNUMBER(AK29),IF(AK29&gt;=SleepMin,1,0),N29))</f>
        <v/>
      </c>
      <c r="AV29" s="345">
        <f>IF($A29="",0,MAX(I29,O29,S29,AC29))</f>
        <v/>
      </c>
      <c r="AW29" s="345">
        <f>IF($A29="",0,IF(ISNUMBER(AH29),IF(AH29&gt;=ProtHit,1,0),0))</f>
        <v/>
      </c>
      <c r="AX29" s="345">
        <f>IF($A29="",0,IF(ISNUMBER(AI29),IF(AI29&gt;=WaterHit,1,0),0))</f>
        <v/>
      </c>
      <c r="AY29" s="345">
        <f>IF($A29="",0,IF(ISNUMBER(AG29),IF(AG29&gt;=AR29,1,0),0))</f>
        <v/>
      </c>
      <c r="AZ29" s="345">
        <f>IF($A29="",0,G29)</f>
        <v/>
      </c>
      <c r="BA29" s="345">
        <f>IF($A29="",0,J29)</f>
        <v/>
      </c>
      <c r="BB29" s="345">
        <f>IF($A29="",0,K29)</f>
        <v/>
      </c>
      <c r="BC29" s="345">
        <f>IF($A29="",0,MAX(L29,AE29))</f>
        <v/>
      </c>
      <c r="BD29" s="344">
        <f>IF($A29="","",(AU29+AV29+AW29+AX29+AY29+AZ29+BB29+BC29+IF(AS29=1,BA29,0))/(8+AS29))</f>
        <v/>
      </c>
      <c r="BE29" s="344">
        <f>IF($A29="","",(IF(ISNUMBER(AI29),IF(AI29&gt;=WaterMVD,1,0),0)+AV29+IF(ISNUMBER(AH29),IF(AH29&gt;=ProtMVD,1,0),0)+MAX(H29,AD29)+AZ29+BB29+AU29)/7)</f>
        <v/>
      </c>
      <c r="BF29" s="344">
        <f>IF(AO29=0,"",IF(E29="S","",IF(AND(AP29=0,$A29=TODAY()),"",IF(E29="M",BE29,BD29))))</f>
        <v/>
      </c>
      <c r="BG29" s="344">
        <f>IF(AO29=0,"",IFERROR(AVERAGEIFS(Data!$BF$4:$BF$375,Data!$A$4:$A$375,"&gt;"&amp;($A29-7),Data!$A$4:$A$375,"&lt;="&amp;$A29),""))</f>
        <v/>
      </c>
      <c r="BH29" s="344">
        <f>IF(AO29=0,"",IFERROR(AVERAGEIFS(Data!$BF$4:$BF$375,Data!$A$4:$A$375,"&gt;"&amp;($A29-30),Data!$A$4:$A$375,"&lt;="&amp;$A29),""))</f>
        <v/>
      </c>
      <c r="BI29" s="359">
        <f>IF($A29="","",IFERROR(AVERAGEIFS(Data!$AF$4:$AF$375,Data!$A$4:$A$375,"&gt;"&amp;($A29-7),Data!$A$4:$A$375,"&lt;="&amp;$A29,Data!$AF$4:$AF$375,"&gt;0"),""))</f>
        <v/>
      </c>
      <c r="BJ29" s="345">
        <f>IF($A29="","",F29+G29+H29+I29+J29+K29+L29+M29+N29-IF(AS29=1,0,J29))</f>
        <v/>
      </c>
      <c r="BK29" s="345">
        <f>IF($A29="","",8+AS29)</f>
        <v/>
      </c>
      <c r="BL29" s="345">
        <f>IF(ISNUMBER(BF29),BF29,NA())</f>
        <v/>
      </c>
      <c r="BM29" s="345">
        <f>IF(ISNUMBER(AF29),AF29,NA())</f>
        <v/>
      </c>
      <c r="BN29" s="345">
        <f>IF(ISNUMBER(BI29),BI29,NA())</f>
        <v/>
      </c>
      <c r="BO29" s="345">
        <f>IF(ISNUMBER(AL29),AL29,NA())</f>
        <v/>
      </c>
      <c r="BP29" s="345">
        <f>IF(ISNUMBER(AM29),AM29,NA())</f>
        <v/>
      </c>
      <c r="BQ29" s="345">
        <f>IF(ISNUMBER(AN29),AN29,NA())</f>
        <v/>
      </c>
    </row>
    <row r="30">
      <c r="A30" s="358">
        <f>IF('Oct 2026'!AE7="","",'Oct 2026'!AE7)</f>
        <v/>
      </c>
      <c r="B30" s="345" t="n">
        <v>1</v>
      </c>
      <c r="C30" s="345">
        <f>IF($A30="","",27)</f>
        <v/>
      </c>
      <c r="D30" s="345">
        <f>IF($A30="","",WEEKDAY($A30,2))</f>
        <v/>
      </c>
      <c r="E30" s="345">
        <f>IF($A30="","",UPPER(TRIM('Oct 2026'!AE8)))</f>
        <v/>
      </c>
      <c r="F30" s="345">
        <f>IF($A30="","",IF(OR('Oct 2026'!AE10=TRUE,'Oct 2026'!AE10="x",'Oct 2026'!AE10="X"),1,0))</f>
        <v/>
      </c>
      <c r="G30" s="345">
        <f>IF($A30="","",IF(OR('Oct 2026'!AE11=TRUE,'Oct 2026'!AE11="x",'Oct 2026'!AE11="X"),1,0))</f>
        <v/>
      </c>
      <c r="H30" s="345">
        <f>IF($A30="","",IF(OR('Oct 2026'!AE12=TRUE,'Oct 2026'!AE12="x",'Oct 2026'!AE12="X"),1,0))</f>
        <v/>
      </c>
      <c r="I30" s="345">
        <f>IF($A30="","",IF(OR('Oct 2026'!AE13=TRUE,'Oct 2026'!AE13="x",'Oct 2026'!AE13="X"),1,0))</f>
        <v/>
      </c>
      <c r="J30" s="345">
        <f>IF($A30="","",IF(OR('Oct 2026'!AE14=TRUE,'Oct 2026'!AE14="x",'Oct 2026'!AE14="X"),1,0))</f>
        <v/>
      </c>
      <c r="K30" s="345">
        <f>IF($A30="","",IF(OR('Oct 2026'!AE15=TRUE,'Oct 2026'!AE15="x",'Oct 2026'!AE15="X"),1,0))</f>
        <v/>
      </c>
      <c r="L30" s="345">
        <f>IF($A30="","",IF(OR('Oct 2026'!AE16=TRUE,'Oct 2026'!AE16="x",'Oct 2026'!AE16="X"),1,0))</f>
        <v/>
      </c>
      <c r="M30" s="345">
        <f>IF($A30="","",IF(OR('Oct 2026'!AE17=TRUE,'Oct 2026'!AE17="x",'Oct 2026'!AE17="X"),1,0))</f>
        <v/>
      </c>
      <c r="N30" s="345">
        <f>IF($A30="","",IF(OR('Oct 2026'!AE18=TRUE,'Oct 2026'!AE18="x",'Oct 2026'!AE18="X"),1,0))</f>
        <v/>
      </c>
      <c r="O30" s="345">
        <f>IF($A30="","",IF(OR('Oct 2026'!AE20=TRUE,'Oct 2026'!AE20="x",'Oct 2026'!AE20="X"),1,0))</f>
        <v/>
      </c>
      <c r="P30" s="345">
        <f>IF($A30="","",IF(OR('Oct 2026'!AE21=TRUE,'Oct 2026'!AE21="x",'Oct 2026'!AE21="X"),1,0))</f>
        <v/>
      </c>
      <c r="Q30" s="345">
        <f>IF($A30="","",IF(OR('Oct 2026'!AE22=TRUE,'Oct 2026'!AE22="x",'Oct 2026'!AE22="X"),1,0))</f>
        <v/>
      </c>
      <c r="R30" s="345">
        <f>IF($A30="","",IF(OR('Oct 2026'!AE23=TRUE,'Oct 2026'!AE23="x",'Oct 2026'!AE23="X"),1,0))</f>
        <v/>
      </c>
      <c r="S30" s="345">
        <f>IF($A30="","",IF(OR('Oct 2026'!AE24=TRUE,'Oct 2026'!AE24="x",'Oct 2026'!AE24="X"),1,0))</f>
        <v/>
      </c>
      <c r="T30" s="345">
        <f>IF($A30="","",IF(OR('Oct 2026'!AE25=TRUE,'Oct 2026'!AE25="x",'Oct 2026'!AE25="X"),1,0))</f>
        <v/>
      </c>
      <c r="U30" s="345">
        <f>IF($A30="","",IF(OR('Oct 2026'!AE26=TRUE,'Oct 2026'!AE26="x",'Oct 2026'!AE26="X"),1,0))</f>
        <v/>
      </c>
      <c r="V30" s="345">
        <f>IF($A30="","",IF(OR('Oct 2026'!AE27=TRUE,'Oct 2026'!AE27="x",'Oct 2026'!AE27="X"),1,0))</f>
        <v/>
      </c>
      <c r="W30" s="345">
        <f>IF($A30="","",IF(OR('Oct 2026'!AE28=TRUE,'Oct 2026'!AE28="x",'Oct 2026'!AE28="X"),1,0))</f>
        <v/>
      </c>
      <c r="X30" s="345">
        <f>IF($A30="","",IF(OR('Oct 2026'!AE29=TRUE,'Oct 2026'!AE29="x",'Oct 2026'!AE29="X"),1,0))</f>
        <v/>
      </c>
      <c r="Y30" s="345">
        <f>IF($A30="","",IF(OR('Oct 2026'!AE30=TRUE,'Oct 2026'!AE30="x",'Oct 2026'!AE30="X"),1,0))</f>
        <v/>
      </c>
      <c r="Z30" s="345">
        <f>IF($A30="","",IF(OR('Oct 2026'!AE31=TRUE,'Oct 2026'!AE31="x",'Oct 2026'!AE31="X"),1,0))</f>
        <v/>
      </c>
      <c r="AA30" s="345">
        <f>IF($A30="","",IF(OR('Oct 2026'!AE32=TRUE,'Oct 2026'!AE32="x",'Oct 2026'!AE32="X"),1,0))</f>
        <v/>
      </c>
      <c r="AB30" s="345">
        <f>IF($A30="","",IF(OR('Oct 2026'!AE34=TRUE,'Oct 2026'!AE34="x",'Oct 2026'!AE34="X"),1,0))</f>
        <v/>
      </c>
      <c r="AC30" s="345">
        <f>IF($A30="","",IF(OR('Oct 2026'!AE35=TRUE,'Oct 2026'!AE35="x",'Oct 2026'!AE35="X"),1,0))</f>
        <v/>
      </c>
      <c r="AD30" s="345">
        <f>IF($A30="","",IF(OR('Oct 2026'!AE36=TRUE,'Oct 2026'!AE36="x",'Oct 2026'!AE36="X"),1,0))</f>
        <v/>
      </c>
      <c r="AE30" s="345">
        <f>IF($A30="","",IF(OR('Oct 2026'!AE37=TRUE,'Oct 2026'!AE37="x",'Oct 2026'!AE37="X"),1,0))</f>
        <v/>
      </c>
      <c r="AF30" s="345">
        <f>IF($A30="","",IF('Oct 2026'!AE59="","",'Oct 2026'!AE59))</f>
        <v/>
      </c>
      <c r="AG30" s="345">
        <f>IF($A30="","",IF('Oct 2026'!AE60="","",'Oct 2026'!AE60))</f>
        <v/>
      </c>
      <c r="AH30" s="345">
        <f>IF($A30="","",IF('Oct 2026'!AE61="","",'Oct 2026'!AE61))</f>
        <v/>
      </c>
      <c r="AI30" s="345">
        <f>IF($A30="","",IF('Oct 2026'!AE62="","",'Oct 2026'!AE62))</f>
        <v/>
      </c>
      <c r="AJ30" s="345">
        <f>IF($A30="","",IF('Oct 2026'!AE63="","",'Oct 2026'!AE63))</f>
        <v/>
      </c>
      <c r="AK30" s="345">
        <f>IF($A30="","",IF('Oct 2026'!AE64="","",'Oct 2026'!AE64))</f>
        <v/>
      </c>
      <c r="AL30" s="345">
        <f>IF($A30="","",IF('Oct 2026'!AE65="","",'Oct 2026'!AE65))</f>
        <v/>
      </c>
      <c r="AM30" s="345">
        <f>IF($A30="","",IF('Oct 2026'!AE66="","",'Oct 2026'!AE66))</f>
        <v/>
      </c>
      <c r="AN30" s="345">
        <f>IF($A30="","",IF('Oct 2026'!AE67="","",'Oct 2026'!AE67))</f>
        <v/>
      </c>
      <c r="AO30" s="345">
        <f>IF($A30="",0,IF(AND($A30&gt;=TrackStart,$A30&lt;=TODAY()),1,0))</f>
        <v/>
      </c>
      <c r="AP30" s="345">
        <f>IF($A30="",0,IF(SUM(F30:AE30)+COUNT(AF30:AN30)&gt;0,1,0))</f>
        <v/>
      </c>
      <c r="AQ30" s="345">
        <f>IF($A30="","",INT(($A30-TrackStart)/7)+1)</f>
        <v/>
      </c>
      <c r="AR30" s="345">
        <f>IF($A30="","",IF(AQ30&lt;=1,Steps1,IF(AQ30=2,Steps2,Steps3)))</f>
        <v/>
      </c>
      <c r="AS30" s="345">
        <f>IF($A30="",0,IF(ISNUMBER(SEARCH(TEXT(D30,"0"),WorkDays&amp;"")),1,0))</f>
        <v/>
      </c>
      <c r="AT30" s="345">
        <f>IF($A30="",0,IF(ISNUMBER(SEARCH(TEXT(D30,"0"),StrDays&amp;"")),1,0))</f>
        <v/>
      </c>
      <c r="AU30" s="345">
        <f>IF($A30="",0,IF(ISNUMBER(AK30),IF(AK30&gt;=SleepMin,1,0),N30))</f>
        <v/>
      </c>
      <c r="AV30" s="345">
        <f>IF($A30="",0,MAX(I30,O30,S30,AC30))</f>
        <v/>
      </c>
      <c r="AW30" s="345">
        <f>IF($A30="",0,IF(ISNUMBER(AH30),IF(AH30&gt;=ProtHit,1,0),0))</f>
        <v/>
      </c>
      <c r="AX30" s="345">
        <f>IF($A30="",0,IF(ISNUMBER(AI30),IF(AI30&gt;=WaterHit,1,0),0))</f>
        <v/>
      </c>
      <c r="AY30" s="345">
        <f>IF($A30="",0,IF(ISNUMBER(AG30),IF(AG30&gt;=AR30,1,0),0))</f>
        <v/>
      </c>
      <c r="AZ30" s="345">
        <f>IF($A30="",0,G30)</f>
        <v/>
      </c>
      <c r="BA30" s="345">
        <f>IF($A30="",0,J30)</f>
        <v/>
      </c>
      <c r="BB30" s="345">
        <f>IF($A30="",0,K30)</f>
        <v/>
      </c>
      <c r="BC30" s="345">
        <f>IF($A30="",0,MAX(L30,AE30))</f>
        <v/>
      </c>
      <c r="BD30" s="344">
        <f>IF($A30="","",(AU30+AV30+AW30+AX30+AY30+AZ30+BB30+BC30+IF(AS30=1,BA30,0))/(8+AS30))</f>
        <v/>
      </c>
      <c r="BE30" s="344">
        <f>IF($A30="","",(IF(ISNUMBER(AI30),IF(AI30&gt;=WaterMVD,1,0),0)+AV30+IF(ISNUMBER(AH30),IF(AH30&gt;=ProtMVD,1,0),0)+MAX(H30,AD30)+AZ30+BB30+AU30)/7)</f>
        <v/>
      </c>
      <c r="BF30" s="344">
        <f>IF(AO30=0,"",IF(E30="S","",IF(AND(AP30=0,$A30=TODAY()),"",IF(E30="M",BE30,BD30))))</f>
        <v/>
      </c>
      <c r="BG30" s="344">
        <f>IF(AO30=0,"",IFERROR(AVERAGEIFS(Data!$BF$4:$BF$375,Data!$A$4:$A$375,"&gt;"&amp;($A30-7),Data!$A$4:$A$375,"&lt;="&amp;$A30),""))</f>
        <v/>
      </c>
      <c r="BH30" s="344">
        <f>IF(AO30=0,"",IFERROR(AVERAGEIFS(Data!$BF$4:$BF$375,Data!$A$4:$A$375,"&gt;"&amp;($A30-30),Data!$A$4:$A$375,"&lt;="&amp;$A30),""))</f>
        <v/>
      </c>
      <c r="BI30" s="359">
        <f>IF($A30="","",IFERROR(AVERAGEIFS(Data!$AF$4:$AF$375,Data!$A$4:$A$375,"&gt;"&amp;($A30-7),Data!$A$4:$A$375,"&lt;="&amp;$A30,Data!$AF$4:$AF$375,"&gt;0"),""))</f>
        <v/>
      </c>
      <c r="BJ30" s="345">
        <f>IF($A30="","",F30+G30+H30+I30+J30+K30+L30+M30+N30-IF(AS30=1,0,J30))</f>
        <v/>
      </c>
      <c r="BK30" s="345">
        <f>IF($A30="","",8+AS30)</f>
        <v/>
      </c>
      <c r="BL30" s="345">
        <f>IF(ISNUMBER(BF30),BF30,NA())</f>
        <v/>
      </c>
      <c r="BM30" s="345">
        <f>IF(ISNUMBER(AF30),AF30,NA())</f>
        <v/>
      </c>
      <c r="BN30" s="345">
        <f>IF(ISNUMBER(BI30),BI30,NA())</f>
        <v/>
      </c>
      <c r="BO30" s="345">
        <f>IF(ISNUMBER(AL30),AL30,NA())</f>
        <v/>
      </c>
      <c r="BP30" s="345">
        <f>IF(ISNUMBER(AM30),AM30,NA())</f>
        <v/>
      </c>
      <c r="BQ30" s="345">
        <f>IF(ISNUMBER(AN30),AN30,NA())</f>
        <v/>
      </c>
    </row>
    <row r="31">
      <c r="A31" s="358">
        <f>IF('Oct 2026'!AF7="","",'Oct 2026'!AF7)</f>
        <v/>
      </c>
      <c r="B31" s="345" t="n">
        <v>1</v>
      </c>
      <c r="C31" s="345">
        <f>IF($A31="","",28)</f>
        <v/>
      </c>
      <c r="D31" s="345">
        <f>IF($A31="","",WEEKDAY($A31,2))</f>
        <v/>
      </c>
      <c r="E31" s="345">
        <f>IF($A31="","",UPPER(TRIM('Oct 2026'!AF8)))</f>
        <v/>
      </c>
      <c r="F31" s="345">
        <f>IF($A31="","",IF(OR('Oct 2026'!AF10=TRUE,'Oct 2026'!AF10="x",'Oct 2026'!AF10="X"),1,0))</f>
        <v/>
      </c>
      <c r="G31" s="345">
        <f>IF($A31="","",IF(OR('Oct 2026'!AF11=TRUE,'Oct 2026'!AF11="x",'Oct 2026'!AF11="X"),1,0))</f>
        <v/>
      </c>
      <c r="H31" s="345">
        <f>IF($A31="","",IF(OR('Oct 2026'!AF12=TRUE,'Oct 2026'!AF12="x",'Oct 2026'!AF12="X"),1,0))</f>
        <v/>
      </c>
      <c r="I31" s="345">
        <f>IF($A31="","",IF(OR('Oct 2026'!AF13=TRUE,'Oct 2026'!AF13="x",'Oct 2026'!AF13="X"),1,0))</f>
        <v/>
      </c>
      <c r="J31" s="345">
        <f>IF($A31="","",IF(OR('Oct 2026'!AF14=TRUE,'Oct 2026'!AF14="x",'Oct 2026'!AF14="X"),1,0))</f>
        <v/>
      </c>
      <c r="K31" s="345">
        <f>IF($A31="","",IF(OR('Oct 2026'!AF15=TRUE,'Oct 2026'!AF15="x",'Oct 2026'!AF15="X"),1,0))</f>
        <v/>
      </c>
      <c r="L31" s="345">
        <f>IF($A31="","",IF(OR('Oct 2026'!AF16=TRUE,'Oct 2026'!AF16="x",'Oct 2026'!AF16="X"),1,0))</f>
        <v/>
      </c>
      <c r="M31" s="345">
        <f>IF($A31="","",IF(OR('Oct 2026'!AF17=TRUE,'Oct 2026'!AF17="x",'Oct 2026'!AF17="X"),1,0))</f>
        <v/>
      </c>
      <c r="N31" s="345">
        <f>IF($A31="","",IF(OR('Oct 2026'!AF18=TRUE,'Oct 2026'!AF18="x",'Oct 2026'!AF18="X"),1,0))</f>
        <v/>
      </c>
      <c r="O31" s="345">
        <f>IF($A31="","",IF(OR('Oct 2026'!AF20=TRUE,'Oct 2026'!AF20="x",'Oct 2026'!AF20="X"),1,0))</f>
        <v/>
      </c>
      <c r="P31" s="345">
        <f>IF($A31="","",IF(OR('Oct 2026'!AF21=TRUE,'Oct 2026'!AF21="x",'Oct 2026'!AF21="X"),1,0))</f>
        <v/>
      </c>
      <c r="Q31" s="345">
        <f>IF($A31="","",IF(OR('Oct 2026'!AF22=TRUE,'Oct 2026'!AF22="x",'Oct 2026'!AF22="X"),1,0))</f>
        <v/>
      </c>
      <c r="R31" s="345">
        <f>IF($A31="","",IF(OR('Oct 2026'!AF23=TRUE,'Oct 2026'!AF23="x",'Oct 2026'!AF23="X"),1,0))</f>
        <v/>
      </c>
      <c r="S31" s="345">
        <f>IF($A31="","",IF(OR('Oct 2026'!AF24=TRUE,'Oct 2026'!AF24="x",'Oct 2026'!AF24="X"),1,0))</f>
        <v/>
      </c>
      <c r="T31" s="345">
        <f>IF($A31="","",IF(OR('Oct 2026'!AF25=TRUE,'Oct 2026'!AF25="x",'Oct 2026'!AF25="X"),1,0))</f>
        <v/>
      </c>
      <c r="U31" s="345">
        <f>IF($A31="","",IF(OR('Oct 2026'!AF26=TRUE,'Oct 2026'!AF26="x",'Oct 2026'!AF26="X"),1,0))</f>
        <v/>
      </c>
      <c r="V31" s="345">
        <f>IF($A31="","",IF(OR('Oct 2026'!AF27=TRUE,'Oct 2026'!AF27="x",'Oct 2026'!AF27="X"),1,0))</f>
        <v/>
      </c>
      <c r="W31" s="345">
        <f>IF($A31="","",IF(OR('Oct 2026'!AF28=TRUE,'Oct 2026'!AF28="x",'Oct 2026'!AF28="X"),1,0))</f>
        <v/>
      </c>
      <c r="X31" s="345">
        <f>IF($A31="","",IF(OR('Oct 2026'!AF29=TRUE,'Oct 2026'!AF29="x",'Oct 2026'!AF29="X"),1,0))</f>
        <v/>
      </c>
      <c r="Y31" s="345">
        <f>IF($A31="","",IF(OR('Oct 2026'!AF30=TRUE,'Oct 2026'!AF30="x",'Oct 2026'!AF30="X"),1,0))</f>
        <v/>
      </c>
      <c r="Z31" s="345">
        <f>IF($A31="","",IF(OR('Oct 2026'!AF31=TRUE,'Oct 2026'!AF31="x",'Oct 2026'!AF31="X"),1,0))</f>
        <v/>
      </c>
      <c r="AA31" s="345">
        <f>IF($A31="","",IF(OR('Oct 2026'!AF32=TRUE,'Oct 2026'!AF32="x",'Oct 2026'!AF32="X"),1,0))</f>
        <v/>
      </c>
      <c r="AB31" s="345">
        <f>IF($A31="","",IF(OR('Oct 2026'!AF34=TRUE,'Oct 2026'!AF34="x",'Oct 2026'!AF34="X"),1,0))</f>
        <v/>
      </c>
      <c r="AC31" s="345">
        <f>IF($A31="","",IF(OR('Oct 2026'!AF35=TRUE,'Oct 2026'!AF35="x",'Oct 2026'!AF35="X"),1,0))</f>
        <v/>
      </c>
      <c r="AD31" s="345">
        <f>IF($A31="","",IF(OR('Oct 2026'!AF36=TRUE,'Oct 2026'!AF36="x",'Oct 2026'!AF36="X"),1,0))</f>
        <v/>
      </c>
      <c r="AE31" s="345">
        <f>IF($A31="","",IF(OR('Oct 2026'!AF37=TRUE,'Oct 2026'!AF37="x",'Oct 2026'!AF37="X"),1,0))</f>
        <v/>
      </c>
      <c r="AF31" s="345">
        <f>IF($A31="","",IF('Oct 2026'!AF59="","",'Oct 2026'!AF59))</f>
        <v/>
      </c>
      <c r="AG31" s="345">
        <f>IF($A31="","",IF('Oct 2026'!AF60="","",'Oct 2026'!AF60))</f>
        <v/>
      </c>
      <c r="AH31" s="345">
        <f>IF($A31="","",IF('Oct 2026'!AF61="","",'Oct 2026'!AF61))</f>
        <v/>
      </c>
      <c r="AI31" s="345">
        <f>IF($A31="","",IF('Oct 2026'!AF62="","",'Oct 2026'!AF62))</f>
        <v/>
      </c>
      <c r="AJ31" s="345">
        <f>IF($A31="","",IF('Oct 2026'!AF63="","",'Oct 2026'!AF63))</f>
        <v/>
      </c>
      <c r="AK31" s="345">
        <f>IF($A31="","",IF('Oct 2026'!AF64="","",'Oct 2026'!AF64))</f>
        <v/>
      </c>
      <c r="AL31" s="345">
        <f>IF($A31="","",IF('Oct 2026'!AF65="","",'Oct 2026'!AF65))</f>
        <v/>
      </c>
      <c r="AM31" s="345">
        <f>IF($A31="","",IF('Oct 2026'!AF66="","",'Oct 2026'!AF66))</f>
        <v/>
      </c>
      <c r="AN31" s="345">
        <f>IF($A31="","",IF('Oct 2026'!AF67="","",'Oct 2026'!AF67))</f>
        <v/>
      </c>
      <c r="AO31" s="345">
        <f>IF($A31="",0,IF(AND($A31&gt;=TrackStart,$A31&lt;=TODAY()),1,0))</f>
        <v/>
      </c>
      <c r="AP31" s="345">
        <f>IF($A31="",0,IF(SUM(F31:AE31)+COUNT(AF31:AN31)&gt;0,1,0))</f>
        <v/>
      </c>
      <c r="AQ31" s="345">
        <f>IF($A31="","",INT(($A31-TrackStart)/7)+1)</f>
        <v/>
      </c>
      <c r="AR31" s="345">
        <f>IF($A31="","",IF(AQ31&lt;=1,Steps1,IF(AQ31=2,Steps2,Steps3)))</f>
        <v/>
      </c>
      <c r="AS31" s="345">
        <f>IF($A31="",0,IF(ISNUMBER(SEARCH(TEXT(D31,"0"),WorkDays&amp;"")),1,0))</f>
        <v/>
      </c>
      <c r="AT31" s="345">
        <f>IF($A31="",0,IF(ISNUMBER(SEARCH(TEXT(D31,"0"),StrDays&amp;"")),1,0))</f>
        <v/>
      </c>
      <c r="AU31" s="345">
        <f>IF($A31="",0,IF(ISNUMBER(AK31),IF(AK31&gt;=SleepMin,1,0),N31))</f>
        <v/>
      </c>
      <c r="AV31" s="345">
        <f>IF($A31="",0,MAX(I31,O31,S31,AC31))</f>
        <v/>
      </c>
      <c r="AW31" s="345">
        <f>IF($A31="",0,IF(ISNUMBER(AH31),IF(AH31&gt;=ProtHit,1,0),0))</f>
        <v/>
      </c>
      <c r="AX31" s="345">
        <f>IF($A31="",0,IF(ISNUMBER(AI31),IF(AI31&gt;=WaterHit,1,0),0))</f>
        <v/>
      </c>
      <c r="AY31" s="345">
        <f>IF($A31="",0,IF(ISNUMBER(AG31),IF(AG31&gt;=AR31,1,0),0))</f>
        <v/>
      </c>
      <c r="AZ31" s="345">
        <f>IF($A31="",0,G31)</f>
        <v/>
      </c>
      <c r="BA31" s="345">
        <f>IF($A31="",0,J31)</f>
        <v/>
      </c>
      <c r="BB31" s="345">
        <f>IF($A31="",0,K31)</f>
        <v/>
      </c>
      <c r="BC31" s="345">
        <f>IF($A31="",0,MAX(L31,AE31))</f>
        <v/>
      </c>
      <c r="BD31" s="344">
        <f>IF($A31="","",(AU31+AV31+AW31+AX31+AY31+AZ31+BB31+BC31+IF(AS31=1,BA31,0))/(8+AS31))</f>
        <v/>
      </c>
      <c r="BE31" s="344">
        <f>IF($A31="","",(IF(ISNUMBER(AI31),IF(AI31&gt;=WaterMVD,1,0),0)+AV31+IF(ISNUMBER(AH31),IF(AH31&gt;=ProtMVD,1,0),0)+MAX(H31,AD31)+AZ31+BB31+AU31)/7)</f>
        <v/>
      </c>
      <c r="BF31" s="344">
        <f>IF(AO31=0,"",IF(E31="S","",IF(AND(AP31=0,$A31=TODAY()),"",IF(E31="M",BE31,BD31))))</f>
        <v/>
      </c>
      <c r="BG31" s="344">
        <f>IF(AO31=0,"",IFERROR(AVERAGEIFS(Data!$BF$4:$BF$375,Data!$A$4:$A$375,"&gt;"&amp;($A31-7),Data!$A$4:$A$375,"&lt;="&amp;$A31),""))</f>
        <v/>
      </c>
      <c r="BH31" s="344">
        <f>IF(AO31=0,"",IFERROR(AVERAGEIFS(Data!$BF$4:$BF$375,Data!$A$4:$A$375,"&gt;"&amp;($A31-30),Data!$A$4:$A$375,"&lt;="&amp;$A31),""))</f>
        <v/>
      </c>
      <c r="BI31" s="359">
        <f>IF($A31="","",IFERROR(AVERAGEIFS(Data!$AF$4:$AF$375,Data!$A$4:$A$375,"&gt;"&amp;($A31-7),Data!$A$4:$A$375,"&lt;="&amp;$A31,Data!$AF$4:$AF$375,"&gt;0"),""))</f>
        <v/>
      </c>
      <c r="BJ31" s="345">
        <f>IF($A31="","",F31+G31+H31+I31+J31+K31+L31+M31+N31-IF(AS31=1,0,J31))</f>
        <v/>
      </c>
      <c r="BK31" s="345">
        <f>IF($A31="","",8+AS31)</f>
        <v/>
      </c>
      <c r="BL31" s="345">
        <f>IF(ISNUMBER(BF31),BF31,NA())</f>
        <v/>
      </c>
      <c r="BM31" s="345">
        <f>IF(ISNUMBER(AF31),AF31,NA())</f>
        <v/>
      </c>
      <c r="BN31" s="345">
        <f>IF(ISNUMBER(BI31),BI31,NA())</f>
        <v/>
      </c>
      <c r="BO31" s="345">
        <f>IF(ISNUMBER(AL31),AL31,NA())</f>
        <v/>
      </c>
      <c r="BP31" s="345">
        <f>IF(ISNUMBER(AM31),AM31,NA())</f>
        <v/>
      </c>
      <c r="BQ31" s="345">
        <f>IF(ISNUMBER(AN31),AN31,NA())</f>
        <v/>
      </c>
    </row>
    <row r="32">
      <c r="A32" s="358">
        <f>IF('Oct 2026'!AG7="","",'Oct 2026'!AG7)</f>
        <v/>
      </c>
      <c r="B32" s="345" t="n">
        <v>1</v>
      </c>
      <c r="C32" s="345">
        <f>IF($A32="","",29)</f>
        <v/>
      </c>
      <c r="D32" s="345">
        <f>IF($A32="","",WEEKDAY($A32,2))</f>
        <v/>
      </c>
      <c r="E32" s="345">
        <f>IF($A32="","",UPPER(TRIM('Oct 2026'!AG8)))</f>
        <v/>
      </c>
      <c r="F32" s="345">
        <f>IF($A32="","",IF(OR('Oct 2026'!AG10=TRUE,'Oct 2026'!AG10="x",'Oct 2026'!AG10="X"),1,0))</f>
        <v/>
      </c>
      <c r="G32" s="345">
        <f>IF($A32="","",IF(OR('Oct 2026'!AG11=TRUE,'Oct 2026'!AG11="x",'Oct 2026'!AG11="X"),1,0))</f>
        <v/>
      </c>
      <c r="H32" s="345">
        <f>IF($A32="","",IF(OR('Oct 2026'!AG12=TRUE,'Oct 2026'!AG12="x",'Oct 2026'!AG12="X"),1,0))</f>
        <v/>
      </c>
      <c r="I32" s="345">
        <f>IF($A32="","",IF(OR('Oct 2026'!AG13=TRUE,'Oct 2026'!AG13="x",'Oct 2026'!AG13="X"),1,0))</f>
        <v/>
      </c>
      <c r="J32" s="345">
        <f>IF($A32="","",IF(OR('Oct 2026'!AG14=TRUE,'Oct 2026'!AG14="x",'Oct 2026'!AG14="X"),1,0))</f>
        <v/>
      </c>
      <c r="K32" s="345">
        <f>IF($A32="","",IF(OR('Oct 2026'!AG15=TRUE,'Oct 2026'!AG15="x",'Oct 2026'!AG15="X"),1,0))</f>
        <v/>
      </c>
      <c r="L32" s="345">
        <f>IF($A32="","",IF(OR('Oct 2026'!AG16=TRUE,'Oct 2026'!AG16="x",'Oct 2026'!AG16="X"),1,0))</f>
        <v/>
      </c>
      <c r="M32" s="345">
        <f>IF($A32="","",IF(OR('Oct 2026'!AG17=TRUE,'Oct 2026'!AG17="x",'Oct 2026'!AG17="X"),1,0))</f>
        <v/>
      </c>
      <c r="N32" s="345">
        <f>IF($A32="","",IF(OR('Oct 2026'!AG18=TRUE,'Oct 2026'!AG18="x",'Oct 2026'!AG18="X"),1,0))</f>
        <v/>
      </c>
      <c r="O32" s="345">
        <f>IF($A32="","",IF(OR('Oct 2026'!AG20=TRUE,'Oct 2026'!AG20="x",'Oct 2026'!AG20="X"),1,0))</f>
        <v/>
      </c>
      <c r="P32" s="345">
        <f>IF($A32="","",IF(OR('Oct 2026'!AG21=TRUE,'Oct 2026'!AG21="x",'Oct 2026'!AG21="X"),1,0))</f>
        <v/>
      </c>
      <c r="Q32" s="345">
        <f>IF($A32="","",IF(OR('Oct 2026'!AG22=TRUE,'Oct 2026'!AG22="x",'Oct 2026'!AG22="X"),1,0))</f>
        <v/>
      </c>
      <c r="R32" s="345">
        <f>IF($A32="","",IF(OR('Oct 2026'!AG23=TRUE,'Oct 2026'!AG23="x",'Oct 2026'!AG23="X"),1,0))</f>
        <v/>
      </c>
      <c r="S32" s="345">
        <f>IF($A32="","",IF(OR('Oct 2026'!AG24=TRUE,'Oct 2026'!AG24="x",'Oct 2026'!AG24="X"),1,0))</f>
        <v/>
      </c>
      <c r="T32" s="345">
        <f>IF($A32="","",IF(OR('Oct 2026'!AG25=TRUE,'Oct 2026'!AG25="x",'Oct 2026'!AG25="X"),1,0))</f>
        <v/>
      </c>
      <c r="U32" s="345">
        <f>IF($A32="","",IF(OR('Oct 2026'!AG26=TRUE,'Oct 2026'!AG26="x",'Oct 2026'!AG26="X"),1,0))</f>
        <v/>
      </c>
      <c r="V32" s="345">
        <f>IF($A32="","",IF(OR('Oct 2026'!AG27=TRUE,'Oct 2026'!AG27="x",'Oct 2026'!AG27="X"),1,0))</f>
        <v/>
      </c>
      <c r="W32" s="345">
        <f>IF($A32="","",IF(OR('Oct 2026'!AG28=TRUE,'Oct 2026'!AG28="x",'Oct 2026'!AG28="X"),1,0))</f>
        <v/>
      </c>
      <c r="X32" s="345">
        <f>IF($A32="","",IF(OR('Oct 2026'!AG29=TRUE,'Oct 2026'!AG29="x",'Oct 2026'!AG29="X"),1,0))</f>
        <v/>
      </c>
      <c r="Y32" s="345">
        <f>IF($A32="","",IF(OR('Oct 2026'!AG30=TRUE,'Oct 2026'!AG30="x",'Oct 2026'!AG30="X"),1,0))</f>
        <v/>
      </c>
      <c r="Z32" s="345">
        <f>IF($A32="","",IF(OR('Oct 2026'!AG31=TRUE,'Oct 2026'!AG31="x",'Oct 2026'!AG31="X"),1,0))</f>
        <v/>
      </c>
      <c r="AA32" s="345">
        <f>IF($A32="","",IF(OR('Oct 2026'!AG32=TRUE,'Oct 2026'!AG32="x",'Oct 2026'!AG32="X"),1,0))</f>
        <v/>
      </c>
      <c r="AB32" s="345">
        <f>IF($A32="","",IF(OR('Oct 2026'!AG34=TRUE,'Oct 2026'!AG34="x",'Oct 2026'!AG34="X"),1,0))</f>
        <v/>
      </c>
      <c r="AC32" s="345">
        <f>IF($A32="","",IF(OR('Oct 2026'!AG35=TRUE,'Oct 2026'!AG35="x",'Oct 2026'!AG35="X"),1,0))</f>
        <v/>
      </c>
      <c r="AD32" s="345">
        <f>IF($A32="","",IF(OR('Oct 2026'!AG36=TRUE,'Oct 2026'!AG36="x",'Oct 2026'!AG36="X"),1,0))</f>
        <v/>
      </c>
      <c r="AE32" s="345">
        <f>IF($A32="","",IF(OR('Oct 2026'!AG37=TRUE,'Oct 2026'!AG37="x",'Oct 2026'!AG37="X"),1,0))</f>
        <v/>
      </c>
      <c r="AF32" s="345">
        <f>IF($A32="","",IF('Oct 2026'!AG59="","",'Oct 2026'!AG59))</f>
        <v/>
      </c>
      <c r="AG32" s="345">
        <f>IF($A32="","",IF('Oct 2026'!AG60="","",'Oct 2026'!AG60))</f>
        <v/>
      </c>
      <c r="AH32" s="345">
        <f>IF($A32="","",IF('Oct 2026'!AG61="","",'Oct 2026'!AG61))</f>
        <v/>
      </c>
      <c r="AI32" s="345">
        <f>IF($A32="","",IF('Oct 2026'!AG62="","",'Oct 2026'!AG62))</f>
        <v/>
      </c>
      <c r="AJ32" s="345">
        <f>IF($A32="","",IF('Oct 2026'!AG63="","",'Oct 2026'!AG63))</f>
        <v/>
      </c>
      <c r="AK32" s="345">
        <f>IF($A32="","",IF('Oct 2026'!AG64="","",'Oct 2026'!AG64))</f>
        <v/>
      </c>
      <c r="AL32" s="345">
        <f>IF($A32="","",IF('Oct 2026'!AG65="","",'Oct 2026'!AG65))</f>
        <v/>
      </c>
      <c r="AM32" s="345">
        <f>IF($A32="","",IF('Oct 2026'!AG66="","",'Oct 2026'!AG66))</f>
        <v/>
      </c>
      <c r="AN32" s="345">
        <f>IF($A32="","",IF('Oct 2026'!AG67="","",'Oct 2026'!AG67))</f>
        <v/>
      </c>
      <c r="AO32" s="345">
        <f>IF($A32="",0,IF(AND($A32&gt;=TrackStart,$A32&lt;=TODAY()),1,0))</f>
        <v/>
      </c>
      <c r="AP32" s="345">
        <f>IF($A32="",0,IF(SUM(F32:AE32)+COUNT(AF32:AN32)&gt;0,1,0))</f>
        <v/>
      </c>
      <c r="AQ32" s="345">
        <f>IF($A32="","",INT(($A32-TrackStart)/7)+1)</f>
        <v/>
      </c>
      <c r="AR32" s="345">
        <f>IF($A32="","",IF(AQ32&lt;=1,Steps1,IF(AQ32=2,Steps2,Steps3)))</f>
        <v/>
      </c>
      <c r="AS32" s="345">
        <f>IF($A32="",0,IF(ISNUMBER(SEARCH(TEXT(D32,"0"),WorkDays&amp;"")),1,0))</f>
        <v/>
      </c>
      <c r="AT32" s="345">
        <f>IF($A32="",0,IF(ISNUMBER(SEARCH(TEXT(D32,"0"),StrDays&amp;"")),1,0))</f>
        <v/>
      </c>
      <c r="AU32" s="345">
        <f>IF($A32="",0,IF(ISNUMBER(AK32),IF(AK32&gt;=SleepMin,1,0),N32))</f>
        <v/>
      </c>
      <c r="AV32" s="345">
        <f>IF($A32="",0,MAX(I32,O32,S32,AC32))</f>
        <v/>
      </c>
      <c r="AW32" s="345">
        <f>IF($A32="",0,IF(ISNUMBER(AH32),IF(AH32&gt;=ProtHit,1,0),0))</f>
        <v/>
      </c>
      <c r="AX32" s="345">
        <f>IF($A32="",0,IF(ISNUMBER(AI32),IF(AI32&gt;=WaterHit,1,0),0))</f>
        <v/>
      </c>
      <c r="AY32" s="345">
        <f>IF($A32="",0,IF(ISNUMBER(AG32),IF(AG32&gt;=AR32,1,0),0))</f>
        <v/>
      </c>
      <c r="AZ32" s="345">
        <f>IF($A32="",0,G32)</f>
        <v/>
      </c>
      <c r="BA32" s="345">
        <f>IF($A32="",0,J32)</f>
        <v/>
      </c>
      <c r="BB32" s="345">
        <f>IF($A32="",0,K32)</f>
        <v/>
      </c>
      <c r="BC32" s="345">
        <f>IF($A32="",0,MAX(L32,AE32))</f>
        <v/>
      </c>
      <c r="BD32" s="344">
        <f>IF($A32="","",(AU32+AV32+AW32+AX32+AY32+AZ32+BB32+BC32+IF(AS32=1,BA32,0))/(8+AS32))</f>
        <v/>
      </c>
      <c r="BE32" s="344">
        <f>IF($A32="","",(IF(ISNUMBER(AI32),IF(AI32&gt;=WaterMVD,1,0),0)+AV32+IF(ISNUMBER(AH32),IF(AH32&gt;=ProtMVD,1,0),0)+MAX(H32,AD32)+AZ32+BB32+AU32)/7)</f>
        <v/>
      </c>
      <c r="BF32" s="344">
        <f>IF(AO32=0,"",IF(E32="S","",IF(AND(AP32=0,$A32=TODAY()),"",IF(E32="M",BE32,BD32))))</f>
        <v/>
      </c>
      <c r="BG32" s="344">
        <f>IF(AO32=0,"",IFERROR(AVERAGEIFS(Data!$BF$4:$BF$375,Data!$A$4:$A$375,"&gt;"&amp;($A32-7),Data!$A$4:$A$375,"&lt;="&amp;$A32),""))</f>
        <v/>
      </c>
      <c r="BH32" s="344">
        <f>IF(AO32=0,"",IFERROR(AVERAGEIFS(Data!$BF$4:$BF$375,Data!$A$4:$A$375,"&gt;"&amp;($A32-30),Data!$A$4:$A$375,"&lt;="&amp;$A32),""))</f>
        <v/>
      </c>
      <c r="BI32" s="359">
        <f>IF($A32="","",IFERROR(AVERAGEIFS(Data!$AF$4:$AF$375,Data!$A$4:$A$375,"&gt;"&amp;($A32-7),Data!$A$4:$A$375,"&lt;="&amp;$A32,Data!$AF$4:$AF$375,"&gt;0"),""))</f>
        <v/>
      </c>
      <c r="BJ32" s="345">
        <f>IF($A32="","",F32+G32+H32+I32+J32+K32+L32+M32+N32-IF(AS32=1,0,J32))</f>
        <v/>
      </c>
      <c r="BK32" s="345">
        <f>IF($A32="","",8+AS32)</f>
        <v/>
      </c>
      <c r="BL32" s="345">
        <f>IF(ISNUMBER(BF32),BF32,NA())</f>
        <v/>
      </c>
      <c r="BM32" s="345">
        <f>IF(ISNUMBER(AF32),AF32,NA())</f>
        <v/>
      </c>
      <c r="BN32" s="345">
        <f>IF(ISNUMBER(BI32),BI32,NA())</f>
        <v/>
      </c>
      <c r="BO32" s="345">
        <f>IF(ISNUMBER(AL32),AL32,NA())</f>
        <v/>
      </c>
      <c r="BP32" s="345">
        <f>IF(ISNUMBER(AM32),AM32,NA())</f>
        <v/>
      </c>
      <c r="BQ32" s="345">
        <f>IF(ISNUMBER(AN32),AN32,NA())</f>
        <v/>
      </c>
    </row>
    <row r="33">
      <c r="A33" s="358">
        <f>IF('Oct 2026'!AH7="","",'Oct 2026'!AH7)</f>
        <v/>
      </c>
      <c r="B33" s="345" t="n">
        <v>1</v>
      </c>
      <c r="C33" s="345">
        <f>IF($A33="","",30)</f>
        <v/>
      </c>
      <c r="D33" s="345">
        <f>IF($A33="","",WEEKDAY($A33,2))</f>
        <v/>
      </c>
      <c r="E33" s="345">
        <f>IF($A33="","",UPPER(TRIM('Oct 2026'!AH8)))</f>
        <v/>
      </c>
      <c r="F33" s="345">
        <f>IF($A33="","",IF(OR('Oct 2026'!AH10=TRUE,'Oct 2026'!AH10="x",'Oct 2026'!AH10="X"),1,0))</f>
        <v/>
      </c>
      <c r="G33" s="345">
        <f>IF($A33="","",IF(OR('Oct 2026'!AH11=TRUE,'Oct 2026'!AH11="x",'Oct 2026'!AH11="X"),1,0))</f>
        <v/>
      </c>
      <c r="H33" s="345">
        <f>IF($A33="","",IF(OR('Oct 2026'!AH12=TRUE,'Oct 2026'!AH12="x",'Oct 2026'!AH12="X"),1,0))</f>
        <v/>
      </c>
      <c r="I33" s="345">
        <f>IF($A33="","",IF(OR('Oct 2026'!AH13=TRUE,'Oct 2026'!AH13="x",'Oct 2026'!AH13="X"),1,0))</f>
        <v/>
      </c>
      <c r="J33" s="345">
        <f>IF($A33="","",IF(OR('Oct 2026'!AH14=TRUE,'Oct 2026'!AH14="x",'Oct 2026'!AH14="X"),1,0))</f>
        <v/>
      </c>
      <c r="K33" s="345">
        <f>IF($A33="","",IF(OR('Oct 2026'!AH15=TRUE,'Oct 2026'!AH15="x",'Oct 2026'!AH15="X"),1,0))</f>
        <v/>
      </c>
      <c r="L33" s="345">
        <f>IF($A33="","",IF(OR('Oct 2026'!AH16=TRUE,'Oct 2026'!AH16="x",'Oct 2026'!AH16="X"),1,0))</f>
        <v/>
      </c>
      <c r="M33" s="345">
        <f>IF($A33="","",IF(OR('Oct 2026'!AH17=TRUE,'Oct 2026'!AH17="x",'Oct 2026'!AH17="X"),1,0))</f>
        <v/>
      </c>
      <c r="N33" s="345">
        <f>IF($A33="","",IF(OR('Oct 2026'!AH18=TRUE,'Oct 2026'!AH18="x",'Oct 2026'!AH18="X"),1,0))</f>
        <v/>
      </c>
      <c r="O33" s="345">
        <f>IF($A33="","",IF(OR('Oct 2026'!AH20=TRUE,'Oct 2026'!AH20="x",'Oct 2026'!AH20="X"),1,0))</f>
        <v/>
      </c>
      <c r="P33" s="345">
        <f>IF($A33="","",IF(OR('Oct 2026'!AH21=TRUE,'Oct 2026'!AH21="x",'Oct 2026'!AH21="X"),1,0))</f>
        <v/>
      </c>
      <c r="Q33" s="345">
        <f>IF($A33="","",IF(OR('Oct 2026'!AH22=TRUE,'Oct 2026'!AH22="x",'Oct 2026'!AH22="X"),1,0))</f>
        <v/>
      </c>
      <c r="R33" s="345">
        <f>IF($A33="","",IF(OR('Oct 2026'!AH23=TRUE,'Oct 2026'!AH23="x",'Oct 2026'!AH23="X"),1,0))</f>
        <v/>
      </c>
      <c r="S33" s="345">
        <f>IF($A33="","",IF(OR('Oct 2026'!AH24=TRUE,'Oct 2026'!AH24="x",'Oct 2026'!AH24="X"),1,0))</f>
        <v/>
      </c>
      <c r="T33" s="345">
        <f>IF($A33="","",IF(OR('Oct 2026'!AH25=TRUE,'Oct 2026'!AH25="x",'Oct 2026'!AH25="X"),1,0))</f>
        <v/>
      </c>
      <c r="U33" s="345">
        <f>IF($A33="","",IF(OR('Oct 2026'!AH26=TRUE,'Oct 2026'!AH26="x",'Oct 2026'!AH26="X"),1,0))</f>
        <v/>
      </c>
      <c r="V33" s="345">
        <f>IF($A33="","",IF(OR('Oct 2026'!AH27=TRUE,'Oct 2026'!AH27="x",'Oct 2026'!AH27="X"),1,0))</f>
        <v/>
      </c>
      <c r="W33" s="345">
        <f>IF($A33="","",IF(OR('Oct 2026'!AH28=TRUE,'Oct 2026'!AH28="x",'Oct 2026'!AH28="X"),1,0))</f>
        <v/>
      </c>
      <c r="X33" s="345">
        <f>IF($A33="","",IF(OR('Oct 2026'!AH29=TRUE,'Oct 2026'!AH29="x",'Oct 2026'!AH29="X"),1,0))</f>
        <v/>
      </c>
      <c r="Y33" s="345">
        <f>IF($A33="","",IF(OR('Oct 2026'!AH30=TRUE,'Oct 2026'!AH30="x",'Oct 2026'!AH30="X"),1,0))</f>
        <v/>
      </c>
      <c r="Z33" s="345">
        <f>IF($A33="","",IF(OR('Oct 2026'!AH31=TRUE,'Oct 2026'!AH31="x",'Oct 2026'!AH31="X"),1,0))</f>
        <v/>
      </c>
      <c r="AA33" s="345">
        <f>IF($A33="","",IF(OR('Oct 2026'!AH32=TRUE,'Oct 2026'!AH32="x",'Oct 2026'!AH32="X"),1,0))</f>
        <v/>
      </c>
      <c r="AB33" s="345">
        <f>IF($A33="","",IF(OR('Oct 2026'!AH34=TRUE,'Oct 2026'!AH34="x",'Oct 2026'!AH34="X"),1,0))</f>
        <v/>
      </c>
      <c r="AC33" s="345">
        <f>IF($A33="","",IF(OR('Oct 2026'!AH35=TRUE,'Oct 2026'!AH35="x",'Oct 2026'!AH35="X"),1,0))</f>
        <v/>
      </c>
      <c r="AD33" s="345">
        <f>IF($A33="","",IF(OR('Oct 2026'!AH36=TRUE,'Oct 2026'!AH36="x",'Oct 2026'!AH36="X"),1,0))</f>
        <v/>
      </c>
      <c r="AE33" s="345">
        <f>IF($A33="","",IF(OR('Oct 2026'!AH37=TRUE,'Oct 2026'!AH37="x",'Oct 2026'!AH37="X"),1,0))</f>
        <v/>
      </c>
      <c r="AF33" s="345">
        <f>IF($A33="","",IF('Oct 2026'!AH59="","",'Oct 2026'!AH59))</f>
        <v/>
      </c>
      <c r="AG33" s="345">
        <f>IF($A33="","",IF('Oct 2026'!AH60="","",'Oct 2026'!AH60))</f>
        <v/>
      </c>
      <c r="AH33" s="345">
        <f>IF($A33="","",IF('Oct 2026'!AH61="","",'Oct 2026'!AH61))</f>
        <v/>
      </c>
      <c r="AI33" s="345">
        <f>IF($A33="","",IF('Oct 2026'!AH62="","",'Oct 2026'!AH62))</f>
        <v/>
      </c>
      <c r="AJ33" s="345">
        <f>IF($A33="","",IF('Oct 2026'!AH63="","",'Oct 2026'!AH63))</f>
        <v/>
      </c>
      <c r="AK33" s="345">
        <f>IF($A33="","",IF('Oct 2026'!AH64="","",'Oct 2026'!AH64))</f>
        <v/>
      </c>
      <c r="AL33" s="345">
        <f>IF($A33="","",IF('Oct 2026'!AH65="","",'Oct 2026'!AH65))</f>
        <v/>
      </c>
      <c r="AM33" s="345">
        <f>IF($A33="","",IF('Oct 2026'!AH66="","",'Oct 2026'!AH66))</f>
        <v/>
      </c>
      <c r="AN33" s="345">
        <f>IF($A33="","",IF('Oct 2026'!AH67="","",'Oct 2026'!AH67))</f>
        <v/>
      </c>
      <c r="AO33" s="345">
        <f>IF($A33="",0,IF(AND($A33&gt;=TrackStart,$A33&lt;=TODAY()),1,0))</f>
        <v/>
      </c>
      <c r="AP33" s="345">
        <f>IF($A33="",0,IF(SUM(F33:AE33)+COUNT(AF33:AN33)&gt;0,1,0))</f>
        <v/>
      </c>
      <c r="AQ33" s="345">
        <f>IF($A33="","",INT(($A33-TrackStart)/7)+1)</f>
        <v/>
      </c>
      <c r="AR33" s="345">
        <f>IF($A33="","",IF(AQ33&lt;=1,Steps1,IF(AQ33=2,Steps2,Steps3)))</f>
        <v/>
      </c>
      <c r="AS33" s="345">
        <f>IF($A33="",0,IF(ISNUMBER(SEARCH(TEXT(D33,"0"),WorkDays&amp;"")),1,0))</f>
        <v/>
      </c>
      <c r="AT33" s="345">
        <f>IF($A33="",0,IF(ISNUMBER(SEARCH(TEXT(D33,"0"),StrDays&amp;"")),1,0))</f>
        <v/>
      </c>
      <c r="AU33" s="345">
        <f>IF($A33="",0,IF(ISNUMBER(AK33),IF(AK33&gt;=SleepMin,1,0),N33))</f>
        <v/>
      </c>
      <c r="AV33" s="345">
        <f>IF($A33="",0,MAX(I33,O33,S33,AC33))</f>
        <v/>
      </c>
      <c r="AW33" s="345">
        <f>IF($A33="",0,IF(ISNUMBER(AH33),IF(AH33&gt;=ProtHit,1,0),0))</f>
        <v/>
      </c>
      <c r="AX33" s="345">
        <f>IF($A33="",0,IF(ISNUMBER(AI33),IF(AI33&gt;=WaterHit,1,0),0))</f>
        <v/>
      </c>
      <c r="AY33" s="345">
        <f>IF($A33="",0,IF(ISNUMBER(AG33),IF(AG33&gt;=AR33,1,0),0))</f>
        <v/>
      </c>
      <c r="AZ33" s="345">
        <f>IF($A33="",0,G33)</f>
        <v/>
      </c>
      <c r="BA33" s="345">
        <f>IF($A33="",0,J33)</f>
        <v/>
      </c>
      <c r="BB33" s="345">
        <f>IF($A33="",0,K33)</f>
        <v/>
      </c>
      <c r="BC33" s="345">
        <f>IF($A33="",0,MAX(L33,AE33))</f>
        <v/>
      </c>
      <c r="BD33" s="344">
        <f>IF($A33="","",(AU33+AV33+AW33+AX33+AY33+AZ33+BB33+BC33+IF(AS33=1,BA33,0))/(8+AS33))</f>
        <v/>
      </c>
      <c r="BE33" s="344">
        <f>IF($A33="","",(IF(ISNUMBER(AI33),IF(AI33&gt;=WaterMVD,1,0),0)+AV33+IF(ISNUMBER(AH33),IF(AH33&gt;=ProtMVD,1,0),0)+MAX(H33,AD33)+AZ33+BB33+AU33)/7)</f>
        <v/>
      </c>
      <c r="BF33" s="344">
        <f>IF(AO33=0,"",IF(E33="S","",IF(AND(AP33=0,$A33=TODAY()),"",IF(E33="M",BE33,BD33))))</f>
        <v/>
      </c>
      <c r="BG33" s="344">
        <f>IF(AO33=0,"",IFERROR(AVERAGEIFS(Data!$BF$4:$BF$375,Data!$A$4:$A$375,"&gt;"&amp;($A33-7),Data!$A$4:$A$375,"&lt;="&amp;$A33),""))</f>
        <v/>
      </c>
      <c r="BH33" s="344">
        <f>IF(AO33=0,"",IFERROR(AVERAGEIFS(Data!$BF$4:$BF$375,Data!$A$4:$A$375,"&gt;"&amp;($A33-30),Data!$A$4:$A$375,"&lt;="&amp;$A33),""))</f>
        <v/>
      </c>
      <c r="BI33" s="359">
        <f>IF($A33="","",IFERROR(AVERAGEIFS(Data!$AF$4:$AF$375,Data!$A$4:$A$375,"&gt;"&amp;($A33-7),Data!$A$4:$A$375,"&lt;="&amp;$A33,Data!$AF$4:$AF$375,"&gt;0"),""))</f>
        <v/>
      </c>
      <c r="BJ33" s="345">
        <f>IF($A33="","",F33+G33+H33+I33+J33+K33+L33+M33+N33-IF(AS33=1,0,J33))</f>
        <v/>
      </c>
      <c r="BK33" s="345">
        <f>IF($A33="","",8+AS33)</f>
        <v/>
      </c>
      <c r="BL33" s="345">
        <f>IF(ISNUMBER(BF33),BF33,NA())</f>
        <v/>
      </c>
      <c r="BM33" s="345">
        <f>IF(ISNUMBER(AF33),AF33,NA())</f>
        <v/>
      </c>
      <c r="BN33" s="345">
        <f>IF(ISNUMBER(BI33),BI33,NA())</f>
        <v/>
      </c>
      <c r="BO33" s="345">
        <f>IF(ISNUMBER(AL33),AL33,NA())</f>
        <v/>
      </c>
      <c r="BP33" s="345">
        <f>IF(ISNUMBER(AM33),AM33,NA())</f>
        <v/>
      </c>
      <c r="BQ33" s="345">
        <f>IF(ISNUMBER(AN33),AN33,NA())</f>
        <v/>
      </c>
    </row>
    <row r="34">
      <c r="A34" s="358">
        <f>IF('Oct 2026'!AI7="","",'Oct 2026'!AI7)</f>
        <v/>
      </c>
      <c r="B34" s="345" t="n">
        <v>1</v>
      </c>
      <c r="C34" s="345">
        <f>IF($A34="","",31)</f>
        <v/>
      </c>
      <c r="D34" s="345">
        <f>IF($A34="","",WEEKDAY($A34,2))</f>
        <v/>
      </c>
      <c r="E34" s="345">
        <f>IF($A34="","",UPPER(TRIM('Oct 2026'!AI8)))</f>
        <v/>
      </c>
      <c r="F34" s="345">
        <f>IF($A34="","",IF(OR('Oct 2026'!AI10=TRUE,'Oct 2026'!AI10="x",'Oct 2026'!AI10="X"),1,0))</f>
        <v/>
      </c>
      <c r="G34" s="345">
        <f>IF($A34="","",IF(OR('Oct 2026'!AI11=TRUE,'Oct 2026'!AI11="x",'Oct 2026'!AI11="X"),1,0))</f>
        <v/>
      </c>
      <c r="H34" s="345">
        <f>IF($A34="","",IF(OR('Oct 2026'!AI12=TRUE,'Oct 2026'!AI12="x",'Oct 2026'!AI12="X"),1,0))</f>
        <v/>
      </c>
      <c r="I34" s="345">
        <f>IF($A34="","",IF(OR('Oct 2026'!AI13=TRUE,'Oct 2026'!AI13="x",'Oct 2026'!AI13="X"),1,0))</f>
        <v/>
      </c>
      <c r="J34" s="345">
        <f>IF($A34="","",IF(OR('Oct 2026'!AI14=TRUE,'Oct 2026'!AI14="x",'Oct 2026'!AI14="X"),1,0))</f>
        <v/>
      </c>
      <c r="K34" s="345">
        <f>IF($A34="","",IF(OR('Oct 2026'!AI15=TRUE,'Oct 2026'!AI15="x",'Oct 2026'!AI15="X"),1,0))</f>
        <v/>
      </c>
      <c r="L34" s="345">
        <f>IF($A34="","",IF(OR('Oct 2026'!AI16=TRUE,'Oct 2026'!AI16="x",'Oct 2026'!AI16="X"),1,0))</f>
        <v/>
      </c>
      <c r="M34" s="345">
        <f>IF($A34="","",IF(OR('Oct 2026'!AI17=TRUE,'Oct 2026'!AI17="x",'Oct 2026'!AI17="X"),1,0))</f>
        <v/>
      </c>
      <c r="N34" s="345">
        <f>IF($A34="","",IF(OR('Oct 2026'!AI18=TRUE,'Oct 2026'!AI18="x",'Oct 2026'!AI18="X"),1,0))</f>
        <v/>
      </c>
      <c r="O34" s="345">
        <f>IF($A34="","",IF(OR('Oct 2026'!AI20=TRUE,'Oct 2026'!AI20="x",'Oct 2026'!AI20="X"),1,0))</f>
        <v/>
      </c>
      <c r="P34" s="345">
        <f>IF($A34="","",IF(OR('Oct 2026'!AI21=TRUE,'Oct 2026'!AI21="x",'Oct 2026'!AI21="X"),1,0))</f>
        <v/>
      </c>
      <c r="Q34" s="345">
        <f>IF($A34="","",IF(OR('Oct 2026'!AI22=TRUE,'Oct 2026'!AI22="x",'Oct 2026'!AI22="X"),1,0))</f>
        <v/>
      </c>
      <c r="R34" s="345">
        <f>IF($A34="","",IF(OR('Oct 2026'!AI23=TRUE,'Oct 2026'!AI23="x",'Oct 2026'!AI23="X"),1,0))</f>
        <v/>
      </c>
      <c r="S34" s="345">
        <f>IF($A34="","",IF(OR('Oct 2026'!AI24=TRUE,'Oct 2026'!AI24="x",'Oct 2026'!AI24="X"),1,0))</f>
        <v/>
      </c>
      <c r="T34" s="345">
        <f>IF($A34="","",IF(OR('Oct 2026'!AI25=TRUE,'Oct 2026'!AI25="x",'Oct 2026'!AI25="X"),1,0))</f>
        <v/>
      </c>
      <c r="U34" s="345">
        <f>IF($A34="","",IF(OR('Oct 2026'!AI26=TRUE,'Oct 2026'!AI26="x",'Oct 2026'!AI26="X"),1,0))</f>
        <v/>
      </c>
      <c r="V34" s="345">
        <f>IF($A34="","",IF(OR('Oct 2026'!AI27=TRUE,'Oct 2026'!AI27="x",'Oct 2026'!AI27="X"),1,0))</f>
        <v/>
      </c>
      <c r="W34" s="345">
        <f>IF($A34="","",IF(OR('Oct 2026'!AI28=TRUE,'Oct 2026'!AI28="x",'Oct 2026'!AI28="X"),1,0))</f>
        <v/>
      </c>
      <c r="X34" s="345">
        <f>IF($A34="","",IF(OR('Oct 2026'!AI29=TRUE,'Oct 2026'!AI29="x",'Oct 2026'!AI29="X"),1,0))</f>
        <v/>
      </c>
      <c r="Y34" s="345">
        <f>IF($A34="","",IF(OR('Oct 2026'!AI30=TRUE,'Oct 2026'!AI30="x",'Oct 2026'!AI30="X"),1,0))</f>
        <v/>
      </c>
      <c r="Z34" s="345">
        <f>IF($A34="","",IF(OR('Oct 2026'!AI31=TRUE,'Oct 2026'!AI31="x",'Oct 2026'!AI31="X"),1,0))</f>
        <v/>
      </c>
      <c r="AA34" s="345">
        <f>IF($A34="","",IF(OR('Oct 2026'!AI32=TRUE,'Oct 2026'!AI32="x",'Oct 2026'!AI32="X"),1,0))</f>
        <v/>
      </c>
      <c r="AB34" s="345">
        <f>IF($A34="","",IF(OR('Oct 2026'!AI34=TRUE,'Oct 2026'!AI34="x",'Oct 2026'!AI34="X"),1,0))</f>
        <v/>
      </c>
      <c r="AC34" s="345">
        <f>IF($A34="","",IF(OR('Oct 2026'!AI35=TRUE,'Oct 2026'!AI35="x",'Oct 2026'!AI35="X"),1,0))</f>
        <v/>
      </c>
      <c r="AD34" s="345">
        <f>IF($A34="","",IF(OR('Oct 2026'!AI36=TRUE,'Oct 2026'!AI36="x",'Oct 2026'!AI36="X"),1,0))</f>
        <v/>
      </c>
      <c r="AE34" s="345">
        <f>IF($A34="","",IF(OR('Oct 2026'!AI37=TRUE,'Oct 2026'!AI37="x",'Oct 2026'!AI37="X"),1,0))</f>
        <v/>
      </c>
      <c r="AF34" s="345">
        <f>IF($A34="","",IF('Oct 2026'!AI59="","",'Oct 2026'!AI59))</f>
        <v/>
      </c>
      <c r="AG34" s="345">
        <f>IF($A34="","",IF('Oct 2026'!AI60="","",'Oct 2026'!AI60))</f>
        <v/>
      </c>
      <c r="AH34" s="345">
        <f>IF($A34="","",IF('Oct 2026'!AI61="","",'Oct 2026'!AI61))</f>
        <v/>
      </c>
      <c r="AI34" s="345">
        <f>IF($A34="","",IF('Oct 2026'!AI62="","",'Oct 2026'!AI62))</f>
        <v/>
      </c>
      <c r="AJ34" s="345">
        <f>IF($A34="","",IF('Oct 2026'!AI63="","",'Oct 2026'!AI63))</f>
        <v/>
      </c>
      <c r="AK34" s="345">
        <f>IF($A34="","",IF('Oct 2026'!AI64="","",'Oct 2026'!AI64))</f>
        <v/>
      </c>
      <c r="AL34" s="345">
        <f>IF($A34="","",IF('Oct 2026'!AI65="","",'Oct 2026'!AI65))</f>
        <v/>
      </c>
      <c r="AM34" s="345">
        <f>IF($A34="","",IF('Oct 2026'!AI66="","",'Oct 2026'!AI66))</f>
        <v/>
      </c>
      <c r="AN34" s="345">
        <f>IF($A34="","",IF('Oct 2026'!AI67="","",'Oct 2026'!AI67))</f>
        <v/>
      </c>
      <c r="AO34" s="345">
        <f>IF($A34="",0,IF(AND($A34&gt;=TrackStart,$A34&lt;=TODAY()),1,0))</f>
        <v/>
      </c>
      <c r="AP34" s="345">
        <f>IF($A34="",0,IF(SUM(F34:AE34)+COUNT(AF34:AN34)&gt;0,1,0))</f>
        <v/>
      </c>
      <c r="AQ34" s="345">
        <f>IF($A34="","",INT(($A34-TrackStart)/7)+1)</f>
        <v/>
      </c>
      <c r="AR34" s="345">
        <f>IF($A34="","",IF(AQ34&lt;=1,Steps1,IF(AQ34=2,Steps2,Steps3)))</f>
        <v/>
      </c>
      <c r="AS34" s="345">
        <f>IF($A34="",0,IF(ISNUMBER(SEARCH(TEXT(D34,"0"),WorkDays&amp;"")),1,0))</f>
        <v/>
      </c>
      <c r="AT34" s="345">
        <f>IF($A34="",0,IF(ISNUMBER(SEARCH(TEXT(D34,"0"),StrDays&amp;"")),1,0))</f>
        <v/>
      </c>
      <c r="AU34" s="345">
        <f>IF($A34="",0,IF(ISNUMBER(AK34),IF(AK34&gt;=SleepMin,1,0),N34))</f>
        <v/>
      </c>
      <c r="AV34" s="345">
        <f>IF($A34="",0,MAX(I34,O34,S34,AC34))</f>
        <v/>
      </c>
      <c r="AW34" s="345">
        <f>IF($A34="",0,IF(ISNUMBER(AH34),IF(AH34&gt;=ProtHit,1,0),0))</f>
        <v/>
      </c>
      <c r="AX34" s="345">
        <f>IF($A34="",0,IF(ISNUMBER(AI34),IF(AI34&gt;=WaterHit,1,0),0))</f>
        <v/>
      </c>
      <c r="AY34" s="345">
        <f>IF($A34="",0,IF(ISNUMBER(AG34),IF(AG34&gt;=AR34,1,0),0))</f>
        <v/>
      </c>
      <c r="AZ34" s="345">
        <f>IF($A34="",0,G34)</f>
        <v/>
      </c>
      <c r="BA34" s="345">
        <f>IF($A34="",0,J34)</f>
        <v/>
      </c>
      <c r="BB34" s="345">
        <f>IF($A34="",0,K34)</f>
        <v/>
      </c>
      <c r="BC34" s="345">
        <f>IF($A34="",0,MAX(L34,AE34))</f>
        <v/>
      </c>
      <c r="BD34" s="344">
        <f>IF($A34="","",(AU34+AV34+AW34+AX34+AY34+AZ34+BB34+BC34+IF(AS34=1,BA34,0))/(8+AS34))</f>
        <v/>
      </c>
      <c r="BE34" s="344">
        <f>IF($A34="","",(IF(ISNUMBER(AI34),IF(AI34&gt;=WaterMVD,1,0),0)+AV34+IF(ISNUMBER(AH34),IF(AH34&gt;=ProtMVD,1,0),0)+MAX(H34,AD34)+AZ34+BB34+AU34)/7)</f>
        <v/>
      </c>
      <c r="BF34" s="344">
        <f>IF(AO34=0,"",IF(E34="S","",IF(AND(AP34=0,$A34=TODAY()),"",IF(E34="M",BE34,BD34))))</f>
        <v/>
      </c>
      <c r="BG34" s="344">
        <f>IF(AO34=0,"",IFERROR(AVERAGEIFS(Data!$BF$4:$BF$375,Data!$A$4:$A$375,"&gt;"&amp;($A34-7),Data!$A$4:$A$375,"&lt;="&amp;$A34),""))</f>
        <v/>
      </c>
      <c r="BH34" s="344">
        <f>IF(AO34=0,"",IFERROR(AVERAGEIFS(Data!$BF$4:$BF$375,Data!$A$4:$A$375,"&gt;"&amp;($A34-30),Data!$A$4:$A$375,"&lt;="&amp;$A34),""))</f>
        <v/>
      </c>
      <c r="BI34" s="359">
        <f>IF($A34="","",IFERROR(AVERAGEIFS(Data!$AF$4:$AF$375,Data!$A$4:$A$375,"&gt;"&amp;($A34-7),Data!$A$4:$A$375,"&lt;="&amp;$A34,Data!$AF$4:$AF$375,"&gt;0"),""))</f>
        <v/>
      </c>
      <c r="BJ34" s="345">
        <f>IF($A34="","",F34+G34+H34+I34+J34+K34+L34+M34+N34-IF(AS34=1,0,J34))</f>
        <v/>
      </c>
      <c r="BK34" s="345">
        <f>IF($A34="","",8+AS34)</f>
        <v/>
      </c>
      <c r="BL34" s="345">
        <f>IF(ISNUMBER(BF34),BF34,NA())</f>
        <v/>
      </c>
      <c r="BM34" s="345">
        <f>IF(ISNUMBER(AF34),AF34,NA())</f>
        <v/>
      </c>
      <c r="BN34" s="345">
        <f>IF(ISNUMBER(BI34),BI34,NA())</f>
        <v/>
      </c>
      <c r="BO34" s="345">
        <f>IF(ISNUMBER(AL34),AL34,NA())</f>
        <v/>
      </c>
      <c r="BP34" s="345">
        <f>IF(ISNUMBER(AM34),AM34,NA())</f>
        <v/>
      </c>
      <c r="BQ34" s="345">
        <f>IF(ISNUMBER(AN34),AN34,NA())</f>
        <v/>
      </c>
    </row>
    <row r="35">
      <c r="A35" s="358">
        <f>IF('Nov 2026'!E7="","",'Nov 2026'!E7)</f>
        <v/>
      </c>
      <c r="B35" s="345" t="n">
        <v>2</v>
      </c>
      <c r="C35" s="345">
        <f>IF($A35="","",1)</f>
        <v/>
      </c>
      <c r="D35" s="345">
        <f>IF($A35="","",WEEKDAY($A35,2))</f>
        <v/>
      </c>
      <c r="E35" s="345">
        <f>IF($A35="","",UPPER(TRIM('Nov 2026'!E8)))</f>
        <v/>
      </c>
      <c r="F35" s="345">
        <f>IF($A35="","",IF(OR('Nov 2026'!E10=TRUE,'Nov 2026'!E10="x",'Nov 2026'!E10="X"),1,0))</f>
        <v/>
      </c>
      <c r="G35" s="345">
        <f>IF($A35="","",IF(OR('Nov 2026'!E11=TRUE,'Nov 2026'!E11="x",'Nov 2026'!E11="X"),1,0))</f>
        <v/>
      </c>
      <c r="H35" s="345">
        <f>IF($A35="","",IF(OR('Nov 2026'!E12=TRUE,'Nov 2026'!E12="x",'Nov 2026'!E12="X"),1,0))</f>
        <v/>
      </c>
      <c r="I35" s="345">
        <f>IF($A35="","",IF(OR('Nov 2026'!E13=TRUE,'Nov 2026'!E13="x",'Nov 2026'!E13="X"),1,0))</f>
        <v/>
      </c>
      <c r="J35" s="345">
        <f>IF($A35="","",IF(OR('Nov 2026'!E14=TRUE,'Nov 2026'!E14="x",'Nov 2026'!E14="X"),1,0))</f>
        <v/>
      </c>
      <c r="K35" s="345">
        <f>IF($A35="","",IF(OR('Nov 2026'!E15=TRUE,'Nov 2026'!E15="x",'Nov 2026'!E15="X"),1,0))</f>
        <v/>
      </c>
      <c r="L35" s="345">
        <f>IF($A35="","",IF(OR('Nov 2026'!E16=TRUE,'Nov 2026'!E16="x",'Nov 2026'!E16="X"),1,0))</f>
        <v/>
      </c>
      <c r="M35" s="345">
        <f>IF($A35="","",IF(OR('Nov 2026'!E17=TRUE,'Nov 2026'!E17="x",'Nov 2026'!E17="X"),1,0))</f>
        <v/>
      </c>
      <c r="N35" s="345">
        <f>IF($A35="","",IF(OR('Nov 2026'!E18=TRUE,'Nov 2026'!E18="x",'Nov 2026'!E18="X"),1,0))</f>
        <v/>
      </c>
      <c r="O35" s="345">
        <f>IF($A35="","",IF(OR('Nov 2026'!E20=TRUE,'Nov 2026'!E20="x",'Nov 2026'!E20="X"),1,0))</f>
        <v/>
      </c>
      <c r="P35" s="345">
        <f>IF($A35="","",IF(OR('Nov 2026'!E21=TRUE,'Nov 2026'!E21="x",'Nov 2026'!E21="X"),1,0))</f>
        <v/>
      </c>
      <c r="Q35" s="345">
        <f>IF($A35="","",IF(OR('Nov 2026'!E22=TRUE,'Nov 2026'!E22="x",'Nov 2026'!E22="X"),1,0))</f>
        <v/>
      </c>
      <c r="R35" s="345">
        <f>IF($A35="","",IF(OR('Nov 2026'!E23=TRUE,'Nov 2026'!E23="x",'Nov 2026'!E23="X"),1,0))</f>
        <v/>
      </c>
      <c r="S35" s="345">
        <f>IF($A35="","",IF(OR('Nov 2026'!E24=TRUE,'Nov 2026'!E24="x",'Nov 2026'!E24="X"),1,0))</f>
        <v/>
      </c>
      <c r="T35" s="345">
        <f>IF($A35="","",IF(OR('Nov 2026'!E25=TRUE,'Nov 2026'!E25="x",'Nov 2026'!E25="X"),1,0))</f>
        <v/>
      </c>
      <c r="U35" s="345">
        <f>IF($A35="","",IF(OR('Nov 2026'!E26=TRUE,'Nov 2026'!E26="x",'Nov 2026'!E26="X"),1,0))</f>
        <v/>
      </c>
      <c r="V35" s="345">
        <f>IF($A35="","",IF(OR('Nov 2026'!E27=TRUE,'Nov 2026'!E27="x",'Nov 2026'!E27="X"),1,0))</f>
        <v/>
      </c>
      <c r="W35" s="345">
        <f>IF($A35="","",IF(OR('Nov 2026'!E28=TRUE,'Nov 2026'!E28="x",'Nov 2026'!E28="X"),1,0))</f>
        <v/>
      </c>
      <c r="X35" s="345">
        <f>IF($A35="","",IF(OR('Nov 2026'!E29=TRUE,'Nov 2026'!E29="x",'Nov 2026'!E29="X"),1,0))</f>
        <v/>
      </c>
      <c r="Y35" s="345">
        <f>IF($A35="","",IF(OR('Nov 2026'!E30=TRUE,'Nov 2026'!E30="x",'Nov 2026'!E30="X"),1,0))</f>
        <v/>
      </c>
      <c r="Z35" s="345">
        <f>IF($A35="","",IF(OR('Nov 2026'!E31=TRUE,'Nov 2026'!E31="x",'Nov 2026'!E31="X"),1,0))</f>
        <v/>
      </c>
      <c r="AA35" s="345">
        <f>IF($A35="","",IF(OR('Nov 2026'!E32=TRUE,'Nov 2026'!E32="x",'Nov 2026'!E32="X"),1,0))</f>
        <v/>
      </c>
      <c r="AB35" s="345">
        <f>IF($A35="","",IF(OR('Nov 2026'!E34=TRUE,'Nov 2026'!E34="x",'Nov 2026'!E34="X"),1,0))</f>
        <v/>
      </c>
      <c r="AC35" s="345">
        <f>IF($A35="","",IF(OR('Nov 2026'!E35=TRUE,'Nov 2026'!E35="x",'Nov 2026'!E35="X"),1,0))</f>
        <v/>
      </c>
      <c r="AD35" s="345">
        <f>IF($A35="","",IF(OR('Nov 2026'!E36=TRUE,'Nov 2026'!E36="x",'Nov 2026'!E36="X"),1,0))</f>
        <v/>
      </c>
      <c r="AE35" s="345">
        <f>IF($A35="","",IF(OR('Nov 2026'!E37=TRUE,'Nov 2026'!E37="x",'Nov 2026'!E37="X"),1,0))</f>
        <v/>
      </c>
      <c r="AF35" s="345">
        <f>IF($A35="","",IF('Nov 2026'!E59="","",'Nov 2026'!E59))</f>
        <v/>
      </c>
      <c r="AG35" s="345">
        <f>IF($A35="","",IF('Nov 2026'!E60="","",'Nov 2026'!E60))</f>
        <v/>
      </c>
      <c r="AH35" s="345">
        <f>IF($A35="","",IF('Nov 2026'!E61="","",'Nov 2026'!E61))</f>
        <v/>
      </c>
      <c r="AI35" s="345">
        <f>IF($A35="","",IF('Nov 2026'!E62="","",'Nov 2026'!E62))</f>
        <v/>
      </c>
      <c r="AJ35" s="345">
        <f>IF($A35="","",IF('Nov 2026'!E63="","",'Nov 2026'!E63))</f>
        <v/>
      </c>
      <c r="AK35" s="345">
        <f>IF($A35="","",IF('Nov 2026'!E64="","",'Nov 2026'!E64))</f>
        <v/>
      </c>
      <c r="AL35" s="345">
        <f>IF($A35="","",IF('Nov 2026'!E65="","",'Nov 2026'!E65))</f>
        <v/>
      </c>
      <c r="AM35" s="345">
        <f>IF($A35="","",IF('Nov 2026'!E66="","",'Nov 2026'!E66))</f>
        <v/>
      </c>
      <c r="AN35" s="345">
        <f>IF($A35="","",IF('Nov 2026'!E67="","",'Nov 2026'!E67))</f>
        <v/>
      </c>
      <c r="AO35" s="345">
        <f>IF($A35="",0,IF(AND($A35&gt;=TrackStart,$A35&lt;=TODAY()),1,0))</f>
        <v/>
      </c>
      <c r="AP35" s="345">
        <f>IF($A35="",0,IF(SUM(F35:AE35)+COUNT(AF35:AN35)&gt;0,1,0))</f>
        <v/>
      </c>
      <c r="AQ35" s="345">
        <f>IF($A35="","",INT(($A35-TrackStart)/7)+1)</f>
        <v/>
      </c>
      <c r="AR35" s="345">
        <f>IF($A35="","",IF(AQ35&lt;=1,Steps1,IF(AQ35=2,Steps2,Steps3)))</f>
        <v/>
      </c>
      <c r="AS35" s="345">
        <f>IF($A35="",0,IF(ISNUMBER(SEARCH(TEXT(D35,"0"),WorkDays&amp;"")),1,0))</f>
        <v/>
      </c>
      <c r="AT35" s="345">
        <f>IF($A35="",0,IF(ISNUMBER(SEARCH(TEXT(D35,"0"),StrDays&amp;"")),1,0))</f>
        <v/>
      </c>
      <c r="AU35" s="345">
        <f>IF($A35="",0,IF(ISNUMBER(AK35),IF(AK35&gt;=SleepMin,1,0),N35))</f>
        <v/>
      </c>
      <c r="AV35" s="345">
        <f>IF($A35="",0,MAX(I35,O35,S35,AC35))</f>
        <v/>
      </c>
      <c r="AW35" s="345">
        <f>IF($A35="",0,IF(ISNUMBER(AH35),IF(AH35&gt;=ProtHit,1,0),0))</f>
        <v/>
      </c>
      <c r="AX35" s="345">
        <f>IF($A35="",0,IF(ISNUMBER(AI35),IF(AI35&gt;=WaterHit,1,0),0))</f>
        <v/>
      </c>
      <c r="AY35" s="345">
        <f>IF($A35="",0,IF(ISNUMBER(AG35),IF(AG35&gt;=AR35,1,0),0))</f>
        <v/>
      </c>
      <c r="AZ35" s="345">
        <f>IF($A35="",0,G35)</f>
        <v/>
      </c>
      <c r="BA35" s="345">
        <f>IF($A35="",0,J35)</f>
        <v/>
      </c>
      <c r="BB35" s="345">
        <f>IF($A35="",0,K35)</f>
        <v/>
      </c>
      <c r="BC35" s="345">
        <f>IF($A35="",0,MAX(L35,AE35))</f>
        <v/>
      </c>
      <c r="BD35" s="344">
        <f>IF($A35="","",(AU35+AV35+AW35+AX35+AY35+AZ35+BB35+BC35+IF(AS35=1,BA35,0))/(8+AS35))</f>
        <v/>
      </c>
      <c r="BE35" s="344">
        <f>IF($A35="","",(IF(ISNUMBER(AI35),IF(AI35&gt;=WaterMVD,1,0),0)+AV35+IF(ISNUMBER(AH35),IF(AH35&gt;=ProtMVD,1,0),0)+MAX(H35,AD35)+AZ35+BB35+AU35)/7)</f>
        <v/>
      </c>
      <c r="BF35" s="344">
        <f>IF(AO35=0,"",IF(E35="S","",IF(AND(AP35=0,$A35=TODAY()),"",IF(E35="M",BE35,BD35))))</f>
        <v/>
      </c>
      <c r="BG35" s="344">
        <f>IF(AO35=0,"",IFERROR(AVERAGEIFS(Data!$BF$4:$BF$375,Data!$A$4:$A$375,"&gt;"&amp;($A35-7),Data!$A$4:$A$375,"&lt;="&amp;$A35),""))</f>
        <v/>
      </c>
      <c r="BH35" s="344">
        <f>IF(AO35=0,"",IFERROR(AVERAGEIFS(Data!$BF$4:$BF$375,Data!$A$4:$A$375,"&gt;"&amp;($A35-30),Data!$A$4:$A$375,"&lt;="&amp;$A35),""))</f>
        <v/>
      </c>
      <c r="BI35" s="359">
        <f>IF($A35="","",IFERROR(AVERAGEIFS(Data!$AF$4:$AF$375,Data!$A$4:$A$375,"&gt;"&amp;($A35-7),Data!$A$4:$A$375,"&lt;="&amp;$A35,Data!$AF$4:$AF$375,"&gt;0"),""))</f>
        <v/>
      </c>
      <c r="BJ35" s="345">
        <f>IF($A35="","",F35+G35+H35+I35+J35+K35+L35+M35+N35-IF(AS35=1,0,J35))</f>
        <v/>
      </c>
      <c r="BK35" s="345">
        <f>IF($A35="","",8+AS35)</f>
        <v/>
      </c>
      <c r="BL35" s="345">
        <f>IF(ISNUMBER(BF35),BF35,NA())</f>
        <v/>
      </c>
      <c r="BM35" s="345">
        <f>IF(ISNUMBER(AF35),AF35,NA())</f>
        <v/>
      </c>
      <c r="BN35" s="345">
        <f>IF(ISNUMBER(BI35),BI35,NA())</f>
        <v/>
      </c>
      <c r="BO35" s="345">
        <f>IF(ISNUMBER(AL35),AL35,NA())</f>
        <v/>
      </c>
      <c r="BP35" s="345">
        <f>IF(ISNUMBER(AM35),AM35,NA())</f>
        <v/>
      </c>
      <c r="BQ35" s="345">
        <f>IF(ISNUMBER(AN35),AN35,NA())</f>
        <v/>
      </c>
    </row>
    <row r="36">
      <c r="A36" s="358">
        <f>IF('Nov 2026'!F7="","",'Nov 2026'!F7)</f>
        <v/>
      </c>
      <c r="B36" s="345" t="n">
        <v>2</v>
      </c>
      <c r="C36" s="345">
        <f>IF($A36="","",2)</f>
        <v/>
      </c>
      <c r="D36" s="345">
        <f>IF($A36="","",WEEKDAY($A36,2))</f>
        <v/>
      </c>
      <c r="E36" s="345">
        <f>IF($A36="","",UPPER(TRIM('Nov 2026'!F8)))</f>
        <v/>
      </c>
      <c r="F36" s="345">
        <f>IF($A36="","",IF(OR('Nov 2026'!F10=TRUE,'Nov 2026'!F10="x",'Nov 2026'!F10="X"),1,0))</f>
        <v/>
      </c>
      <c r="G36" s="345">
        <f>IF($A36="","",IF(OR('Nov 2026'!F11=TRUE,'Nov 2026'!F11="x",'Nov 2026'!F11="X"),1,0))</f>
        <v/>
      </c>
      <c r="H36" s="345">
        <f>IF($A36="","",IF(OR('Nov 2026'!F12=TRUE,'Nov 2026'!F12="x",'Nov 2026'!F12="X"),1,0))</f>
        <v/>
      </c>
      <c r="I36" s="345">
        <f>IF($A36="","",IF(OR('Nov 2026'!F13=TRUE,'Nov 2026'!F13="x",'Nov 2026'!F13="X"),1,0))</f>
        <v/>
      </c>
      <c r="J36" s="345">
        <f>IF($A36="","",IF(OR('Nov 2026'!F14=TRUE,'Nov 2026'!F14="x",'Nov 2026'!F14="X"),1,0))</f>
        <v/>
      </c>
      <c r="K36" s="345">
        <f>IF($A36="","",IF(OR('Nov 2026'!F15=TRUE,'Nov 2026'!F15="x",'Nov 2026'!F15="X"),1,0))</f>
        <v/>
      </c>
      <c r="L36" s="345">
        <f>IF($A36="","",IF(OR('Nov 2026'!F16=TRUE,'Nov 2026'!F16="x",'Nov 2026'!F16="X"),1,0))</f>
        <v/>
      </c>
      <c r="M36" s="345">
        <f>IF($A36="","",IF(OR('Nov 2026'!F17=TRUE,'Nov 2026'!F17="x",'Nov 2026'!F17="X"),1,0))</f>
        <v/>
      </c>
      <c r="N36" s="345">
        <f>IF($A36="","",IF(OR('Nov 2026'!F18=TRUE,'Nov 2026'!F18="x",'Nov 2026'!F18="X"),1,0))</f>
        <v/>
      </c>
      <c r="O36" s="345">
        <f>IF($A36="","",IF(OR('Nov 2026'!F20=TRUE,'Nov 2026'!F20="x",'Nov 2026'!F20="X"),1,0))</f>
        <v/>
      </c>
      <c r="P36" s="345">
        <f>IF($A36="","",IF(OR('Nov 2026'!F21=TRUE,'Nov 2026'!F21="x",'Nov 2026'!F21="X"),1,0))</f>
        <v/>
      </c>
      <c r="Q36" s="345">
        <f>IF($A36="","",IF(OR('Nov 2026'!F22=TRUE,'Nov 2026'!F22="x",'Nov 2026'!F22="X"),1,0))</f>
        <v/>
      </c>
      <c r="R36" s="345">
        <f>IF($A36="","",IF(OR('Nov 2026'!F23=TRUE,'Nov 2026'!F23="x",'Nov 2026'!F23="X"),1,0))</f>
        <v/>
      </c>
      <c r="S36" s="345">
        <f>IF($A36="","",IF(OR('Nov 2026'!F24=TRUE,'Nov 2026'!F24="x",'Nov 2026'!F24="X"),1,0))</f>
        <v/>
      </c>
      <c r="T36" s="345">
        <f>IF($A36="","",IF(OR('Nov 2026'!F25=TRUE,'Nov 2026'!F25="x",'Nov 2026'!F25="X"),1,0))</f>
        <v/>
      </c>
      <c r="U36" s="345">
        <f>IF($A36="","",IF(OR('Nov 2026'!F26=TRUE,'Nov 2026'!F26="x",'Nov 2026'!F26="X"),1,0))</f>
        <v/>
      </c>
      <c r="V36" s="345">
        <f>IF($A36="","",IF(OR('Nov 2026'!F27=TRUE,'Nov 2026'!F27="x",'Nov 2026'!F27="X"),1,0))</f>
        <v/>
      </c>
      <c r="W36" s="345">
        <f>IF($A36="","",IF(OR('Nov 2026'!F28=TRUE,'Nov 2026'!F28="x",'Nov 2026'!F28="X"),1,0))</f>
        <v/>
      </c>
      <c r="X36" s="345">
        <f>IF($A36="","",IF(OR('Nov 2026'!F29=TRUE,'Nov 2026'!F29="x",'Nov 2026'!F29="X"),1,0))</f>
        <v/>
      </c>
      <c r="Y36" s="345">
        <f>IF($A36="","",IF(OR('Nov 2026'!F30=TRUE,'Nov 2026'!F30="x",'Nov 2026'!F30="X"),1,0))</f>
        <v/>
      </c>
      <c r="Z36" s="345">
        <f>IF($A36="","",IF(OR('Nov 2026'!F31=TRUE,'Nov 2026'!F31="x",'Nov 2026'!F31="X"),1,0))</f>
        <v/>
      </c>
      <c r="AA36" s="345">
        <f>IF($A36="","",IF(OR('Nov 2026'!F32=TRUE,'Nov 2026'!F32="x",'Nov 2026'!F32="X"),1,0))</f>
        <v/>
      </c>
      <c r="AB36" s="345">
        <f>IF($A36="","",IF(OR('Nov 2026'!F34=TRUE,'Nov 2026'!F34="x",'Nov 2026'!F34="X"),1,0))</f>
        <v/>
      </c>
      <c r="AC36" s="345">
        <f>IF($A36="","",IF(OR('Nov 2026'!F35=TRUE,'Nov 2026'!F35="x",'Nov 2026'!F35="X"),1,0))</f>
        <v/>
      </c>
      <c r="AD36" s="345">
        <f>IF($A36="","",IF(OR('Nov 2026'!F36=TRUE,'Nov 2026'!F36="x",'Nov 2026'!F36="X"),1,0))</f>
        <v/>
      </c>
      <c r="AE36" s="345">
        <f>IF($A36="","",IF(OR('Nov 2026'!F37=TRUE,'Nov 2026'!F37="x",'Nov 2026'!F37="X"),1,0))</f>
        <v/>
      </c>
      <c r="AF36" s="345">
        <f>IF($A36="","",IF('Nov 2026'!F59="","",'Nov 2026'!F59))</f>
        <v/>
      </c>
      <c r="AG36" s="345">
        <f>IF($A36="","",IF('Nov 2026'!F60="","",'Nov 2026'!F60))</f>
        <v/>
      </c>
      <c r="AH36" s="345">
        <f>IF($A36="","",IF('Nov 2026'!F61="","",'Nov 2026'!F61))</f>
        <v/>
      </c>
      <c r="AI36" s="345">
        <f>IF($A36="","",IF('Nov 2026'!F62="","",'Nov 2026'!F62))</f>
        <v/>
      </c>
      <c r="AJ36" s="345">
        <f>IF($A36="","",IF('Nov 2026'!F63="","",'Nov 2026'!F63))</f>
        <v/>
      </c>
      <c r="AK36" s="345">
        <f>IF($A36="","",IF('Nov 2026'!F64="","",'Nov 2026'!F64))</f>
        <v/>
      </c>
      <c r="AL36" s="345">
        <f>IF($A36="","",IF('Nov 2026'!F65="","",'Nov 2026'!F65))</f>
        <v/>
      </c>
      <c r="AM36" s="345">
        <f>IF($A36="","",IF('Nov 2026'!F66="","",'Nov 2026'!F66))</f>
        <v/>
      </c>
      <c r="AN36" s="345">
        <f>IF($A36="","",IF('Nov 2026'!F67="","",'Nov 2026'!F67))</f>
        <v/>
      </c>
      <c r="AO36" s="345">
        <f>IF($A36="",0,IF(AND($A36&gt;=TrackStart,$A36&lt;=TODAY()),1,0))</f>
        <v/>
      </c>
      <c r="AP36" s="345">
        <f>IF($A36="",0,IF(SUM(F36:AE36)+COUNT(AF36:AN36)&gt;0,1,0))</f>
        <v/>
      </c>
      <c r="AQ36" s="345">
        <f>IF($A36="","",INT(($A36-TrackStart)/7)+1)</f>
        <v/>
      </c>
      <c r="AR36" s="345">
        <f>IF($A36="","",IF(AQ36&lt;=1,Steps1,IF(AQ36=2,Steps2,Steps3)))</f>
        <v/>
      </c>
      <c r="AS36" s="345">
        <f>IF($A36="",0,IF(ISNUMBER(SEARCH(TEXT(D36,"0"),WorkDays&amp;"")),1,0))</f>
        <v/>
      </c>
      <c r="AT36" s="345">
        <f>IF($A36="",0,IF(ISNUMBER(SEARCH(TEXT(D36,"0"),StrDays&amp;"")),1,0))</f>
        <v/>
      </c>
      <c r="AU36" s="345">
        <f>IF($A36="",0,IF(ISNUMBER(AK36),IF(AK36&gt;=SleepMin,1,0),N36))</f>
        <v/>
      </c>
      <c r="AV36" s="345">
        <f>IF($A36="",0,MAX(I36,O36,S36,AC36))</f>
        <v/>
      </c>
      <c r="AW36" s="345">
        <f>IF($A36="",0,IF(ISNUMBER(AH36),IF(AH36&gt;=ProtHit,1,0),0))</f>
        <v/>
      </c>
      <c r="AX36" s="345">
        <f>IF($A36="",0,IF(ISNUMBER(AI36),IF(AI36&gt;=WaterHit,1,0),0))</f>
        <v/>
      </c>
      <c r="AY36" s="345">
        <f>IF($A36="",0,IF(ISNUMBER(AG36),IF(AG36&gt;=AR36,1,0),0))</f>
        <v/>
      </c>
      <c r="AZ36" s="345">
        <f>IF($A36="",0,G36)</f>
        <v/>
      </c>
      <c r="BA36" s="345">
        <f>IF($A36="",0,J36)</f>
        <v/>
      </c>
      <c r="BB36" s="345">
        <f>IF($A36="",0,K36)</f>
        <v/>
      </c>
      <c r="BC36" s="345">
        <f>IF($A36="",0,MAX(L36,AE36))</f>
        <v/>
      </c>
      <c r="BD36" s="344">
        <f>IF($A36="","",(AU36+AV36+AW36+AX36+AY36+AZ36+BB36+BC36+IF(AS36=1,BA36,0))/(8+AS36))</f>
        <v/>
      </c>
      <c r="BE36" s="344">
        <f>IF($A36="","",(IF(ISNUMBER(AI36),IF(AI36&gt;=WaterMVD,1,0),0)+AV36+IF(ISNUMBER(AH36),IF(AH36&gt;=ProtMVD,1,0),0)+MAX(H36,AD36)+AZ36+BB36+AU36)/7)</f>
        <v/>
      </c>
      <c r="BF36" s="344">
        <f>IF(AO36=0,"",IF(E36="S","",IF(AND(AP36=0,$A36=TODAY()),"",IF(E36="M",BE36,BD36))))</f>
        <v/>
      </c>
      <c r="BG36" s="344">
        <f>IF(AO36=0,"",IFERROR(AVERAGEIFS(Data!$BF$4:$BF$375,Data!$A$4:$A$375,"&gt;"&amp;($A36-7),Data!$A$4:$A$375,"&lt;="&amp;$A36),""))</f>
        <v/>
      </c>
      <c r="BH36" s="344">
        <f>IF(AO36=0,"",IFERROR(AVERAGEIFS(Data!$BF$4:$BF$375,Data!$A$4:$A$375,"&gt;"&amp;($A36-30),Data!$A$4:$A$375,"&lt;="&amp;$A36),""))</f>
        <v/>
      </c>
      <c r="BI36" s="359">
        <f>IF($A36="","",IFERROR(AVERAGEIFS(Data!$AF$4:$AF$375,Data!$A$4:$A$375,"&gt;"&amp;($A36-7),Data!$A$4:$A$375,"&lt;="&amp;$A36,Data!$AF$4:$AF$375,"&gt;0"),""))</f>
        <v/>
      </c>
      <c r="BJ36" s="345">
        <f>IF($A36="","",F36+G36+H36+I36+J36+K36+L36+M36+N36-IF(AS36=1,0,J36))</f>
        <v/>
      </c>
      <c r="BK36" s="345">
        <f>IF($A36="","",8+AS36)</f>
        <v/>
      </c>
      <c r="BL36" s="345">
        <f>IF(ISNUMBER(BF36),BF36,NA())</f>
        <v/>
      </c>
      <c r="BM36" s="345">
        <f>IF(ISNUMBER(AF36),AF36,NA())</f>
        <v/>
      </c>
      <c r="BN36" s="345">
        <f>IF(ISNUMBER(BI36),BI36,NA())</f>
        <v/>
      </c>
      <c r="BO36" s="345">
        <f>IF(ISNUMBER(AL36),AL36,NA())</f>
        <v/>
      </c>
      <c r="BP36" s="345">
        <f>IF(ISNUMBER(AM36),AM36,NA())</f>
        <v/>
      </c>
      <c r="BQ36" s="345">
        <f>IF(ISNUMBER(AN36),AN36,NA())</f>
        <v/>
      </c>
    </row>
    <row r="37">
      <c r="A37" s="358">
        <f>IF('Nov 2026'!G7="","",'Nov 2026'!G7)</f>
        <v/>
      </c>
      <c r="B37" s="345" t="n">
        <v>2</v>
      </c>
      <c r="C37" s="345">
        <f>IF($A37="","",3)</f>
        <v/>
      </c>
      <c r="D37" s="345">
        <f>IF($A37="","",WEEKDAY($A37,2))</f>
        <v/>
      </c>
      <c r="E37" s="345">
        <f>IF($A37="","",UPPER(TRIM('Nov 2026'!G8)))</f>
        <v/>
      </c>
      <c r="F37" s="345">
        <f>IF($A37="","",IF(OR('Nov 2026'!G10=TRUE,'Nov 2026'!G10="x",'Nov 2026'!G10="X"),1,0))</f>
        <v/>
      </c>
      <c r="G37" s="345">
        <f>IF($A37="","",IF(OR('Nov 2026'!G11=TRUE,'Nov 2026'!G11="x",'Nov 2026'!G11="X"),1,0))</f>
        <v/>
      </c>
      <c r="H37" s="345">
        <f>IF($A37="","",IF(OR('Nov 2026'!G12=TRUE,'Nov 2026'!G12="x",'Nov 2026'!G12="X"),1,0))</f>
        <v/>
      </c>
      <c r="I37" s="345">
        <f>IF($A37="","",IF(OR('Nov 2026'!G13=TRUE,'Nov 2026'!G13="x",'Nov 2026'!G13="X"),1,0))</f>
        <v/>
      </c>
      <c r="J37" s="345">
        <f>IF($A37="","",IF(OR('Nov 2026'!G14=TRUE,'Nov 2026'!G14="x",'Nov 2026'!G14="X"),1,0))</f>
        <v/>
      </c>
      <c r="K37" s="345">
        <f>IF($A37="","",IF(OR('Nov 2026'!G15=TRUE,'Nov 2026'!G15="x",'Nov 2026'!G15="X"),1,0))</f>
        <v/>
      </c>
      <c r="L37" s="345">
        <f>IF($A37="","",IF(OR('Nov 2026'!G16=TRUE,'Nov 2026'!G16="x",'Nov 2026'!G16="X"),1,0))</f>
        <v/>
      </c>
      <c r="M37" s="345">
        <f>IF($A37="","",IF(OR('Nov 2026'!G17=TRUE,'Nov 2026'!G17="x",'Nov 2026'!G17="X"),1,0))</f>
        <v/>
      </c>
      <c r="N37" s="345">
        <f>IF($A37="","",IF(OR('Nov 2026'!G18=TRUE,'Nov 2026'!G18="x",'Nov 2026'!G18="X"),1,0))</f>
        <v/>
      </c>
      <c r="O37" s="345">
        <f>IF($A37="","",IF(OR('Nov 2026'!G20=TRUE,'Nov 2026'!G20="x",'Nov 2026'!G20="X"),1,0))</f>
        <v/>
      </c>
      <c r="P37" s="345">
        <f>IF($A37="","",IF(OR('Nov 2026'!G21=TRUE,'Nov 2026'!G21="x",'Nov 2026'!G21="X"),1,0))</f>
        <v/>
      </c>
      <c r="Q37" s="345">
        <f>IF($A37="","",IF(OR('Nov 2026'!G22=TRUE,'Nov 2026'!G22="x",'Nov 2026'!G22="X"),1,0))</f>
        <v/>
      </c>
      <c r="R37" s="345">
        <f>IF($A37="","",IF(OR('Nov 2026'!G23=TRUE,'Nov 2026'!G23="x",'Nov 2026'!G23="X"),1,0))</f>
        <v/>
      </c>
      <c r="S37" s="345">
        <f>IF($A37="","",IF(OR('Nov 2026'!G24=TRUE,'Nov 2026'!G24="x",'Nov 2026'!G24="X"),1,0))</f>
        <v/>
      </c>
      <c r="T37" s="345">
        <f>IF($A37="","",IF(OR('Nov 2026'!G25=TRUE,'Nov 2026'!G25="x",'Nov 2026'!G25="X"),1,0))</f>
        <v/>
      </c>
      <c r="U37" s="345">
        <f>IF($A37="","",IF(OR('Nov 2026'!G26=TRUE,'Nov 2026'!G26="x",'Nov 2026'!G26="X"),1,0))</f>
        <v/>
      </c>
      <c r="V37" s="345">
        <f>IF($A37="","",IF(OR('Nov 2026'!G27=TRUE,'Nov 2026'!G27="x",'Nov 2026'!G27="X"),1,0))</f>
        <v/>
      </c>
      <c r="W37" s="345">
        <f>IF($A37="","",IF(OR('Nov 2026'!G28=TRUE,'Nov 2026'!G28="x",'Nov 2026'!G28="X"),1,0))</f>
        <v/>
      </c>
      <c r="X37" s="345">
        <f>IF($A37="","",IF(OR('Nov 2026'!G29=TRUE,'Nov 2026'!G29="x",'Nov 2026'!G29="X"),1,0))</f>
        <v/>
      </c>
      <c r="Y37" s="345">
        <f>IF($A37="","",IF(OR('Nov 2026'!G30=TRUE,'Nov 2026'!G30="x",'Nov 2026'!G30="X"),1,0))</f>
        <v/>
      </c>
      <c r="Z37" s="345">
        <f>IF($A37="","",IF(OR('Nov 2026'!G31=TRUE,'Nov 2026'!G31="x",'Nov 2026'!G31="X"),1,0))</f>
        <v/>
      </c>
      <c r="AA37" s="345">
        <f>IF($A37="","",IF(OR('Nov 2026'!G32=TRUE,'Nov 2026'!G32="x",'Nov 2026'!G32="X"),1,0))</f>
        <v/>
      </c>
      <c r="AB37" s="345">
        <f>IF($A37="","",IF(OR('Nov 2026'!G34=TRUE,'Nov 2026'!G34="x",'Nov 2026'!G34="X"),1,0))</f>
        <v/>
      </c>
      <c r="AC37" s="345">
        <f>IF($A37="","",IF(OR('Nov 2026'!G35=TRUE,'Nov 2026'!G35="x",'Nov 2026'!G35="X"),1,0))</f>
        <v/>
      </c>
      <c r="AD37" s="345">
        <f>IF($A37="","",IF(OR('Nov 2026'!G36=TRUE,'Nov 2026'!G36="x",'Nov 2026'!G36="X"),1,0))</f>
        <v/>
      </c>
      <c r="AE37" s="345">
        <f>IF($A37="","",IF(OR('Nov 2026'!G37=TRUE,'Nov 2026'!G37="x",'Nov 2026'!G37="X"),1,0))</f>
        <v/>
      </c>
      <c r="AF37" s="345">
        <f>IF($A37="","",IF('Nov 2026'!G59="","",'Nov 2026'!G59))</f>
        <v/>
      </c>
      <c r="AG37" s="345">
        <f>IF($A37="","",IF('Nov 2026'!G60="","",'Nov 2026'!G60))</f>
        <v/>
      </c>
      <c r="AH37" s="345">
        <f>IF($A37="","",IF('Nov 2026'!G61="","",'Nov 2026'!G61))</f>
        <v/>
      </c>
      <c r="AI37" s="345">
        <f>IF($A37="","",IF('Nov 2026'!G62="","",'Nov 2026'!G62))</f>
        <v/>
      </c>
      <c r="AJ37" s="345">
        <f>IF($A37="","",IF('Nov 2026'!G63="","",'Nov 2026'!G63))</f>
        <v/>
      </c>
      <c r="AK37" s="345">
        <f>IF($A37="","",IF('Nov 2026'!G64="","",'Nov 2026'!G64))</f>
        <v/>
      </c>
      <c r="AL37" s="345">
        <f>IF($A37="","",IF('Nov 2026'!G65="","",'Nov 2026'!G65))</f>
        <v/>
      </c>
      <c r="AM37" s="345">
        <f>IF($A37="","",IF('Nov 2026'!G66="","",'Nov 2026'!G66))</f>
        <v/>
      </c>
      <c r="AN37" s="345">
        <f>IF($A37="","",IF('Nov 2026'!G67="","",'Nov 2026'!G67))</f>
        <v/>
      </c>
      <c r="AO37" s="345">
        <f>IF($A37="",0,IF(AND($A37&gt;=TrackStart,$A37&lt;=TODAY()),1,0))</f>
        <v/>
      </c>
      <c r="AP37" s="345">
        <f>IF($A37="",0,IF(SUM(F37:AE37)+COUNT(AF37:AN37)&gt;0,1,0))</f>
        <v/>
      </c>
      <c r="AQ37" s="345">
        <f>IF($A37="","",INT(($A37-TrackStart)/7)+1)</f>
        <v/>
      </c>
      <c r="AR37" s="345">
        <f>IF($A37="","",IF(AQ37&lt;=1,Steps1,IF(AQ37=2,Steps2,Steps3)))</f>
        <v/>
      </c>
      <c r="AS37" s="345">
        <f>IF($A37="",0,IF(ISNUMBER(SEARCH(TEXT(D37,"0"),WorkDays&amp;"")),1,0))</f>
        <v/>
      </c>
      <c r="AT37" s="345">
        <f>IF($A37="",0,IF(ISNUMBER(SEARCH(TEXT(D37,"0"),StrDays&amp;"")),1,0))</f>
        <v/>
      </c>
      <c r="AU37" s="345">
        <f>IF($A37="",0,IF(ISNUMBER(AK37),IF(AK37&gt;=SleepMin,1,0),N37))</f>
        <v/>
      </c>
      <c r="AV37" s="345">
        <f>IF($A37="",0,MAX(I37,O37,S37,AC37))</f>
        <v/>
      </c>
      <c r="AW37" s="345">
        <f>IF($A37="",0,IF(ISNUMBER(AH37),IF(AH37&gt;=ProtHit,1,0),0))</f>
        <v/>
      </c>
      <c r="AX37" s="345">
        <f>IF($A37="",0,IF(ISNUMBER(AI37),IF(AI37&gt;=WaterHit,1,0),0))</f>
        <v/>
      </c>
      <c r="AY37" s="345">
        <f>IF($A37="",0,IF(ISNUMBER(AG37),IF(AG37&gt;=AR37,1,0),0))</f>
        <v/>
      </c>
      <c r="AZ37" s="345">
        <f>IF($A37="",0,G37)</f>
        <v/>
      </c>
      <c r="BA37" s="345">
        <f>IF($A37="",0,J37)</f>
        <v/>
      </c>
      <c r="BB37" s="345">
        <f>IF($A37="",0,K37)</f>
        <v/>
      </c>
      <c r="BC37" s="345">
        <f>IF($A37="",0,MAX(L37,AE37))</f>
        <v/>
      </c>
      <c r="BD37" s="344">
        <f>IF($A37="","",(AU37+AV37+AW37+AX37+AY37+AZ37+BB37+BC37+IF(AS37=1,BA37,0))/(8+AS37))</f>
        <v/>
      </c>
      <c r="BE37" s="344">
        <f>IF($A37="","",(IF(ISNUMBER(AI37),IF(AI37&gt;=WaterMVD,1,0),0)+AV37+IF(ISNUMBER(AH37),IF(AH37&gt;=ProtMVD,1,0),0)+MAX(H37,AD37)+AZ37+BB37+AU37)/7)</f>
        <v/>
      </c>
      <c r="BF37" s="344">
        <f>IF(AO37=0,"",IF(E37="S","",IF(AND(AP37=0,$A37=TODAY()),"",IF(E37="M",BE37,BD37))))</f>
        <v/>
      </c>
      <c r="BG37" s="344">
        <f>IF(AO37=0,"",IFERROR(AVERAGEIFS(Data!$BF$4:$BF$375,Data!$A$4:$A$375,"&gt;"&amp;($A37-7),Data!$A$4:$A$375,"&lt;="&amp;$A37),""))</f>
        <v/>
      </c>
      <c r="BH37" s="344">
        <f>IF(AO37=0,"",IFERROR(AVERAGEIFS(Data!$BF$4:$BF$375,Data!$A$4:$A$375,"&gt;"&amp;($A37-30),Data!$A$4:$A$375,"&lt;="&amp;$A37),""))</f>
        <v/>
      </c>
      <c r="BI37" s="359">
        <f>IF($A37="","",IFERROR(AVERAGEIFS(Data!$AF$4:$AF$375,Data!$A$4:$A$375,"&gt;"&amp;($A37-7),Data!$A$4:$A$375,"&lt;="&amp;$A37,Data!$AF$4:$AF$375,"&gt;0"),""))</f>
        <v/>
      </c>
      <c r="BJ37" s="345">
        <f>IF($A37="","",F37+G37+H37+I37+J37+K37+L37+M37+N37-IF(AS37=1,0,J37))</f>
        <v/>
      </c>
      <c r="BK37" s="345">
        <f>IF($A37="","",8+AS37)</f>
        <v/>
      </c>
      <c r="BL37" s="345">
        <f>IF(ISNUMBER(BF37),BF37,NA())</f>
        <v/>
      </c>
      <c r="BM37" s="345">
        <f>IF(ISNUMBER(AF37),AF37,NA())</f>
        <v/>
      </c>
      <c r="BN37" s="345">
        <f>IF(ISNUMBER(BI37),BI37,NA())</f>
        <v/>
      </c>
      <c r="BO37" s="345">
        <f>IF(ISNUMBER(AL37),AL37,NA())</f>
        <v/>
      </c>
      <c r="BP37" s="345">
        <f>IF(ISNUMBER(AM37),AM37,NA())</f>
        <v/>
      </c>
      <c r="BQ37" s="345">
        <f>IF(ISNUMBER(AN37),AN37,NA())</f>
        <v/>
      </c>
    </row>
    <row r="38">
      <c r="A38" s="358">
        <f>IF('Nov 2026'!H7="","",'Nov 2026'!H7)</f>
        <v/>
      </c>
      <c r="B38" s="345" t="n">
        <v>2</v>
      </c>
      <c r="C38" s="345">
        <f>IF($A38="","",4)</f>
        <v/>
      </c>
      <c r="D38" s="345">
        <f>IF($A38="","",WEEKDAY($A38,2))</f>
        <v/>
      </c>
      <c r="E38" s="345">
        <f>IF($A38="","",UPPER(TRIM('Nov 2026'!H8)))</f>
        <v/>
      </c>
      <c r="F38" s="345">
        <f>IF($A38="","",IF(OR('Nov 2026'!H10=TRUE,'Nov 2026'!H10="x",'Nov 2026'!H10="X"),1,0))</f>
        <v/>
      </c>
      <c r="G38" s="345">
        <f>IF($A38="","",IF(OR('Nov 2026'!H11=TRUE,'Nov 2026'!H11="x",'Nov 2026'!H11="X"),1,0))</f>
        <v/>
      </c>
      <c r="H38" s="345">
        <f>IF($A38="","",IF(OR('Nov 2026'!H12=TRUE,'Nov 2026'!H12="x",'Nov 2026'!H12="X"),1,0))</f>
        <v/>
      </c>
      <c r="I38" s="345">
        <f>IF($A38="","",IF(OR('Nov 2026'!H13=TRUE,'Nov 2026'!H13="x",'Nov 2026'!H13="X"),1,0))</f>
        <v/>
      </c>
      <c r="J38" s="345">
        <f>IF($A38="","",IF(OR('Nov 2026'!H14=TRUE,'Nov 2026'!H14="x",'Nov 2026'!H14="X"),1,0))</f>
        <v/>
      </c>
      <c r="K38" s="345">
        <f>IF($A38="","",IF(OR('Nov 2026'!H15=TRUE,'Nov 2026'!H15="x",'Nov 2026'!H15="X"),1,0))</f>
        <v/>
      </c>
      <c r="L38" s="345">
        <f>IF($A38="","",IF(OR('Nov 2026'!H16=TRUE,'Nov 2026'!H16="x",'Nov 2026'!H16="X"),1,0))</f>
        <v/>
      </c>
      <c r="M38" s="345">
        <f>IF($A38="","",IF(OR('Nov 2026'!H17=TRUE,'Nov 2026'!H17="x",'Nov 2026'!H17="X"),1,0))</f>
        <v/>
      </c>
      <c r="N38" s="345">
        <f>IF($A38="","",IF(OR('Nov 2026'!H18=TRUE,'Nov 2026'!H18="x",'Nov 2026'!H18="X"),1,0))</f>
        <v/>
      </c>
      <c r="O38" s="345">
        <f>IF($A38="","",IF(OR('Nov 2026'!H20=TRUE,'Nov 2026'!H20="x",'Nov 2026'!H20="X"),1,0))</f>
        <v/>
      </c>
      <c r="P38" s="345">
        <f>IF($A38="","",IF(OR('Nov 2026'!H21=TRUE,'Nov 2026'!H21="x",'Nov 2026'!H21="X"),1,0))</f>
        <v/>
      </c>
      <c r="Q38" s="345">
        <f>IF($A38="","",IF(OR('Nov 2026'!H22=TRUE,'Nov 2026'!H22="x",'Nov 2026'!H22="X"),1,0))</f>
        <v/>
      </c>
      <c r="R38" s="345">
        <f>IF($A38="","",IF(OR('Nov 2026'!H23=TRUE,'Nov 2026'!H23="x",'Nov 2026'!H23="X"),1,0))</f>
        <v/>
      </c>
      <c r="S38" s="345">
        <f>IF($A38="","",IF(OR('Nov 2026'!H24=TRUE,'Nov 2026'!H24="x",'Nov 2026'!H24="X"),1,0))</f>
        <v/>
      </c>
      <c r="T38" s="345">
        <f>IF($A38="","",IF(OR('Nov 2026'!H25=TRUE,'Nov 2026'!H25="x",'Nov 2026'!H25="X"),1,0))</f>
        <v/>
      </c>
      <c r="U38" s="345">
        <f>IF($A38="","",IF(OR('Nov 2026'!H26=TRUE,'Nov 2026'!H26="x",'Nov 2026'!H26="X"),1,0))</f>
        <v/>
      </c>
      <c r="V38" s="345">
        <f>IF($A38="","",IF(OR('Nov 2026'!H27=TRUE,'Nov 2026'!H27="x",'Nov 2026'!H27="X"),1,0))</f>
        <v/>
      </c>
      <c r="W38" s="345">
        <f>IF($A38="","",IF(OR('Nov 2026'!H28=TRUE,'Nov 2026'!H28="x",'Nov 2026'!H28="X"),1,0))</f>
        <v/>
      </c>
      <c r="X38" s="345">
        <f>IF($A38="","",IF(OR('Nov 2026'!H29=TRUE,'Nov 2026'!H29="x",'Nov 2026'!H29="X"),1,0))</f>
        <v/>
      </c>
      <c r="Y38" s="345">
        <f>IF($A38="","",IF(OR('Nov 2026'!H30=TRUE,'Nov 2026'!H30="x",'Nov 2026'!H30="X"),1,0))</f>
        <v/>
      </c>
      <c r="Z38" s="345">
        <f>IF($A38="","",IF(OR('Nov 2026'!H31=TRUE,'Nov 2026'!H31="x",'Nov 2026'!H31="X"),1,0))</f>
        <v/>
      </c>
      <c r="AA38" s="345">
        <f>IF($A38="","",IF(OR('Nov 2026'!H32=TRUE,'Nov 2026'!H32="x",'Nov 2026'!H32="X"),1,0))</f>
        <v/>
      </c>
      <c r="AB38" s="345">
        <f>IF($A38="","",IF(OR('Nov 2026'!H34=TRUE,'Nov 2026'!H34="x",'Nov 2026'!H34="X"),1,0))</f>
        <v/>
      </c>
      <c r="AC38" s="345">
        <f>IF($A38="","",IF(OR('Nov 2026'!H35=TRUE,'Nov 2026'!H35="x",'Nov 2026'!H35="X"),1,0))</f>
        <v/>
      </c>
      <c r="AD38" s="345">
        <f>IF($A38="","",IF(OR('Nov 2026'!H36=TRUE,'Nov 2026'!H36="x",'Nov 2026'!H36="X"),1,0))</f>
        <v/>
      </c>
      <c r="AE38" s="345">
        <f>IF($A38="","",IF(OR('Nov 2026'!H37=TRUE,'Nov 2026'!H37="x",'Nov 2026'!H37="X"),1,0))</f>
        <v/>
      </c>
      <c r="AF38" s="345">
        <f>IF($A38="","",IF('Nov 2026'!H59="","",'Nov 2026'!H59))</f>
        <v/>
      </c>
      <c r="AG38" s="345">
        <f>IF($A38="","",IF('Nov 2026'!H60="","",'Nov 2026'!H60))</f>
        <v/>
      </c>
      <c r="AH38" s="345">
        <f>IF($A38="","",IF('Nov 2026'!H61="","",'Nov 2026'!H61))</f>
        <v/>
      </c>
      <c r="AI38" s="345">
        <f>IF($A38="","",IF('Nov 2026'!H62="","",'Nov 2026'!H62))</f>
        <v/>
      </c>
      <c r="AJ38" s="345">
        <f>IF($A38="","",IF('Nov 2026'!H63="","",'Nov 2026'!H63))</f>
        <v/>
      </c>
      <c r="AK38" s="345">
        <f>IF($A38="","",IF('Nov 2026'!H64="","",'Nov 2026'!H64))</f>
        <v/>
      </c>
      <c r="AL38" s="345">
        <f>IF($A38="","",IF('Nov 2026'!H65="","",'Nov 2026'!H65))</f>
        <v/>
      </c>
      <c r="AM38" s="345">
        <f>IF($A38="","",IF('Nov 2026'!H66="","",'Nov 2026'!H66))</f>
        <v/>
      </c>
      <c r="AN38" s="345">
        <f>IF($A38="","",IF('Nov 2026'!H67="","",'Nov 2026'!H67))</f>
        <v/>
      </c>
      <c r="AO38" s="345">
        <f>IF($A38="",0,IF(AND($A38&gt;=TrackStart,$A38&lt;=TODAY()),1,0))</f>
        <v/>
      </c>
      <c r="AP38" s="345">
        <f>IF($A38="",0,IF(SUM(F38:AE38)+COUNT(AF38:AN38)&gt;0,1,0))</f>
        <v/>
      </c>
      <c r="AQ38" s="345">
        <f>IF($A38="","",INT(($A38-TrackStart)/7)+1)</f>
        <v/>
      </c>
      <c r="AR38" s="345">
        <f>IF($A38="","",IF(AQ38&lt;=1,Steps1,IF(AQ38=2,Steps2,Steps3)))</f>
        <v/>
      </c>
      <c r="AS38" s="345">
        <f>IF($A38="",0,IF(ISNUMBER(SEARCH(TEXT(D38,"0"),WorkDays&amp;"")),1,0))</f>
        <v/>
      </c>
      <c r="AT38" s="345">
        <f>IF($A38="",0,IF(ISNUMBER(SEARCH(TEXT(D38,"0"),StrDays&amp;"")),1,0))</f>
        <v/>
      </c>
      <c r="AU38" s="345">
        <f>IF($A38="",0,IF(ISNUMBER(AK38),IF(AK38&gt;=SleepMin,1,0),N38))</f>
        <v/>
      </c>
      <c r="AV38" s="345">
        <f>IF($A38="",0,MAX(I38,O38,S38,AC38))</f>
        <v/>
      </c>
      <c r="AW38" s="345">
        <f>IF($A38="",0,IF(ISNUMBER(AH38),IF(AH38&gt;=ProtHit,1,0),0))</f>
        <v/>
      </c>
      <c r="AX38" s="345">
        <f>IF($A38="",0,IF(ISNUMBER(AI38),IF(AI38&gt;=WaterHit,1,0),0))</f>
        <v/>
      </c>
      <c r="AY38" s="345">
        <f>IF($A38="",0,IF(ISNUMBER(AG38),IF(AG38&gt;=AR38,1,0),0))</f>
        <v/>
      </c>
      <c r="AZ38" s="345">
        <f>IF($A38="",0,G38)</f>
        <v/>
      </c>
      <c r="BA38" s="345">
        <f>IF($A38="",0,J38)</f>
        <v/>
      </c>
      <c r="BB38" s="345">
        <f>IF($A38="",0,K38)</f>
        <v/>
      </c>
      <c r="BC38" s="345">
        <f>IF($A38="",0,MAX(L38,AE38))</f>
        <v/>
      </c>
      <c r="BD38" s="344">
        <f>IF($A38="","",(AU38+AV38+AW38+AX38+AY38+AZ38+BB38+BC38+IF(AS38=1,BA38,0))/(8+AS38))</f>
        <v/>
      </c>
      <c r="BE38" s="344">
        <f>IF($A38="","",(IF(ISNUMBER(AI38),IF(AI38&gt;=WaterMVD,1,0),0)+AV38+IF(ISNUMBER(AH38),IF(AH38&gt;=ProtMVD,1,0),0)+MAX(H38,AD38)+AZ38+BB38+AU38)/7)</f>
        <v/>
      </c>
      <c r="BF38" s="344">
        <f>IF(AO38=0,"",IF(E38="S","",IF(AND(AP38=0,$A38=TODAY()),"",IF(E38="M",BE38,BD38))))</f>
        <v/>
      </c>
      <c r="BG38" s="344">
        <f>IF(AO38=0,"",IFERROR(AVERAGEIFS(Data!$BF$4:$BF$375,Data!$A$4:$A$375,"&gt;"&amp;($A38-7),Data!$A$4:$A$375,"&lt;="&amp;$A38),""))</f>
        <v/>
      </c>
      <c r="BH38" s="344">
        <f>IF(AO38=0,"",IFERROR(AVERAGEIFS(Data!$BF$4:$BF$375,Data!$A$4:$A$375,"&gt;"&amp;($A38-30),Data!$A$4:$A$375,"&lt;="&amp;$A38),""))</f>
        <v/>
      </c>
      <c r="BI38" s="359">
        <f>IF($A38="","",IFERROR(AVERAGEIFS(Data!$AF$4:$AF$375,Data!$A$4:$A$375,"&gt;"&amp;($A38-7),Data!$A$4:$A$375,"&lt;="&amp;$A38,Data!$AF$4:$AF$375,"&gt;0"),""))</f>
        <v/>
      </c>
      <c r="BJ38" s="345">
        <f>IF($A38="","",F38+G38+H38+I38+J38+K38+L38+M38+N38-IF(AS38=1,0,J38))</f>
        <v/>
      </c>
      <c r="BK38" s="345">
        <f>IF($A38="","",8+AS38)</f>
        <v/>
      </c>
      <c r="BL38" s="345">
        <f>IF(ISNUMBER(BF38),BF38,NA())</f>
        <v/>
      </c>
      <c r="BM38" s="345">
        <f>IF(ISNUMBER(AF38),AF38,NA())</f>
        <v/>
      </c>
      <c r="BN38" s="345">
        <f>IF(ISNUMBER(BI38),BI38,NA())</f>
        <v/>
      </c>
      <c r="BO38" s="345">
        <f>IF(ISNUMBER(AL38),AL38,NA())</f>
        <v/>
      </c>
      <c r="BP38" s="345">
        <f>IF(ISNUMBER(AM38),AM38,NA())</f>
        <v/>
      </c>
      <c r="BQ38" s="345">
        <f>IF(ISNUMBER(AN38),AN38,NA())</f>
        <v/>
      </c>
    </row>
    <row r="39">
      <c r="A39" s="358">
        <f>IF('Nov 2026'!I7="","",'Nov 2026'!I7)</f>
        <v/>
      </c>
      <c r="B39" s="345" t="n">
        <v>2</v>
      </c>
      <c r="C39" s="345">
        <f>IF($A39="","",5)</f>
        <v/>
      </c>
      <c r="D39" s="345">
        <f>IF($A39="","",WEEKDAY($A39,2))</f>
        <v/>
      </c>
      <c r="E39" s="345">
        <f>IF($A39="","",UPPER(TRIM('Nov 2026'!I8)))</f>
        <v/>
      </c>
      <c r="F39" s="345">
        <f>IF($A39="","",IF(OR('Nov 2026'!I10=TRUE,'Nov 2026'!I10="x",'Nov 2026'!I10="X"),1,0))</f>
        <v/>
      </c>
      <c r="G39" s="345">
        <f>IF($A39="","",IF(OR('Nov 2026'!I11=TRUE,'Nov 2026'!I11="x",'Nov 2026'!I11="X"),1,0))</f>
        <v/>
      </c>
      <c r="H39" s="345">
        <f>IF($A39="","",IF(OR('Nov 2026'!I12=TRUE,'Nov 2026'!I12="x",'Nov 2026'!I12="X"),1,0))</f>
        <v/>
      </c>
      <c r="I39" s="345">
        <f>IF($A39="","",IF(OR('Nov 2026'!I13=TRUE,'Nov 2026'!I13="x",'Nov 2026'!I13="X"),1,0))</f>
        <v/>
      </c>
      <c r="J39" s="345">
        <f>IF($A39="","",IF(OR('Nov 2026'!I14=TRUE,'Nov 2026'!I14="x",'Nov 2026'!I14="X"),1,0))</f>
        <v/>
      </c>
      <c r="K39" s="345">
        <f>IF($A39="","",IF(OR('Nov 2026'!I15=TRUE,'Nov 2026'!I15="x",'Nov 2026'!I15="X"),1,0))</f>
        <v/>
      </c>
      <c r="L39" s="345">
        <f>IF($A39="","",IF(OR('Nov 2026'!I16=TRUE,'Nov 2026'!I16="x",'Nov 2026'!I16="X"),1,0))</f>
        <v/>
      </c>
      <c r="M39" s="345">
        <f>IF($A39="","",IF(OR('Nov 2026'!I17=TRUE,'Nov 2026'!I17="x",'Nov 2026'!I17="X"),1,0))</f>
        <v/>
      </c>
      <c r="N39" s="345">
        <f>IF($A39="","",IF(OR('Nov 2026'!I18=TRUE,'Nov 2026'!I18="x",'Nov 2026'!I18="X"),1,0))</f>
        <v/>
      </c>
      <c r="O39" s="345">
        <f>IF($A39="","",IF(OR('Nov 2026'!I20=TRUE,'Nov 2026'!I20="x",'Nov 2026'!I20="X"),1,0))</f>
        <v/>
      </c>
      <c r="P39" s="345">
        <f>IF($A39="","",IF(OR('Nov 2026'!I21=TRUE,'Nov 2026'!I21="x",'Nov 2026'!I21="X"),1,0))</f>
        <v/>
      </c>
      <c r="Q39" s="345">
        <f>IF($A39="","",IF(OR('Nov 2026'!I22=TRUE,'Nov 2026'!I22="x",'Nov 2026'!I22="X"),1,0))</f>
        <v/>
      </c>
      <c r="R39" s="345">
        <f>IF($A39="","",IF(OR('Nov 2026'!I23=TRUE,'Nov 2026'!I23="x",'Nov 2026'!I23="X"),1,0))</f>
        <v/>
      </c>
      <c r="S39" s="345">
        <f>IF($A39="","",IF(OR('Nov 2026'!I24=TRUE,'Nov 2026'!I24="x",'Nov 2026'!I24="X"),1,0))</f>
        <v/>
      </c>
      <c r="T39" s="345">
        <f>IF($A39="","",IF(OR('Nov 2026'!I25=TRUE,'Nov 2026'!I25="x",'Nov 2026'!I25="X"),1,0))</f>
        <v/>
      </c>
      <c r="U39" s="345">
        <f>IF($A39="","",IF(OR('Nov 2026'!I26=TRUE,'Nov 2026'!I26="x",'Nov 2026'!I26="X"),1,0))</f>
        <v/>
      </c>
      <c r="V39" s="345">
        <f>IF($A39="","",IF(OR('Nov 2026'!I27=TRUE,'Nov 2026'!I27="x",'Nov 2026'!I27="X"),1,0))</f>
        <v/>
      </c>
      <c r="W39" s="345">
        <f>IF($A39="","",IF(OR('Nov 2026'!I28=TRUE,'Nov 2026'!I28="x",'Nov 2026'!I28="X"),1,0))</f>
        <v/>
      </c>
      <c r="X39" s="345">
        <f>IF($A39="","",IF(OR('Nov 2026'!I29=TRUE,'Nov 2026'!I29="x",'Nov 2026'!I29="X"),1,0))</f>
        <v/>
      </c>
      <c r="Y39" s="345">
        <f>IF($A39="","",IF(OR('Nov 2026'!I30=TRUE,'Nov 2026'!I30="x",'Nov 2026'!I30="X"),1,0))</f>
        <v/>
      </c>
      <c r="Z39" s="345">
        <f>IF($A39="","",IF(OR('Nov 2026'!I31=TRUE,'Nov 2026'!I31="x",'Nov 2026'!I31="X"),1,0))</f>
        <v/>
      </c>
      <c r="AA39" s="345">
        <f>IF($A39="","",IF(OR('Nov 2026'!I32=TRUE,'Nov 2026'!I32="x",'Nov 2026'!I32="X"),1,0))</f>
        <v/>
      </c>
      <c r="AB39" s="345">
        <f>IF($A39="","",IF(OR('Nov 2026'!I34=TRUE,'Nov 2026'!I34="x",'Nov 2026'!I34="X"),1,0))</f>
        <v/>
      </c>
      <c r="AC39" s="345">
        <f>IF($A39="","",IF(OR('Nov 2026'!I35=TRUE,'Nov 2026'!I35="x",'Nov 2026'!I35="X"),1,0))</f>
        <v/>
      </c>
      <c r="AD39" s="345">
        <f>IF($A39="","",IF(OR('Nov 2026'!I36=TRUE,'Nov 2026'!I36="x",'Nov 2026'!I36="X"),1,0))</f>
        <v/>
      </c>
      <c r="AE39" s="345">
        <f>IF($A39="","",IF(OR('Nov 2026'!I37=TRUE,'Nov 2026'!I37="x",'Nov 2026'!I37="X"),1,0))</f>
        <v/>
      </c>
      <c r="AF39" s="345">
        <f>IF($A39="","",IF('Nov 2026'!I59="","",'Nov 2026'!I59))</f>
        <v/>
      </c>
      <c r="AG39" s="345">
        <f>IF($A39="","",IF('Nov 2026'!I60="","",'Nov 2026'!I60))</f>
        <v/>
      </c>
      <c r="AH39" s="345">
        <f>IF($A39="","",IF('Nov 2026'!I61="","",'Nov 2026'!I61))</f>
        <v/>
      </c>
      <c r="AI39" s="345">
        <f>IF($A39="","",IF('Nov 2026'!I62="","",'Nov 2026'!I62))</f>
        <v/>
      </c>
      <c r="AJ39" s="345">
        <f>IF($A39="","",IF('Nov 2026'!I63="","",'Nov 2026'!I63))</f>
        <v/>
      </c>
      <c r="AK39" s="345">
        <f>IF($A39="","",IF('Nov 2026'!I64="","",'Nov 2026'!I64))</f>
        <v/>
      </c>
      <c r="AL39" s="345">
        <f>IF($A39="","",IF('Nov 2026'!I65="","",'Nov 2026'!I65))</f>
        <v/>
      </c>
      <c r="AM39" s="345">
        <f>IF($A39="","",IF('Nov 2026'!I66="","",'Nov 2026'!I66))</f>
        <v/>
      </c>
      <c r="AN39" s="345">
        <f>IF($A39="","",IF('Nov 2026'!I67="","",'Nov 2026'!I67))</f>
        <v/>
      </c>
      <c r="AO39" s="345">
        <f>IF($A39="",0,IF(AND($A39&gt;=TrackStart,$A39&lt;=TODAY()),1,0))</f>
        <v/>
      </c>
      <c r="AP39" s="345">
        <f>IF($A39="",0,IF(SUM(F39:AE39)+COUNT(AF39:AN39)&gt;0,1,0))</f>
        <v/>
      </c>
      <c r="AQ39" s="345">
        <f>IF($A39="","",INT(($A39-TrackStart)/7)+1)</f>
        <v/>
      </c>
      <c r="AR39" s="345">
        <f>IF($A39="","",IF(AQ39&lt;=1,Steps1,IF(AQ39=2,Steps2,Steps3)))</f>
        <v/>
      </c>
      <c r="AS39" s="345">
        <f>IF($A39="",0,IF(ISNUMBER(SEARCH(TEXT(D39,"0"),WorkDays&amp;"")),1,0))</f>
        <v/>
      </c>
      <c r="AT39" s="345">
        <f>IF($A39="",0,IF(ISNUMBER(SEARCH(TEXT(D39,"0"),StrDays&amp;"")),1,0))</f>
        <v/>
      </c>
      <c r="AU39" s="345">
        <f>IF($A39="",0,IF(ISNUMBER(AK39),IF(AK39&gt;=SleepMin,1,0),N39))</f>
        <v/>
      </c>
      <c r="AV39" s="345">
        <f>IF($A39="",0,MAX(I39,O39,S39,AC39))</f>
        <v/>
      </c>
      <c r="AW39" s="345">
        <f>IF($A39="",0,IF(ISNUMBER(AH39),IF(AH39&gt;=ProtHit,1,0),0))</f>
        <v/>
      </c>
      <c r="AX39" s="345">
        <f>IF($A39="",0,IF(ISNUMBER(AI39),IF(AI39&gt;=WaterHit,1,0),0))</f>
        <v/>
      </c>
      <c r="AY39" s="345">
        <f>IF($A39="",0,IF(ISNUMBER(AG39),IF(AG39&gt;=AR39,1,0),0))</f>
        <v/>
      </c>
      <c r="AZ39" s="345">
        <f>IF($A39="",0,G39)</f>
        <v/>
      </c>
      <c r="BA39" s="345">
        <f>IF($A39="",0,J39)</f>
        <v/>
      </c>
      <c r="BB39" s="345">
        <f>IF($A39="",0,K39)</f>
        <v/>
      </c>
      <c r="BC39" s="345">
        <f>IF($A39="",0,MAX(L39,AE39))</f>
        <v/>
      </c>
      <c r="BD39" s="344">
        <f>IF($A39="","",(AU39+AV39+AW39+AX39+AY39+AZ39+BB39+BC39+IF(AS39=1,BA39,0))/(8+AS39))</f>
        <v/>
      </c>
      <c r="BE39" s="344">
        <f>IF($A39="","",(IF(ISNUMBER(AI39),IF(AI39&gt;=WaterMVD,1,0),0)+AV39+IF(ISNUMBER(AH39),IF(AH39&gt;=ProtMVD,1,0),0)+MAX(H39,AD39)+AZ39+BB39+AU39)/7)</f>
        <v/>
      </c>
      <c r="BF39" s="344">
        <f>IF(AO39=0,"",IF(E39="S","",IF(AND(AP39=0,$A39=TODAY()),"",IF(E39="M",BE39,BD39))))</f>
        <v/>
      </c>
      <c r="BG39" s="344">
        <f>IF(AO39=0,"",IFERROR(AVERAGEIFS(Data!$BF$4:$BF$375,Data!$A$4:$A$375,"&gt;"&amp;($A39-7),Data!$A$4:$A$375,"&lt;="&amp;$A39),""))</f>
        <v/>
      </c>
      <c r="BH39" s="344">
        <f>IF(AO39=0,"",IFERROR(AVERAGEIFS(Data!$BF$4:$BF$375,Data!$A$4:$A$375,"&gt;"&amp;($A39-30),Data!$A$4:$A$375,"&lt;="&amp;$A39),""))</f>
        <v/>
      </c>
      <c r="BI39" s="359">
        <f>IF($A39="","",IFERROR(AVERAGEIFS(Data!$AF$4:$AF$375,Data!$A$4:$A$375,"&gt;"&amp;($A39-7),Data!$A$4:$A$375,"&lt;="&amp;$A39,Data!$AF$4:$AF$375,"&gt;0"),""))</f>
        <v/>
      </c>
      <c r="BJ39" s="345">
        <f>IF($A39="","",F39+G39+H39+I39+J39+K39+L39+M39+N39-IF(AS39=1,0,J39))</f>
        <v/>
      </c>
      <c r="BK39" s="345">
        <f>IF($A39="","",8+AS39)</f>
        <v/>
      </c>
      <c r="BL39" s="345">
        <f>IF(ISNUMBER(BF39),BF39,NA())</f>
        <v/>
      </c>
      <c r="BM39" s="345">
        <f>IF(ISNUMBER(AF39),AF39,NA())</f>
        <v/>
      </c>
      <c r="BN39" s="345">
        <f>IF(ISNUMBER(BI39),BI39,NA())</f>
        <v/>
      </c>
      <c r="BO39" s="345">
        <f>IF(ISNUMBER(AL39),AL39,NA())</f>
        <v/>
      </c>
      <c r="BP39" s="345">
        <f>IF(ISNUMBER(AM39),AM39,NA())</f>
        <v/>
      </c>
      <c r="BQ39" s="345">
        <f>IF(ISNUMBER(AN39),AN39,NA())</f>
        <v/>
      </c>
    </row>
    <row r="40">
      <c r="A40" s="358">
        <f>IF('Nov 2026'!J7="","",'Nov 2026'!J7)</f>
        <v/>
      </c>
      <c r="B40" s="345" t="n">
        <v>2</v>
      </c>
      <c r="C40" s="345">
        <f>IF($A40="","",6)</f>
        <v/>
      </c>
      <c r="D40" s="345">
        <f>IF($A40="","",WEEKDAY($A40,2))</f>
        <v/>
      </c>
      <c r="E40" s="345">
        <f>IF($A40="","",UPPER(TRIM('Nov 2026'!J8)))</f>
        <v/>
      </c>
      <c r="F40" s="345">
        <f>IF($A40="","",IF(OR('Nov 2026'!J10=TRUE,'Nov 2026'!J10="x",'Nov 2026'!J10="X"),1,0))</f>
        <v/>
      </c>
      <c r="G40" s="345">
        <f>IF($A40="","",IF(OR('Nov 2026'!J11=TRUE,'Nov 2026'!J11="x",'Nov 2026'!J11="X"),1,0))</f>
        <v/>
      </c>
      <c r="H40" s="345">
        <f>IF($A40="","",IF(OR('Nov 2026'!J12=TRUE,'Nov 2026'!J12="x",'Nov 2026'!J12="X"),1,0))</f>
        <v/>
      </c>
      <c r="I40" s="345">
        <f>IF($A40="","",IF(OR('Nov 2026'!J13=TRUE,'Nov 2026'!J13="x",'Nov 2026'!J13="X"),1,0))</f>
        <v/>
      </c>
      <c r="J40" s="345">
        <f>IF($A40="","",IF(OR('Nov 2026'!J14=TRUE,'Nov 2026'!J14="x",'Nov 2026'!J14="X"),1,0))</f>
        <v/>
      </c>
      <c r="K40" s="345">
        <f>IF($A40="","",IF(OR('Nov 2026'!J15=TRUE,'Nov 2026'!J15="x",'Nov 2026'!J15="X"),1,0))</f>
        <v/>
      </c>
      <c r="L40" s="345">
        <f>IF($A40="","",IF(OR('Nov 2026'!J16=TRUE,'Nov 2026'!J16="x",'Nov 2026'!J16="X"),1,0))</f>
        <v/>
      </c>
      <c r="M40" s="345">
        <f>IF($A40="","",IF(OR('Nov 2026'!J17=TRUE,'Nov 2026'!J17="x",'Nov 2026'!J17="X"),1,0))</f>
        <v/>
      </c>
      <c r="N40" s="345">
        <f>IF($A40="","",IF(OR('Nov 2026'!J18=TRUE,'Nov 2026'!J18="x",'Nov 2026'!J18="X"),1,0))</f>
        <v/>
      </c>
      <c r="O40" s="345">
        <f>IF($A40="","",IF(OR('Nov 2026'!J20=TRUE,'Nov 2026'!J20="x",'Nov 2026'!J20="X"),1,0))</f>
        <v/>
      </c>
      <c r="P40" s="345">
        <f>IF($A40="","",IF(OR('Nov 2026'!J21=TRUE,'Nov 2026'!J21="x",'Nov 2026'!J21="X"),1,0))</f>
        <v/>
      </c>
      <c r="Q40" s="345">
        <f>IF($A40="","",IF(OR('Nov 2026'!J22=TRUE,'Nov 2026'!J22="x",'Nov 2026'!J22="X"),1,0))</f>
        <v/>
      </c>
      <c r="R40" s="345">
        <f>IF($A40="","",IF(OR('Nov 2026'!J23=TRUE,'Nov 2026'!J23="x",'Nov 2026'!J23="X"),1,0))</f>
        <v/>
      </c>
      <c r="S40" s="345">
        <f>IF($A40="","",IF(OR('Nov 2026'!J24=TRUE,'Nov 2026'!J24="x",'Nov 2026'!J24="X"),1,0))</f>
        <v/>
      </c>
      <c r="T40" s="345">
        <f>IF($A40="","",IF(OR('Nov 2026'!J25=TRUE,'Nov 2026'!J25="x",'Nov 2026'!J25="X"),1,0))</f>
        <v/>
      </c>
      <c r="U40" s="345">
        <f>IF($A40="","",IF(OR('Nov 2026'!J26=TRUE,'Nov 2026'!J26="x",'Nov 2026'!J26="X"),1,0))</f>
        <v/>
      </c>
      <c r="V40" s="345">
        <f>IF($A40="","",IF(OR('Nov 2026'!J27=TRUE,'Nov 2026'!J27="x",'Nov 2026'!J27="X"),1,0))</f>
        <v/>
      </c>
      <c r="W40" s="345">
        <f>IF($A40="","",IF(OR('Nov 2026'!J28=TRUE,'Nov 2026'!J28="x",'Nov 2026'!J28="X"),1,0))</f>
        <v/>
      </c>
      <c r="X40" s="345">
        <f>IF($A40="","",IF(OR('Nov 2026'!J29=TRUE,'Nov 2026'!J29="x",'Nov 2026'!J29="X"),1,0))</f>
        <v/>
      </c>
      <c r="Y40" s="345">
        <f>IF($A40="","",IF(OR('Nov 2026'!J30=TRUE,'Nov 2026'!J30="x",'Nov 2026'!J30="X"),1,0))</f>
        <v/>
      </c>
      <c r="Z40" s="345">
        <f>IF($A40="","",IF(OR('Nov 2026'!J31=TRUE,'Nov 2026'!J31="x",'Nov 2026'!J31="X"),1,0))</f>
        <v/>
      </c>
      <c r="AA40" s="345">
        <f>IF($A40="","",IF(OR('Nov 2026'!J32=TRUE,'Nov 2026'!J32="x",'Nov 2026'!J32="X"),1,0))</f>
        <v/>
      </c>
      <c r="AB40" s="345">
        <f>IF($A40="","",IF(OR('Nov 2026'!J34=TRUE,'Nov 2026'!J34="x",'Nov 2026'!J34="X"),1,0))</f>
        <v/>
      </c>
      <c r="AC40" s="345">
        <f>IF($A40="","",IF(OR('Nov 2026'!J35=TRUE,'Nov 2026'!J35="x",'Nov 2026'!J35="X"),1,0))</f>
        <v/>
      </c>
      <c r="AD40" s="345">
        <f>IF($A40="","",IF(OR('Nov 2026'!J36=TRUE,'Nov 2026'!J36="x",'Nov 2026'!J36="X"),1,0))</f>
        <v/>
      </c>
      <c r="AE40" s="345">
        <f>IF($A40="","",IF(OR('Nov 2026'!J37=TRUE,'Nov 2026'!J37="x",'Nov 2026'!J37="X"),1,0))</f>
        <v/>
      </c>
      <c r="AF40" s="345">
        <f>IF($A40="","",IF('Nov 2026'!J59="","",'Nov 2026'!J59))</f>
        <v/>
      </c>
      <c r="AG40" s="345">
        <f>IF($A40="","",IF('Nov 2026'!J60="","",'Nov 2026'!J60))</f>
        <v/>
      </c>
      <c r="AH40" s="345">
        <f>IF($A40="","",IF('Nov 2026'!J61="","",'Nov 2026'!J61))</f>
        <v/>
      </c>
      <c r="AI40" s="345">
        <f>IF($A40="","",IF('Nov 2026'!J62="","",'Nov 2026'!J62))</f>
        <v/>
      </c>
      <c r="AJ40" s="345">
        <f>IF($A40="","",IF('Nov 2026'!J63="","",'Nov 2026'!J63))</f>
        <v/>
      </c>
      <c r="AK40" s="345">
        <f>IF($A40="","",IF('Nov 2026'!J64="","",'Nov 2026'!J64))</f>
        <v/>
      </c>
      <c r="AL40" s="345">
        <f>IF($A40="","",IF('Nov 2026'!J65="","",'Nov 2026'!J65))</f>
        <v/>
      </c>
      <c r="AM40" s="345">
        <f>IF($A40="","",IF('Nov 2026'!J66="","",'Nov 2026'!J66))</f>
        <v/>
      </c>
      <c r="AN40" s="345">
        <f>IF($A40="","",IF('Nov 2026'!J67="","",'Nov 2026'!J67))</f>
        <v/>
      </c>
      <c r="AO40" s="345">
        <f>IF($A40="",0,IF(AND($A40&gt;=TrackStart,$A40&lt;=TODAY()),1,0))</f>
        <v/>
      </c>
      <c r="AP40" s="345">
        <f>IF($A40="",0,IF(SUM(F40:AE40)+COUNT(AF40:AN40)&gt;0,1,0))</f>
        <v/>
      </c>
      <c r="AQ40" s="345">
        <f>IF($A40="","",INT(($A40-TrackStart)/7)+1)</f>
        <v/>
      </c>
      <c r="AR40" s="345">
        <f>IF($A40="","",IF(AQ40&lt;=1,Steps1,IF(AQ40=2,Steps2,Steps3)))</f>
        <v/>
      </c>
      <c r="AS40" s="345">
        <f>IF($A40="",0,IF(ISNUMBER(SEARCH(TEXT(D40,"0"),WorkDays&amp;"")),1,0))</f>
        <v/>
      </c>
      <c r="AT40" s="345">
        <f>IF($A40="",0,IF(ISNUMBER(SEARCH(TEXT(D40,"0"),StrDays&amp;"")),1,0))</f>
        <v/>
      </c>
      <c r="AU40" s="345">
        <f>IF($A40="",0,IF(ISNUMBER(AK40),IF(AK40&gt;=SleepMin,1,0),N40))</f>
        <v/>
      </c>
      <c r="AV40" s="345">
        <f>IF($A40="",0,MAX(I40,O40,S40,AC40))</f>
        <v/>
      </c>
      <c r="AW40" s="345">
        <f>IF($A40="",0,IF(ISNUMBER(AH40),IF(AH40&gt;=ProtHit,1,0),0))</f>
        <v/>
      </c>
      <c r="AX40" s="345">
        <f>IF($A40="",0,IF(ISNUMBER(AI40),IF(AI40&gt;=WaterHit,1,0),0))</f>
        <v/>
      </c>
      <c r="AY40" s="345">
        <f>IF($A40="",0,IF(ISNUMBER(AG40),IF(AG40&gt;=AR40,1,0),0))</f>
        <v/>
      </c>
      <c r="AZ40" s="345">
        <f>IF($A40="",0,G40)</f>
        <v/>
      </c>
      <c r="BA40" s="345">
        <f>IF($A40="",0,J40)</f>
        <v/>
      </c>
      <c r="BB40" s="345">
        <f>IF($A40="",0,K40)</f>
        <v/>
      </c>
      <c r="BC40" s="345">
        <f>IF($A40="",0,MAX(L40,AE40))</f>
        <v/>
      </c>
      <c r="BD40" s="344">
        <f>IF($A40="","",(AU40+AV40+AW40+AX40+AY40+AZ40+BB40+BC40+IF(AS40=1,BA40,0))/(8+AS40))</f>
        <v/>
      </c>
      <c r="BE40" s="344">
        <f>IF($A40="","",(IF(ISNUMBER(AI40),IF(AI40&gt;=WaterMVD,1,0),0)+AV40+IF(ISNUMBER(AH40),IF(AH40&gt;=ProtMVD,1,0),0)+MAX(H40,AD40)+AZ40+BB40+AU40)/7)</f>
        <v/>
      </c>
      <c r="BF40" s="344">
        <f>IF(AO40=0,"",IF(E40="S","",IF(AND(AP40=0,$A40=TODAY()),"",IF(E40="M",BE40,BD40))))</f>
        <v/>
      </c>
      <c r="BG40" s="344">
        <f>IF(AO40=0,"",IFERROR(AVERAGEIFS(Data!$BF$4:$BF$375,Data!$A$4:$A$375,"&gt;"&amp;($A40-7),Data!$A$4:$A$375,"&lt;="&amp;$A40),""))</f>
        <v/>
      </c>
      <c r="BH40" s="344">
        <f>IF(AO40=0,"",IFERROR(AVERAGEIFS(Data!$BF$4:$BF$375,Data!$A$4:$A$375,"&gt;"&amp;($A40-30),Data!$A$4:$A$375,"&lt;="&amp;$A40),""))</f>
        <v/>
      </c>
      <c r="BI40" s="359">
        <f>IF($A40="","",IFERROR(AVERAGEIFS(Data!$AF$4:$AF$375,Data!$A$4:$A$375,"&gt;"&amp;($A40-7),Data!$A$4:$A$375,"&lt;="&amp;$A40,Data!$AF$4:$AF$375,"&gt;0"),""))</f>
        <v/>
      </c>
      <c r="BJ40" s="345">
        <f>IF($A40="","",F40+G40+H40+I40+J40+K40+L40+M40+N40-IF(AS40=1,0,J40))</f>
        <v/>
      </c>
      <c r="BK40" s="345">
        <f>IF($A40="","",8+AS40)</f>
        <v/>
      </c>
      <c r="BL40" s="345">
        <f>IF(ISNUMBER(BF40),BF40,NA())</f>
        <v/>
      </c>
      <c r="BM40" s="345">
        <f>IF(ISNUMBER(AF40),AF40,NA())</f>
        <v/>
      </c>
      <c r="BN40" s="345">
        <f>IF(ISNUMBER(BI40),BI40,NA())</f>
        <v/>
      </c>
      <c r="BO40" s="345">
        <f>IF(ISNUMBER(AL40),AL40,NA())</f>
        <v/>
      </c>
      <c r="BP40" s="345">
        <f>IF(ISNUMBER(AM40),AM40,NA())</f>
        <v/>
      </c>
      <c r="BQ40" s="345">
        <f>IF(ISNUMBER(AN40),AN40,NA())</f>
        <v/>
      </c>
    </row>
    <row r="41">
      <c r="A41" s="358">
        <f>IF('Nov 2026'!K7="","",'Nov 2026'!K7)</f>
        <v/>
      </c>
      <c r="B41" s="345" t="n">
        <v>2</v>
      </c>
      <c r="C41" s="345">
        <f>IF($A41="","",7)</f>
        <v/>
      </c>
      <c r="D41" s="345">
        <f>IF($A41="","",WEEKDAY($A41,2))</f>
        <v/>
      </c>
      <c r="E41" s="345">
        <f>IF($A41="","",UPPER(TRIM('Nov 2026'!K8)))</f>
        <v/>
      </c>
      <c r="F41" s="345">
        <f>IF($A41="","",IF(OR('Nov 2026'!K10=TRUE,'Nov 2026'!K10="x",'Nov 2026'!K10="X"),1,0))</f>
        <v/>
      </c>
      <c r="G41" s="345">
        <f>IF($A41="","",IF(OR('Nov 2026'!K11=TRUE,'Nov 2026'!K11="x",'Nov 2026'!K11="X"),1,0))</f>
        <v/>
      </c>
      <c r="H41" s="345">
        <f>IF($A41="","",IF(OR('Nov 2026'!K12=TRUE,'Nov 2026'!K12="x",'Nov 2026'!K12="X"),1,0))</f>
        <v/>
      </c>
      <c r="I41" s="345">
        <f>IF($A41="","",IF(OR('Nov 2026'!K13=TRUE,'Nov 2026'!K13="x",'Nov 2026'!K13="X"),1,0))</f>
        <v/>
      </c>
      <c r="J41" s="345">
        <f>IF($A41="","",IF(OR('Nov 2026'!K14=TRUE,'Nov 2026'!K14="x",'Nov 2026'!K14="X"),1,0))</f>
        <v/>
      </c>
      <c r="K41" s="345">
        <f>IF($A41="","",IF(OR('Nov 2026'!K15=TRUE,'Nov 2026'!K15="x",'Nov 2026'!K15="X"),1,0))</f>
        <v/>
      </c>
      <c r="L41" s="345">
        <f>IF($A41="","",IF(OR('Nov 2026'!K16=TRUE,'Nov 2026'!K16="x",'Nov 2026'!K16="X"),1,0))</f>
        <v/>
      </c>
      <c r="M41" s="345">
        <f>IF($A41="","",IF(OR('Nov 2026'!K17=TRUE,'Nov 2026'!K17="x",'Nov 2026'!K17="X"),1,0))</f>
        <v/>
      </c>
      <c r="N41" s="345">
        <f>IF($A41="","",IF(OR('Nov 2026'!K18=TRUE,'Nov 2026'!K18="x",'Nov 2026'!K18="X"),1,0))</f>
        <v/>
      </c>
      <c r="O41" s="345">
        <f>IF($A41="","",IF(OR('Nov 2026'!K20=TRUE,'Nov 2026'!K20="x",'Nov 2026'!K20="X"),1,0))</f>
        <v/>
      </c>
      <c r="P41" s="345">
        <f>IF($A41="","",IF(OR('Nov 2026'!K21=TRUE,'Nov 2026'!K21="x",'Nov 2026'!K21="X"),1,0))</f>
        <v/>
      </c>
      <c r="Q41" s="345">
        <f>IF($A41="","",IF(OR('Nov 2026'!K22=TRUE,'Nov 2026'!K22="x",'Nov 2026'!K22="X"),1,0))</f>
        <v/>
      </c>
      <c r="R41" s="345">
        <f>IF($A41="","",IF(OR('Nov 2026'!K23=TRUE,'Nov 2026'!K23="x",'Nov 2026'!K23="X"),1,0))</f>
        <v/>
      </c>
      <c r="S41" s="345">
        <f>IF($A41="","",IF(OR('Nov 2026'!K24=TRUE,'Nov 2026'!K24="x",'Nov 2026'!K24="X"),1,0))</f>
        <v/>
      </c>
      <c r="T41" s="345">
        <f>IF($A41="","",IF(OR('Nov 2026'!K25=TRUE,'Nov 2026'!K25="x",'Nov 2026'!K25="X"),1,0))</f>
        <v/>
      </c>
      <c r="U41" s="345">
        <f>IF($A41="","",IF(OR('Nov 2026'!K26=TRUE,'Nov 2026'!K26="x",'Nov 2026'!K26="X"),1,0))</f>
        <v/>
      </c>
      <c r="V41" s="345">
        <f>IF($A41="","",IF(OR('Nov 2026'!K27=TRUE,'Nov 2026'!K27="x",'Nov 2026'!K27="X"),1,0))</f>
        <v/>
      </c>
      <c r="W41" s="345">
        <f>IF($A41="","",IF(OR('Nov 2026'!K28=TRUE,'Nov 2026'!K28="x",'Nov 2026'!K28="X"),1,0))</f>
        <v/>
      </c>
      <c r="X41" s="345">
        <f>IF($A41="","",IF(OR('Nov 2026'!K29=TRUE,'Nov 2026'!K29="x",'Nov 2026'!K29="X"),1,0))</f>
        <v/>
      </c>
      <c r="Y41" s="345">
        <f>IF($A41="","",IF(OR('Nov 2026'!K30=TRUE,'Nov 2026'!K30="x",'Nov 2026'!K30="X"),1,0))</f>
        <v/>
      </c>
      <c r="Z41" s="345">
        <f>IF($A41="","",IF(OR('Nov 2026'!K31=TRUE,'Nov 2026'!K31="x",'Nov 2026'!K31="X"),1,0))</f>
        <v/>
      </c>
      <c r="AA41" s="345">
        <f>IF($A41="","",IF(OR('Nov 2026'!K32=TRUE,'Nov 2026'!K32="x",'Nov 2026'!K32="X"),1,0))</f>
        <v/>
      </c>
      <c r="AB41" s="345">
        <f>IF($A41="","",IF(OR('Nov 2026'!K34=TRUE,'Nov 2026'!K34="x",'Nov 2026'!K34="X"),1,0))</f>
        <v/>
      </c>
      <c r="AC41" s="345">
        <f>IF($A41="","",IF(OR('Nov 2026'!K35=TRUE,'Nov 2026'!K35="x",'Nov 2026'!K35="X"),1,0))</f>
        <v/>
      </c>
      <c r="AD41" s="345">
        <f>IF($A41="","",IF(OR('Nov 2026'!K36=TRUE,'Nov 2026'!K36="x",'Nov 2026'!K36="X"),1,0))</f>
        <v/>
      </c>
      <c r="AE41" s="345">
        <f>IF($A41="","",IF(OR('Nov 2026'!K37=TRUE,'Nov 2026'!K37="x",'Nov 2026'!K37="X"),1,0))</f>
        <v/>
      </c>
      <c r="AF41" s="345">
        <f>IF($A41="","",IF('Nov 2026'!K59="","",'Nov 2026'!K59))</f>
        <v/>
      </c>
      <c r="AG41" s="345">
        <f>IF($A41="","",IF('Nov 2026'!K60="","",'Nov 2026'!K60))</f>
        <v/>
      </c>
      <c r="AH41" s="345">
        <f>IF($A41="","",IF('Nov 2026'!K61="","",'Nov 2026'!K61))</f>
        <v/>
      </c>
      <c r="AI41" s="345">
        <f>IF($A41="","",IF('Nov 2026'!K62="","",'Nov 2026'!K62))</f>
        <v/>
      </c>
      <c r="AJ41" s="345">
        <f>IF($A41="","",IF('Nov 2026'!K63="","",'Nov 2026'!K63))</f>
        <v/>
      </c>
      <c r="AK41" s="345">
        <f>IF($A41="","",IF('Nov 2026'!K64="","",'Nov 2026'!K64))</f>
        <v/>
      </c>
      <c r="AL41" s="345">
        <f>IF($A41="","",IF('Nov 2026'!K65="","",'Nov 2026'!K65))</f>
        <v/>
      </c>
      <c r="AM41" s="345">
        <f>IF($A41="","",IF('Nov 2026'!K66="","",'Nov 2026'!K66))</f>
        <v/>
      </c>
      <c r="AN41" s="345">
        <f>IF($A41="","",IF('Nov 2026'!K67="","",'Nov 2026'!K67))</f>
        <v/>
      </c>
      <c r="AO41" s="345">
        <f>IF($A41="",0,IF(AND($A41&gt;=TrackStart,$A41&lt;=TODAY()),1,0))</f>
        <v/>
      </c>
      <c r="AP41" s="345">
        <f>IF($A41="",0,IF(SUM(F41:AE41)+COUNT(AF41:AN41)&gt;0,1,0))</f>
        <v/>
      </c>
      <c r="AQ41" s="345">
        <f>IF($A41="","",INT(($A41-TrackStart)/7)+1)</f>
        <v/>
      </c>
      <c r="AR41" s="345">
        <f>IF($A41="","",IF(AQ41&lt;=1,Steps1,IF(AQ41=2,Steps2,Steps3)))</f>
        <v/>
      </c>
      <c r="AS41" s="345">
        <f>IF($A41="",0,IF(ISNUMBER(SEARCH(TEXT(D41,"0"),WorkDays&amp;"")),1,0))</f>
        <v/>
      </c>
      <c r="AT41" s="345">
        <f>IF($A41="",0,IF(ISNUMBER(SEARCH(TEXT(D41,"0"),StrDays&amp;"")),1,0))</f>
        <v/>
      </c>
      <c r="AU41" s="345">
        <f>IF($A41="",0,IF(ISNUMBER(AK41),IF(AK41&gt;=SleepMin,1,0),N41))</f>
        <v/>
      </c>
      <c r="AV41" s="345">
        <f>IF($A41="",0,MAX(I41,O41,S41,AC41))</f>
        <v/>
      </c>
      <c r="AW41" s="345">
        <f>IF($A41="",0,IF(ISNUMBER(AH41),IF(AH41&gt;=ProtHit,1,0),0))</f>
        <v/>
      </c>
      <c r="AX41" s="345">
        <f>IF($A41="",0,IF(ISNUMBER(AI41),IF(AI41&gt;=WaterHit,1,0),0))</f>
        <v/>
      </c>
      <c r="AY41" s="345">
        <f>IF($A41="",0,IF(ISNUMBER(AG41),IF(AG41&gt;=AR41,1,0),0))</f>
        <v/>
      </c>
      <c r="AZ41" s="345">
        <f>IF($A41="",0,G41)</f>
        <v/>
      </c>
      <c r="BA41" s="345">
        <f>IF($A41="",0,J41)</f>
        <v/>
      </c>
      <c r="BB41" s="345">
        <f>IF($A41="",0,K41)</f>
        <v/>
      </c>
      <c r="BC41" s="345">
        <f>IF($A41="",0,MAX(L41,AE41))</f>
        <v/>
      </c>
      <c r="BD41" s="344">
        <f>IF($A41="","",(AU41+AV41+AW41+AX41+AY41+AZ41+BB41+BC41+IF(AS41=1,BA41,0))/(8+AS41))</f>
        <v/>
      </c>
      <c r="BE41" s="344">
        <f>IF($A41="","",(IF(ISNUMBER(AI41),IF(AI41&gt;=WaterMVD,1,0),0)+AV41+IF(ISNUMBER(AH41),IF(AH41&gt;=ProtMVD,1,0),0)+MAX(H41,AD41)+AZ41+BB41+AU41)/7)</f>
        <v/>
      </c>
      <c r="BF41" s="344">
        <f>IF(AO41=0,"",IF(E41="S","",IF(AND(AP41=0,$A41=TODAY()),"",IF(E41="M",BE41,BD41))))</f>
        <v/>
      </c>
      <c r="BG41" s="344">
        <f>IF(AO41=0,"",IFERROR(AVERAGEIFS(Data!$BF$4:$BF$375,Data!$A$4:$A$375,"&gt;"&amp;($A41-7),Data!$A$4:$A$375,"&lt;="&amp;$A41),""))</f>
        <v/>
      </c>
      <c r="BH41" s="344">
        <f>IF(AO41=0,"",IFERROR(AVERAGEIFS(Data!$BF$4:$BF$375,Data!$A$4:$A$375,"&gt;"&amp;($A41-30),Data!$A$4:$A$375,"&lt;="&amp;$A41),""))</f>
        <v/>
      </c>
      <c r="BI41" s="359">
        <f>IF($A41="","",IFERROR(AVERAGEIFS(Data!$AF$4:$AF$375,Data!$A$4:$A$375,"&gt;"&amp;($A41-7),Data!$A$4:$A$375,"&lt;="&amp;$A41,Data!$AF$4:$AF$375,"&gt;0"),""))</f>
        <v/>
      </c>
      <c r="BJ41" s="345">
        <f>IF($A41="","",F41+G41+H41+I41+J41+K41+L41+M41+N41-IF(AS41=1,0,J41))</f>
        <v/>
      </c>
      <c r="BK41" s="345">
        <f>IF($A41="","",8+AS41)</f>
        <v/>
      </c>
      <c r="BL41" s="345">
        <f>IF(ISNUMBER(BF41),BF41,NA())</f>
        <v/>
      </c>
      <c r="BM41" s="345">
        <f>IF(ISNUMBER(AF41),AF41,NA())</f>
        <v/>
      </c>
      <c r="BN41" s="345">
        <f>IF(ISNUMBER(BI41),BI41,NA())</f>
        <v/>
      </c>
      <c r="BO41" s="345">
        <f>IF(ISNUMBER(AL41),AL41,NA())</f>
        <v/>
      </c>
      <c r="BP41" s="345">
        <f>IF(ISNUMBER(AM41),AM41,NA())</f>
        <v/>
      </c>
      <c r="BQ41" s="345">
        <f>IF(ISNUMBER(AN41),AN41,NA())</f>
        <v/>
      </c>
    </row>
    <row r="42">
      <c r="A42" s="358">
        <f>IF('Nov 2026'!L7="","",'Nov 2026'!L7)</f>
        <v/>
      </c>
      <c r="B42" s="345" t="n">
        <v>2</v>
      </c>
      <c r="C42" s="345">
        <f>IF($A42="","",8)</f>
        <v/>
      </c>
      <c r="D42" s="345">
        <f>IF($A42="","",WEEKDAY($A42,2))</f>
        <v/>
      </c>
      <c r="E42" s="345">
        <f>IF($A42="","",UPPER(TRIM('Nov 2026'!L8)))</f>
        <v/>
      </c>
      <c r="F42" s="345">
        <f>IF($A42="","",IF(OR('Nov 2026'!L10=TRUE,'Nov 2026'!L10="x",'Nov 2026'!L10="X"),1,0))</f>
        <v/>
      </c>
      <c r="G42" s="345">
        <f>IF($A42="","",IF(OR('Nov 2026'!L11=TRUE,'Nov 2026'!L11="x",'Nov 2026'!L11="X"),1,0))</f>
        <v/>
      </c>
      <c r="H42" s="345">
        <f>IF($A42="","",IF(OR('Nov 2026'!L12=TRUE,'Nov 2026'!L12="x",'Nov 2026'!L12="X"),1,0))</f>
        <v/>
      </c>
      <c r="I42" s="345">
        <f>IF($A42="","",IF(OR('Nov 2026'!L13=TRUE,'Nov 2026'!L13="x",'Nov 2026'!L13="X"),1,0))</f>
        <v/>
      </c>
      <c r="J42" s="345">
        <f>IF($A42="","",IF(OR('Nov 2026'!L14=TRUE,'Nov 2026'!L14="x",'Nov 2026'!L14="X"),1,0))</f>
        <v/>
      </c>
      <c r="K42" s="345">
        <f>IF($A42="","",IF(OR('Nov 2026'!L15=TRUE,'Nov 2026'!L15="x",'Nov 2026'!L15="X"),1,0))</f>
        <v/>
      </c>
      <c r="L42" s="345">
        <f>IF($A42="","",IF(OR('Nov 2026'!L16=TRUE,'Nov 2026'!L16="x",'Nov 2026'!L16="X"),1,0))</f>
        <v/>
      </c>
      <c r="M42" s="345">
        <f>IF($A42="","",IF(OR('Nov 2026'!L17=TRUE,'Nov 2026'!L17="x",'Nov 2026'!L17="X"),1,0))</f>
        <v/>
      </c>
      <c r="N42" s="345">
        <f>IF($A42="","",IF(OR('Nov 2026'!L18=TRUE,'Nov 2026'!L18="x",'Nov 2026'!L18="X"),1,0))</f>
        <v/>
      </c>
      <c r="O42" s="345">
        <f>IF($A42="","",IF(OR('Nov 2026'!L20=TRUE,'Nov 2026'!L20="x",'Nov 2026'!L20="X"),1,0))</f>
        <v/>
      </c>
      <c r="P42" s="345">
        <f>IF($A42="","",IF(OR('Nov 2026'!L21=TRUE,'Nov 2026'!L21="x",'Nov 2026'!L21="X"),1,0))</f>
        <v/>
      </c>
      <c r="Q42" s="345">
        <f>IF($A42="","",IF(OR('Nov 2026'!L22=TRUE,'Nov 2026'!L22="x",'Nov 2026'!L22="X"),1,0))</f>
        <v/>
      </c>
      <c r="R42" s="345">
        <f>IF($A42="","",IF(OR('Nov 2026'!L23=TRUE,'Nov 2026'!L23="x",'Nov 2026'!L23="X"),1,0))</f>
        <v/>
      </c>
      <c r="S42" s="345">
        <f>IF($A42="","",IF(OR('Nov 2026'!L24=TRUE,'Nov 2026'!L24="x",'Nov 2026'!L24="X"),1,0))</f>
        <v/>
      </c>
      <c r="T42" s="345">
        <f>IF($A42="","",IF(OR('Nov 2026'!L25=TRUE,'Nov 2026'!L25="x",'Nov 2026'!L25="X"),1,0))</f>
        <v/>
      </c>
      <c r="U42" s="345">
        <f>IF($A42="","",IF(OR('Nov 2026'!L26=TRUE,'Nov 2026'!L26="x",'Nov 2026'!L26="X"),1,0))</f>
        <v/>
      </c>
      <c r="V42" s="345">
        <f>IF($A42="","",IF(OR('Nov 2026'!L27=TRUE,'Nov 2026'!L27="x",'Nov 2026'!L27="X"),1,0))</f>
        <v/>
      </c>
      <c r="W42" s="345">
        <f>IF($A42="","",IF(OR('Nov 2026'!L28=TRUE,'Nov 2026'!L28="x",'Nov 2026'!L28="X"),1,0))</f>
        <v/>
      </c>
      <c r="X42" s="345">
        <f>IF($A42="","",IF(OR('Nov 2026'!L29=TRUE,'Nov 2026'!L29="x",'Nov 2026'!L29="X"),1,0))</f>
        <v/>
      </c>
      <c r="Y42" s="345">
        <f>IF($A42="","",IF(OR('Nov 2026'!L30=TRUE,'Nov 2026'!L30="x",'Nov 2026'!L30="X"),1,0))</f>
        <v/>
      </c>
      <c r="Z42" s="345">
        <f>IF($A42="","",IF(OR('Nov 2026'!L31=TRUE,'Nov 2026'!L31="x",'Nov 2026'!L31="X"),1,0))</f>
        <v/>
      </c>
      <c r="AA42" s="345">
        <f>IF($A42="","",IF(OR('Nov 2026'!L32=TRUE,'Nov 2026'!L32="x",'Nov 2026'!L32="X"),1,0))</f>
        <v/>
      </c>
      <c r="AB42" s="345">
        <f>IF($A42="","",IF(OR('Nov 2026'!L34=TRUE,'Nov 2026'!L34="x",'Nov 2026'!L34="X"),1,0))</f>
        <v/>
      </c>
      <c r="AC42" s="345">
        <f>IF($A42="","",IF(OR('Nov 2026'!L35=TRUE,'Nov 2026'!L35="x",'Nov 2026'!L35="X"),1,0))</f>
        <v/>
      </c>
      <c r="AD42" s="345">
        <f>IF($A42="","",IF(OR('Nov 2026'!L36=TRUE,'Nov 2026'!L36="x",'Nov 2026'!L36="X"),1,0))</f>
        <v/>
      </c>
      <c r="AE42" s="345">
        <f>IF($A42="","",IF(OR('Nov 2026'!L37=TRUE,'Nov 2026'!L37="x",'Nov 2026'!L37="X"),1,0))</f>
        <v/>
      </c>
      <c r="AF42" s="345">
        <f>IF($A42="","",IF('Nov 2026'!L59="","",'Nov 2026'!L59))</f>
        <v/>
      </c>
      <c r="AG42" s="345">
        <f>IF($A42="","",IF('Nov 2026'!L60="","",'Nov 2026'!L60))</f>
        <v/>
      </c>
      <c r="AH42" s="345">
        <f>IF($A42="","",IF('Nov 2026'!L61="","",'Nov 2026'!L61))</f>
        <v/>
      </c>
      <c r="AI42" s="345">
        <f>IF($A42="","",IF('Nov 2026'!L62="","",'Nov 2026'!L62))</f>
        <v/>
      </c>
      <c r="AJ42" s="345">
        <f>IF($A42="","",IF('Nov 2026'!L63="","",'Nov 2026'!L63))</f>
        <v/>
      </c>
      <c r="AK42" s="345">
        <f>IF($A42="","",IF('Nov 2026'!L64="","",'Nov 2026'!L64))</f>
        <v/>
      </c>
      <c r="AL42" s="345">
        <f>IF($A42="","",IF('Nov 2026'!L65="","",'Nov 2026'!L65))</f>
        <v/>
      </c>
      <c r="AM42" s="345">
        <f>IF($A42="","",IF('Nov 2026'!L66="","",'Nov 2026'!L66))</f>
        <v/>
      </c>
      <c r="AN42" s="345">
        <f>IF($A42="","",IF('Nov 2026'!L67="","",'Nov 2026'!L67))</f>
        <v/>
      </c>
      <c r="AO42" s="345">
        <f>IF($A42="",0,IF(AND($A42&gt;=TrackStart,$A42&lt;=TODAY()),1,0))</f>
        <v/>
      </c>
      <c r="AP42" s="345">
        <f>IF($A42="",0,IF(SUM(F42:AE42)+COUNT(AF42:AN42)&gt;0,1,0))</f>
        <v/>
      </c>
      <c r="AQ42" s="345">
        <f>IF($A42="","",INT(($A42-TrackStart)/7)+1)</f>
        <v/>
      </c>
      <c r="AR42" s="345">
        <f>IF($A42="","",IF(AQ42&lt;=1,Steps1,IF(AQ42=2,Steps2,Steps3)))</f>
        <v/>
      </c>
      <c r="AS42" s="345">
        <f>IF($A42="",0,IF(ISNUMBER(SEARCH(TEXT(D42,"0"),WorkDays&amp;"")),1,0))</f>
        <v/>
      </c>
      <c r="AT42" s="345">
        <f>IF($A42="",0,IF(ISNUMBER(SEARCH(TEXT(D42,"0"),StrDays&amp;"")),1,0))</f>
        <v/>
      </c>
      <c r="AU42" s="345">
        <f>IF($A42="",0,IF(ISNUMBER(AK42),IF(AK42&gt;=SleepMin,1,0),N42))</f>
        <v/>
      </c>
      <c r="AV42" s="345">
        <f>IF($A42="",0,MAX(I42,O42,S42,AC42))</f>
        <v/>
      </c>
      <c r="AW42" s="345">
        <f>IF($A42="",0,IF(ISNUMBER(AH42),IF(AH42&gt;=ProtHit,1,0),0))</f>
        <v/>
      </c>
      <c r="AX42" s="345">
        <f>IF($A42="",0,IF(ISNUMBER(AI42),IF(AI42&gt;=WaterHit,1,0),0))</f>
        <v/>
      </c>
      <c r="AY42" s="345">
        <f>IF($A42="",0,IF(ISNUMBER(AG42),IF(AG42&gt;=AR42,1,0),0))</f>
        <v/>
      </c>
      <c r="AZ42" s="345">
        <f>IF($A42="",0,G42)</f>
        <v/>
      </c>
      <c r="BA42" s="345">
        <f>IF($A42="",0,J42)</f>
        <v/>
      </c>
      <c r="BB42" s="345">
        <f>IF($A42="",0,K42)</f>
        <v/>
      </c>
      <c r="BC42" s="345">
        <f>IF($A42="",0,MAX(L42,AE42))</f>
        <v/>
      </c>
      <c r="BD42" s="344">
        <f>IF($A42="","",(AU42+AV42+AW42+AX42+AY42+AZ42+BB42+BC42+IF(AS42=1,BA42,0))/(8+AS42))</f>
        <v/>
      </c>
      <c r="BE42" s="344">
        <f>IF($A42="","",(IF(ISNUMBER(AI42),IF(AI42&gt;=WaterMVD,1,0),0)+AV42+IF(ISNUMBER(AH42),IF(AH42&gt;=ProtMVD,1,0),0)+MAX(H42,AD42)+AZ42+BB42+AU42)/7)</f>
        <v/>
      </c>
      <c r="BF42" s="344">
        <f>IF(AO42=0,"",IF(E42="S","",IF(AND(AP42=0,$A42=TODAY()),"",IF(E42="M",BE42,BD42))))</f>
        <v/>
      </c>
      <c r="BG42" s="344">
        <f>IF(AO42=0,"",IFERROR(AVERAGEIFS(Data!$BF$4:$BF$375,Data!$A$4:$A$375,"&gt;"&amp;($A42-7),Data!$A$4:$A$375,"&lt;="&amp;$A42),""))</f>
        <v/>
      </c>
      <c r="BH42" s="344">
        <f>IF(AO42=0,"",IFERROR(AVERAGEIFS(Data!$BF$4:$BF$375,Data!$A$4:$A$375,"&gt;"&amp;($A42-30),Data!$A$4:$A$375,"&lt;="&amp;$A42),""))</f>
        <v/>
      </c>
      <c r="BI42" s="359">
        <f>IF($A42="","",IFERROR(AVERAGEIFS(Data!$AF$4:$AF$375,Data!$A$4:$A$375,"&gt;"&amp;($A42-7),Data!$A$4:$A$375,"&lt;="&amp;$A42,Data!$AF$4:$AF$375,"&gt;0"),""))</f>
        <v/>
      </c>
      <c r="BJ42" s="345">
        <f>IF($A42="","",F42+G42+H42+I42+J42+K42+L42+M42+N42-IF(AS42=1,0,J42))</f>
        <v/>
      </c>
      <c r="BK42" s="345">
        <f>IF($A42="","",8+AS42)</f>
        <v/>
      </c>
      <c r="BL42" s="345">
        <f>IF(ISNUMBER(BF42),BF42,NA())</f>
        <v/>
      </c>
      <c r="BM42" s="345">
        <f>IF(ISNUMBER(AF42),AF42,NA())</f>
        <v/>
      </c>
      <c r="BN42" s="345">
        <f>IF(ISNUMBER(BI42),BI42,NA())</f>
        <v/>
      </c>
      <c r="BO42" s="345">
        <f>IF(ISNUMBER(AL42),AL42,NA())</f>
        <v/>
      </c>
      <c r="BP42" s="345">
        <f>IF(ISNUMBER(AM42),AM42,NA())</f>
        <v/>
      </c>
      <c r="BQ42" s="345">
        <f>IF(ISNUMBER(AN42),AN42,NA())</f>
        <v/>
      </c>
    </row>
    <row r="43">
      <c r="A43" s="358">
        <f>IF('Nov 2026'!M7="","",'Nov 2026'!M7)</f>
        <v/>
      </c>
      <c r="B43" s="345" t="n">
        <v>2</v>
      </c>
      <c r="C43" s="345">
        <f>IF($A43="","",9)</f>
        <v/>
      </c>
      <c r="D43" s="345">
        <f>IF($A43="","",WEEKDAY($A43,2))</f>
        <v/>
      </c>
      <c r="E43" s="345">
        <f>IF($A43="","",UPPER(TRIM('Nov 2026'!M8)))</f>
        <v/>
      </c>
      <c r="F43" s="345">
        <f>IF($A43="","",IF(OR('Nov 2026'!M10=TRUE,'Nov 2026'!M10="x",'Nov 2026'!M10="X"),1,0))</f>
        <v/>
      </c>
      <c r="G43" s="345">
        <f>IF($A43="","",IF(OR('Nov 2026'!M11=TRUE,'Nov 2026'!M11="x",'Nov 2026'!M11="X"),1,0))</f>
        <v/>
      </c>
      <c r="H43" s="345">
        <f>IF($A43="","",IF(OR('Nov 2026'!M12=TRUE,'Nov 2026'!M12="x",'Nov 2026'!M12="X"),1,0))</f>
        <v/>
      </c>
      <c r="I43" s="345">
        <f>IF($A43="","",IF(OR('Nov 2026'!M13=TRUE,'Nov 2026'!M13="x",'Nov 2026'!M13="X"),1,0))</f>
        <v/>
      </c>
      <c r="J43" s="345">
        <f>IF($A43="","",IF(OR('Nov 2026'!M14=TRUE,'Nov 2026'!M14="x",'Nov 2026'!M14="X"),1,0))</f>
        <v/>
      </c>
      <c r="K43" s="345">
        <f>IF($A43="","",IF(OR('Nov 2026'!M15=TRUE,'Nov 2026'!M15="x",'Nov 2026'!M15="X"),1,0))</f>
        <v/>
      </c>
      <c r="L43" s="345">
        <f>IF($A43="","",IF(OR('Nov 2026'!M16=TRUE,'Nov 2026'!M16="x",'Nov 2026'!M16="X"),1,0))</f>
        <v/>
      </c>
      <c r="M43" s="345">
        <f>IF($A43="","",IF(OR('Nov 2026'!M17=TRUE,'Nov 2026'!M17="x",'Nov 2026'!M17="X"),1,0))</f>
        <v/>
      </c>
      <c r="N43" s="345">
        <f>IF($A43="","",IF(OR('Nov 2026'!M18=TRUE,'Nov 2026'!M18="x",'Nov 2026'!M18="X"),1,0))</f>
        <v/>
      </c>
      <c r="O43" s="345">
        <f>IF($A43="","",IF(OR('Nov 2026'!M20=TRUE,'Nov 2026'!M20="x",'Nov 2026'!M20="X"),1,0))</f>
        <v/>
      </c>
      <c r="P43" s="345">
        <f>IF($A43="","",IF(OR('Nov 2026'!M21=TRUE,'Nov 2026'!M21="x",'Nov 2026'!M21="X"),1,0))</f>
        <v/>
      </c>
      <c r="Q43" s="345">
        <f>IF($A43="","",IF(OR('Nov 2026'!M22=TRUE,'Nov 2026'!M22="x",'Nov 2026'!M22="X"),1,0))</f>
        <v/>
      </c>
      <c r="R43" s="345">
        <f>IF($A43="","",IF(OR('Nov 2026'!M23=TRUE,'Nov 2026'!M23="x",'Nov 2026'!M23="X"),1,0))</f>
        <v/>
      </c>
      <c r="S43" s="345">
        <f>IF($A43="","",IF(OR('Nov 2026'!M24=TRUE,'Nov 2026'!M24="x",'Nov 2026'!M24="X"),1,0))</f>
        <v/>
      </c>
      <c r="T43" s="345">
        <f>IF($A43="","",IF(OR('Nov 2026'!M25=TRUE,'Nov 2026'!M25="x",'Nov 2026'!M25="X"),1,0))</f>
        <v/>
      </c>
      <c r="U43" s="345">
        <f>IF($A43="","",IF(OR('Nov 2026'!M26=TRUE,'Nov 2026'!M26="x",'Nov 2026'!M26="X"),1,0))</f>
        <v/>
      </c>
      <c r="V43" s="345">
        <f>IF($A43="","",IF(OR('Nov 2026'!M27=TRUE,'Nov 2026'!M27="x",'Nov 2026'!M27="X"),1,0))</f>
        <v/>
      </c>
      <c r="W43" s="345">
        <f>IF($A43="","",IF(OR('Nov 2026'!M28=TRUE,'Nov 2026'!M28="x",'Nov 2026'!M28="X"),1,0))</f>
        <v/>
      </c>
      <c r="X43" s="345">
        <f>IF($A43="","",IF(OR('Nov 2026'!M29=TRUE,'Nov 2026'!M29="x",'Nov 2026'!M29="X"),1,0))</f>
        <v/>
      </c>
      <c r="Y43" s="345">
        <f>IF($A43="","",IF(OR('Nov 2026'!M30=TRUE,'Nov 2026'!M30="x",'Nov 2026'!M30="X"),1,0))</f>
        <v/>
      </c>
      <c r="Z43" s="345">
        <f>IF($A43="","",IF(OR('Nov 2026'!M31=TRUE,'Nov 2026'!M31="x",'Nov 2026'!M31="X"),1,0))</f>
        <v/>
      </c>
      <c r="AA43" s="345">
        <f>IF($A43="","",IF(OR('Nov 2026'!M32=TRUE,'Nov 2026'!M32="x",'Nov 2026'!M32="X"),1,0))</f>
        <v/>
      </c>
      <c r="AB43" s="345">
        <f>IF($A43="","",IF(OR('Nov 2026'!M34=TRUE,'Nov 2026'!M34="x",'Nov 2026'!M34="X"),1,0))</f>
        <v/>
      </c>
      <c r="AC43" s="345">
        <f>IF($A43="","",IF(OR('Nov 2026'!M35=TRUE,'Nov 2026'!M35="x",'Nov 2026'!M35="X"),1,0))</f>
        <v/>
      </c>
      <c r="AD43" s="345">
        <f>IF($A43="","",IF(OR('Nov 2026'!M36=TRUE,'Nov 2026'!M36="x",'Nov 2026'!M36="X"),1,0))</f>
        <v/>
      </c>
      <c r="AE43" s="345">
        <f>IF($A43="","",IF(OR('Nov 2026'!M37=TRUE,'Nov 2026'!M37="x",'Nov 2026'!M37="X"),1,0))</f>
        <v/>
      </c>
      <c r="AF43" s="345">
        <f>IF($A43="","",IF('Nov 2026'!M59="","",'Nov 2026'!M59))</f>
        <v/>
      </c>
      <c r="AG43" s="345">
        <f>IF($A43="","",IF('Nov 2026'!M60="","",'Nov 2026'!M60))</f>
        <v/>
      </c>
      <c r="AH43" s="345">
        <f>IF($A43="","",IF('Nov 2026'!M61="","",'Nov 2026'!M61))</f>
        <v/>
      </c>
      <c r="AI43" s="345">
        <f>IF($A43="","",IF('Nov 2026'!M62="","",'Nov 2026'!M62))</f>
        <v/>
      </c>
      <c r="AJ43" s="345">
        <f>IF($A43="","",IF('Nov 2026'!M63="","",'Nov 2026'!M63))</f>
        <v/>
      </c>
      <c r="AK43" s="345">
        <f>IF($A43="","",IF('Nov 2026'!M64="","",'Nov 2026'!M64))</f>
        <v/>
      </c>
      <c r="AL43" s="345">
        <f>IF($A43="","",IF('Nov 2026'!M65="","",'Nov 2026'!M65))</f>
        <v/>
      </c>
      <c r="AM43" s="345">
        <f>IF($A43="","",IF('Nov 2026'!M66="","",'Nov 2026'!M66))</f>
        <v/>
      </c>
      <c r="AN43" s="345">
        <f>IF($A43="","",IF('Nov 2026'!M67="","",'Nov 2026'!M67))</f>
        <v/>
      </c>
      <c r="AO43" s="345">
        <f>IF($A43="",0,IF(AND($A43&gt;=TrackStart,$A43&lt;=TODAY()),1,0))</f>
        <v/>
      </c>
      <c r="AP43" s="345">
        <f>IF($A43="",0,IF(SUM(F43:AE43)+COUNT(AF43:AN43)&gt;0,1,0))</f>
        <v/>
      </c>
      <c r="AQ43" s="345">
        <f>IF($A43="","",INT(($A43-TrackStart)/7)+1)</f>
        <v/>
      </c>
      <c r="AR43" s="345">
        <f>IF($A43="","",IF(AQ43&lt;=1,Steps1,IF(AQ43=2,Steps2,Steps3)))</f>
        <v/>
      </c>
      <c r="AS43" s="345">
        <f>IF($A43="",0,IF(ISNUMBER(SEARCH(TEXT(D43,"0"),WorkDays&amp;"")),1,0))</f>
        <v/>
      </c>
      <c r="AT43" s="345">
        <f>IF($A43="",0,IF(ISNUMBER(SEARCH(TEXT(D43,"0"),StrDays&amp;"")),1,0))</f>
        <v/>
      </c>
      <c r="AU43" s="345">
        <f>IF($A43="",0,IF(ISNUMBER(AK43),IF(AK43&gt;=SleepMin,1,0),N43))</f>
        <v/>
      </c>
      <c r="AV43" s="345">
        <f>IF($A43="",0,MAX(I43,O43,S43,AC43))</f>
        <v/>
      </c>
      <c r="AW43" s="345">
        <f>IF($A43="",0,IF(ISNUMBER(AH43),IF(AH43&gt;=ProtHit,1,0),0))</f>
        <v/>
      </c>
      <c r="AX43" s="345">
        <f>IF($A43="",0,IF(ISNUMBER(AI43),IF(AI43&gt;=WaterHit,1,0),0))</f>
        <v/>
      </c>
      <c r="AY43" s="345">
        <f>IF($A43="",0,IF(ISNUMBER(AG43),IF(AG43&gt;=AR43,1,0),0))</f>
        <v/>
      </c>
      <c r="AZ43" s="345">
        <f>IF($A43="",0,G43)</f>
        <v/>
      </c>
      <c r="BA43" s="345">
        <f>IF($A43="",0,J43)</f>
        <v/>
      </c>
      <c r="BB43" s="345">
        <f>IF($A43="",0,K43)</f>
        <v/>
      </c>
      <c r="BC43" s="345">
        <f>IF($A43="",0,MAX(L43,AE43))</f>
        <v/>
      </c>
      <c r="BD43" s="344">
        <f>IF($A43="","",(AU43+AV43+AW43+AX43+AY43+AZ43+BB43+BC43+IF(AS43=1,BA43,0))/(8+AS43))</f>
        <v/>
      </c>
      <c r="BE43" s="344">
        <f>IF($A43="","",(IF(ISNUMBER(AI43),IF(AI43&gt;=WaterMVD,1,0),0)+AV43+IF(ISNUMBER(AH43),IF(AH43&gt;=ProtMVD,1,0),0)+MAX(H43,AD43)+AZ43+BB43+AU43)/7)</f>
        <v/>
      </c>
      <c r="BF43" s="344">
        <f>IF(AO43=0,"",IF(E43="S","",IF(AND(AP43=0,$A43=TODAY()),"",IF(E43="M",BE43,BD43))))</f>
        <v/>
      </c>
      <c r="BG43" s="344">
        <f>IF(AO43=0,"",IFERROR(AVERAGEIFS(Data!$BF$4:$BF$375,Data!$A$4:$A$375,"&gt;"&amp;($A43-7),Data!$A$4:$A$375,"&lt;="&amp;$A43),""))</f>
        <v/>
      </c>
      <c r="BH43" s="344">
        <f>IF(AO43=0,"",IFERROR(AVERAGEIFS(Data!$BF$4:$BF$375,Data!$A$4:$A$375,"&gt;"&amp;($A43-30),Data!$A$4:$A$375,"&lt;="&amp;$A43),""))</f>
        <v/>
      </c>
      <c r="BI43" s="359">
        <f>IF($A43="","",IFERROR(AVERAGEIFS(Data!$AF$4:$AF$375,Data!$A$4:$A$375,"&gt;"&amp;($A43-7),Data!$A$4:$A$375,"&lt;="&amp;$A43,Data!$AF$4:$AF$375,"&gt;0"),""))</f>
        <v/>
      </c>
      <c r="BJ43" s="345">
        <f>IF($A43="","",F43+G43+H43+I43+J43+K43+L43+M43+N43-IF(AS43=1,0,J43))</f>
        <v/>
      </c>
      <c r="BK43" s="345">
        <f>IF($A43="","",8+AS43)</f>
        <v/>
      </c>
      <c r="BL43" s="345">
        <f>IF(ISNUMBER(BF43),BF43,NA())</f>
        <v/>
      </c>
      <c r="BM43" s="345">
        <f>IF(ISNUMBER(AF43),AF43,NA())</f>
        <v/>
      </c>
      <c r="BN43" s="345">
        <f>IF(ISNUMBER(BI43),BI43,NA())</f>
        <v/>
      </c>
      <c r="BO43" s="345">
        <f>IF(ISNUMBER(AL43),AL43,NA())</f>
        <v/>
      </c>
      <c r="BP43" s="345">
        <f>IF(ISNUMBER(AM43),AM43,NA())</f>
        <v/>
      </c>
      <c r="BQ43" s="345">
        <f>IF(ISNUMBER(AN43),AN43,NA())</f>
        <v/>
      </c>
    </row>
    <row r="44">
      <c r="A44" s="358">
        <f>IF('Nov 2026'!N7="","",'Nov 2026'!N7)</f>
        <v/>
      </c>
      <c r="B44" s="345" t="n">
        <v>2</v>
      </c>
      <c r="C44" s="345">
        <f>IF($A44="","",10)</f>
        <v/>
      </c>
      <c r="D44" s="345">
        <f>IF($A44="","",WEEKDAY($A44,2))</f>
        <v/>
      </c>
      <c r="E44" s="345">
        <f>IF($A44="","",UPPER(TRIM('Nov 2026'!N8)))</f>
        <v/>
      </c>
      <c r="F44" s="345">
        <f>IF($A44="","",IF(OR('Nov 2026'!N10=TRUE,'Nov 2026'!N10="x",'Nov 2026'!N10="X"),1,0))</f>
        <v/>
      </c>
      <c r="G44" s="345">
        <f>IF($A44="","",IF(OR('Nov 2026'!N11=TRUE,'Nov 2026'!N11="x",'Nov 2026'!N11="X"),1,0))</f>
        <v/>
      </c>
      <c r="H44" s="345">
        <f>IF($A44="","",IF(OR('Nov 2026'!N12=TRUE,'Nov 2026'!N12="x",'Nov 2026'!N12="X"),1,0))</f>
        <v/>
      </c>
      <c r="I44" s="345">
        <f>IF($A44="","",IF(OR('Nov 2026'!N13=TRUE,'Nov 2026'!N13="x",'Nov 2026'!N13="X"),1,0))</f>
        <v/>
      </c>
      <c r="J44" s="345">
        <f>IF($A44="","",IF(OR('Nov 2026'!N14=TRUE,'Nov 2026'!N14="x",'Nov 2026'!N14="X"),1,0))</f>
        <v/>
      </c>
      <c r="K44" s="345">
        <f>IF($A44="","",IF(OR('Nov 2026'!N15=TRUE,'Nov 2026'!N15="x",'Nov 2026'!N15="X"),1,0))</f>
        <v/>
      </c>
      <c r="L44" s="345">
        <f>IF($A44="","",IF(OR('Nov 2026'!N16=TRUE,'Nov 2026'!N16="x",'Nov 2026'!N16="X"),1,0))</f>
        <v/>
      </c>
      <c r="M44" s="345">
        <f>IF($A44="","",IF(OR('Nov 2026'!N17=TRUE,'Nov 2026'!N17="x",'Nov 2026'!N17="X"),1,0))</f>
        <v/>
      </c>
      <c r="N44" s="345">
        <f>IF($A44="","",IF(OR('Nov 2026'!N18=TRUE,'Nov 2026'!N18="x",'Nov 2026'!N18="X"),1,0))</f>
        <v/>
      </c>
      <c r="O44" s="345">
        <f>IF($A44="","",IF(OR('Nov 2026'!N20=TRUE,'Nov 2026'!N20="x",'Nov 2026'!N20="X"),1,0))</f>
        <v/>
      </c>
      <c r="P44" s="345">
        <f>IF($A44="","",IF(OR('Nov 2026'!N21=TRUE,'Nov 2026'!N21="x",'Nov 2026'!N21="X"),1,0))</f>
        <v/>
      </c>
      <c r="Q44" s="345">
        <f>IF($A44="","",IF(OR('Nov 2026'!N22=TRUE,'Nov 2026'!N22="x",'Nov 2026'!N22="X"),1,0))</f>
        <v/>
      </c>
      <c r="R44" s="345">
        <f>IF($A44="","",IF(OR('Nov 2026'!N23=TRUE,'Nov 2026'!N23="x",'Nov 2026'!N23="X"),1,0))</f>
        <v/>
      </c>
      <c r="S44" s="345">
        <f>IF($A44="","",IF(OR('Nov 2026'!N24=TRUE,'Nov 2026'!N24="x",'Nov 2026'!N24="X"),1,0))</f>
        <v/>
      </c>
      <c r="T44" s="345">
        <f>IF($A44="","",IF(OR('Nov 2026'!N25=TRUE,'Nov 2026'!N25="x",'Nov 2026'!N25="X"),1,0))</f>
        <v/>
      </c>
      <c r="U44" s="345">
        <f>IF($A44="","",IF(OR('Nov 2026'!N26=TRUE,'Nov 2026'!N26="x",'Nov 2026'!N26="X"),1,0))</f>
        <v/>
      </c>
      <c r="V44" s="345">
        <f>IF($A44="","",IF(OR('Nov 2026'!N27=TRUE,'Nov 2026'!N27="x",'Nov 2026'!N27="X"),1,0))</f>
        <v/>
      </c>
      <c r="W44" s="345">
        <f>IF($A44="","",IF(OR('Nov 2026'!N28=TRUE,'Nov 2026'!N28="x",'Nov 2026'!N28="X"),1,0))</f>
        <v/>
      </c>
      <c r="X44" s="345">
        <f>IF($A44="","",IF(OR('Nov 2026'!N29=TRUE,'Nov 2026'!N29="x",'Nov 2026'!N29="X"),1,0))</f>
        <v/>
      </c>
      <c r="Y44" s="345">
        <f>IF($A44="","",IF(OR('Nov 2026'!N30=TRUE,'Nov 2026'!N30="x",'Nov 2026'!N30="X"),1,0))</f>
        <v/>
      </c>
      <c r="Z44" s="345">
        <f>IF($A44="","",IF(OR('Nov 2026'!N31=TRUE,'Nov 2026'!N31="x",'Nov 2026'!N31="X"),1,0))</f>
        <v/>
      </c>
      <c r="AA44" s="345">
        <f>IF($A44="","",IF(OR('Nov 2026'!N32=TRUE,'Nov 2026'!N32="x",'Nov 2026'!N32="X"),1,0))</f>
        <v/>
      </c>
      <c r="AB44" s="345">
        <f>IF($A44="","",IF(OR('Nov 2026'!N34=TRUE,'Nov 2026'!N34="x",'Nov 2026'!N34="X"),1,0))</f>
        <v/>
      </c>
      <c r="AC44" s="345">
        <f>IF($A44="","",IF(OR('Nov 2026'!N35=TRUE,'Nov 2026'!N35="x",'Nov 2026'!N35="X"),1,0))</f>
        <v/>
      </c>
      <c r="AD44" s="345">
        <f>IF($A44="","",IF(OR('Nov 2026'!N36=TRUE,'Nov 2026'!N36="x",'Nov 2026'!N36="X"),1,0))</f>
        <v/>
      </c>
      <c r="AE44" s="345">
        <f>IF($A44="","",IF(OR('Nov 2026'!N37=TRUE,'Nov 2026'!N37="x",'Nov 2026'!N37="X"),1,0))</f>
        <v/>
      </c>
      <c r="AF44" s="345">
        <f>IF($A44="","",IF('Nov 2026'!N59="","",'Nov 2026'!N59))</f>
        <v/>
      </c>
      <c r="AG44" s="345">
        <f>IF($A44="","",IF('Nov 2026'!N60="","",'Nov 2026'!N60))</f>
        <v/>
      </c>
      <c r="AH44" s="345">
        <f>IF($A44="","",IF('Nov 2026'!N61="","",'Nov 2026'!N61))</f>
        <v/>
      </c>
      <c r="AI44" s="345">
        <f>IF($A44="","",IF('Nov 2026'!N62="","",'Nov 2026'!N62))</f>
        <v/>
      </c>
      <c r="AJ44" s="345">
        <f>IF($A44="","",IF('Nov 2026'!N63="","",'Nov 2026'!N63))</f>
        <v/>
      </c>
      <c r="AK44" s="345">
        <f>IF($A44="","",IF('Nov 2026'!N64="","",'Nov 2026'!N64))</f>
        <v/>
      </c>
      <c r="AL44" s="345">
        <f>IF($A44="","",IF('Nov 2026'!N65="","",'Nov 2026'!N65))</f>
        <v/>
      </c>
      <c r="AM44" s="345">
        <f>IF($A44="","",IF('Nov 2026'!N66="","",'Nov 2026'!N66))</f>
        <v/>
      </c>
      <c r="AN44" s="345">
        <f>IF($A44="","",IF('Nov 2026'!N67="","",'Nov 2026'!N67))</f>
        <v/>
      </c>
      <c r="AO44" s="345">
        <f>IF($A44="",0,IF(AND($A44&gt;=TrackStart,$A44&lt;=TODAY()),1,0))</f>
        <v/>
      </c>
      <c r="AP44" s="345">
        <f>IF($A44="",0,IF(SUM(F44:AE44)+COUNT(AF44:AN44)&gt;0,1,0))</f>
        <v/>
      </c>
      <c r="AQ44" s="345">
        <f>IF($A44="","",INT(($A44-TrackStart)/7)+1)</f>
        <v/>
      </c>
      <c r="AR44" s="345">
        <f>IF($A44="","",IF(AQ44&lt;=1,Steps1,IF(AQ44=2,Steps2,Steps3)))</f>
        <v/>
      </c>
      <c r="AS44" s="345">
        <f>IF($A44="",0,IF(ISNUMBER(SEARCH(TEXT(D44,"0"),WorkDays&amp;"")),1,0))</f>
        <v/>
      </c>
      <c r="AT44" s="345">
        <f>IF($A44="",0,IF(ISNUMBER(SEARCH(TEXT(D44,"0"),StrDays&amp;"")),1,0))</f>
        <v/>
      </c>
      <c r="AU44" s="345">
        <f>IF($A44="",0,IF(ISNUMBER(AK44),IF(AK44&gt;=SleepMin,1,0),N44))</f>
        <v/>
      </c>
      <c r="AV44" s="345">
        <f>IF($A44="",0,MAX(I44,O44,S44,AC44))</f>
        <v/>
      </c>
      <c r="AW44" s="345">
        <f>IF($A44="",0,IF(ISNUMBER(AH44),IF(AH44&gt;=ProtHit,1,0),0))</f>
        <v/>
      </c>
      <c r="AX44" s="345">
        <f>IF($A44="",0,IF(ISNUMBER(AI44),IF(AI44&gt;=WaterHit,1,0),0))</f>
        <v/>
      </c>
      <c r="AY44" s="345">
        <f>IF($A44="",0,IF(ISNUMBER(AG44),IF(AG44&gt;=AR44,1,0),0))</f>
        <v/>
      </c>
      <c r="AZ44" s="345">
        <f>IF($A44="",0,G44)</f>
        <v/>
      </c>
      <c r="BA44" s="345">
        <f>IF($A44="",0,J44)</f>
        <v/>
      </c>
      <c r="BB44" s="345">
        <f>IF($A44="",0,K44)</f>
        <v/>
      </c>
      <c r="BC44" s="345">
        <f>IF($A44="",0,MAX(L44,AE44))</f>
        <v/>
      </c>
      <c r="BD44" s="344">
        <f>IF($A44="","",(AU44+AV44+AW44+AX44+AY44+AZ44+BB44+BC44+IF(AS44=1,BA44,0))/(8+AS44))</f>
        <v/>
      </c>
      <c r="BE44" s="344">
        <f>IF($A44="","",(IF(ISNUMBER(AI44),IF(AI44&gt;=WaterMVD,1,0),0)+AV44+IF(ISNUMBER(AH44),IF(AH44&gt;=ProtMVD,1,0),0)+MAX(H44,AD44)+AZ44+BB44+AU44)/7)</f>
        <v/>
      </c>
      <c r="BF44" s="344">
        <f>IF(AO44=0,"",IF(E44="S","",IF(AND(AP44=0,$A44=TODAY()),"",IF(E44="M",BE44,BD44))))</f>
        <v/>
      </c>
      <c r="BG44" s="344">
        <f>IF(AO44=0,"",IFERROR(AVERAGEIFS(Data!$BF$4:$BF$375,Data!$A$4:$A$375,"&gt;"&amp;($A44-7),Data!$A$4:$A$375,"&lt;="&amp;$A44),""))</f>
        <v/>
      </c>
      <c r="BH44" s="344">
        <f>IF(AO44=0,"",IFERROR(AVERAGEIFS(Data!$BF$4:$BF$375,Data!$A$4:$A$375,"&gt;"&amp;($A44-30),Data!$A$4:$A$375,"&lt;="&amp;$A44),""))</f>
        <v/>
      </c>
      <c r="BI44" s="359">
        <f>IF($A44="","",IFERROR(AVERAGEIFS(Data!$AF$4:$AF$375,Data!$A$4:$A$375,"&gt;"&amp;($A44-7),Data!$A$4:$A$375,"&lt;="&amp;$A44,Data!$AF$4:$AF$375,"&gt;0"),""))</f>
        <v/>
      </c>
      <c r="BJ44" s="345">
        <f>IF($A44="","",F44+G44+H44+I44+J44+K44+L44+M44+N44-IF(AS44=1,0,J44))</f>
        <v/>
      </c>
      <c r="BK44" s="345">
        <f>IF($A44="","",8+AS44)</f>
        <v/>
      </c>
      <c r="BL44" s="345">
        <f>IF(ISNUMBER(BF44),BF44,NA())</f>
        <v/>
      </c>
      <c r="BM44" s="345">
        <f>IF(ISNUMBER(AF44),AF44,NA())</f>
        <v/>
      </c>
      <c r="BN44" s="345">
        <f>IF(ISNUMBER(BI44),BI44,NA())</f>
        <v/>
      </c>
      <c r="BO44" s="345">
        <f>IF(ISNUMBER(AL44),AL44,NA())</f>
        <v/>
      </c>
      <c r="BP44" s="345">
        <f>IF(ISNUMBER(AM44),AM44,NA())</f>
        <v/>
      </c>
      <c r="BQ44" s="345">
        <f>IF(ISNUMBER(AN44),AN44,NA())</f>
        <v/>
      </c>
    </row>
    <row r="45">
      <c r="A45" s="358">
        <f>IF('Nov 2026'!O7="","",'Nov 2026'!O7)</f>
        <v/>
      </c>
      <c r="B45" s="345" t="n">
        <v>2</v>
      </c>
      <c r="C45" s="345">
        <f>IF($A45="","",11)</f>
        <v/>
      </c>
      <c r="D45" s="345">
        <f>IF($A45="","",WEEKDAY($A45,2))</f>
        <v/>
      </c>
      <c r="E45" s="345">
        <f>IF($A45="","",UPPER(TRIM('Nov 2026'!O8)))</f>
        <v/>
      </c>
      <c r="F45" s="345">
        <f>IF($A45="","",IF(OR('Nov 2026'!O10=TRUE,'Nov 2026'!O10="x",'Nov 2026'!O10="X"),1,0))</f>
        <v/>
      </c>
      <c r="G45" s="345">
        <f>IF($A45="","",IF(OR('Nov 2026'!O11=TRUE,'Nov 2026'!O11="x",'Nov 2026'!O11="X"),1,0))</f>
        <v/>
      </c>
      <c r="H45" s="345">
        <f>IF($A45="","",IF(OR('Nov 2026'!O12=TRUE,'Nov 2026'!O12="x",'Nov 2026'!O12="X"),1,0))</f>
        <v/>
      </c>
      <c r="I45" s="345">
        <f>IF($A45="","",IF(OR('Nov 2026'!O13=TRUE,'Nov 2026'!O13="x",'Nov 2026'!O13="X"),1,0))</f>
        <v/>
      </c>
      <c r="J45" s="345">
        <f>IF($A45="","",IF(OR('Nov 2026'!O14=TRUE,'Nov 2026'!O14="x",'Nov 2026'!O14="X"),1,0))</f>
        <v/>
      </c>
      <c r="K45" s="345">
        <f>IF($A45="","",IF(OR('Nov 2026'!O15=TRUE,'Nov 2026'!O15="x",'Nov 2026'!O15="X"),1,0))</f>
        <v/>
      </c>
      <c r="L45" s="345">
        <f>IF($A45="","",IF(OR('Nov 2026'!O16=TRUE,'Nov 2026'!O16="x",'Nov 2026'!O16="X"),1,0))</f>
        <v/>
      </c>
      <c r="M45" s="345">
        <f>IF($A45="","",IF(OR('Nov 2026'!O17=TRUE,'Nov 2026'!O17="x",'Nov 2026'!O17="X"),1,0))</f>
        <v/>
      </c>
      <c r="N45" s="345">
        <f>IF($A45="","",IF(OR('Nov 2026'!O18=TRUE,'Nov 2026'!O18="x",'Nov 2026'!O18="X"),1,0))</f>
        <v/>
      </c>
      <c r="O45" s="345">
        <f>IF($A45="","",IF(OR('Nov 2026'!O20=TRUE,'Nov 2026'!O20="x",'Nov 2026'!O20="X"),1,0))</f>
        <v/>
      </c>
      <c r="P45" s="345">
        <f>IF($A45="","",IF(OR('Nov 2026'!O21=TRUE,'Nov 2026'!O21="x",'Nov 2026'!O21="X"),1,0))</f>
        <v/>
      </c>
      <c r="Q45" s="345">
        <f>IF($A45="","",IF(OR('Nov 2026'!O22=TRUE,'Nov 2026'!O22="x",'Nov 2026'!O22="X"),1,0))</f>
        <v/>
      </c>
      <c r="R45" s="345">
        <f>IF($A45="","",IF(OR('Nov 2026'!O23=TRUE,'Nov 2026'!O23="x",'Nov 2026'!O23="X"),1,0))</f>
        <v/>
      </c>
      <c r="S45" s="345">
        <f>IF($A45="","",IF(OR('Nov 2026'!O24=TRUE,'Nov 2026'!O24="x",'Nov 2026'!O24="X"),1,0))</f>
        <v/>
      </c>
      <c r="T45" s="345">
        <f>IF($A45="","",IF(OR('Nov 2026'!O25=TRUE,'Nov 2026'!O25="x",'Nov 2026'!O25="X"),1,0))</f>
        <v/>
      </c>
      <c r="U45" s="345">
        <f>IF($A45="","",IF(OR('Nov 2026'!O26=TRUE,'Nov 2026'!O26="x",'Nov 2026'!O26="X"),1,0))</f>
        <v/>
      </c>
      <c r="V45" s="345">
        <f>IF($A45="","",IF(OR('Nov 2026'!O27=TRUE,'Nov 2026'!O27="x",'Nov 2026'!O27="X"),1,0))</f>
        <v/>
      </c>
      <c r="W45" s="345">
        <f>IF($A45="","",IF(OR('Nov 2026'!O28=TRUE,'Nov 2026'!O28="x",'Nov 2026'!O28="X"),1,0))</f>
        <v/>
      </c>
      <c r="X45" s="345">
        <f>IF($A45="","",IF(OR('Nov 2026'!O29=TRUE,'Nov 2026'!O29="x",'Nov 2026'!O29="X"),1,0))</f>
        <v/>
      </c>
      <c r="Y45" s="345">
        <f>IF($A45="","",IF(OR('Nov 2026'!O30=TRUE,'Nov 2026'!O30="x",'Nov 2026'!O30="X"),1,0))</f>
        <v/>
      </c>
      <c r="Z45" s="345">
        <f>IF($A45="","",IF(OR('Nov 2026'!O31=TRUE,'Nov 2026'!O31="x",'Nov 2026'!O31="X"),1,0))</f>
        <v/>
      </c>
      <c r="AA45" s="345">
        <f>IF($A45="","",IF(OR('Nov 2026'!O32=TRUE,'Nov 2026'!O32="x",'Nov 2026'!O32="X"),1,0))</f>
        <v/>
      </c>
      <c r="AB45" s="345">
        <f>IF($A45="","",IF(OR('Nov 2026'!O34=TRUE,'Nov 2026'!O34="x",'Nov 2026'!O34="X"),1,0))</f>
        <v/>
      </c>
      <c r="AC45" s="345">
        <f>IF($A45="","",IF(OR('Nov 2026'!O35=TRUE,'Nov 2026'!O35="x",'Nov 2026'!O35="X"),1,0))</f>
        <v/>
      </c>
      <c r="AD45" s="345">
        <f>IF($A45="","",IF(OR('Nov 2026'!O36=TRUE,'Nov 2026'!O36="x",'Nov 2026'!O36="X"),1,0))</f>
        <v/>
      </c>
      <c r="AE45" s="345">
        <f>IF($A45="","",IF(OR('Nov 2026'!O37=TRUE,'Nov 2026'!O37="x",'Nov 2026'!O37="X"),1,0))</f>
        <v/>
      </c>
      <c r="AF45" s="345">
        <f>IF($A45="","",IF('Nov 2026'!O59="","",'Nov 2026'!O59))</f>
        <v/>
      </c>
      <c r="AG45" s="345">
        <f>IF($A45="","",IF('Nov 2026'!O60="","",'Nov 2026'!O60))</f>
        <v/>
      </c>
      <c r="AH45" s="345">
        <f>IF($A45="","",IF('Nov 2026'!O61="","",'Nov 2026'!O61))</f>
        <v/>
      </c>
      <c r="AI45" s="345">
        <f>IF($A45="","",IF('Nov 2026'!O62="","",'Nov 2026'!O62))</f>
        <v/>
      </c>
      <c r="AJ45" s="345">
        <f>IF($A45="","",IF('Nov 2026'!O63="","",'Nov 2026'!O63))</f>
        <v/>
      </c>
      <c r="AK45" s="345">
        <f>IF($A45="","",IF('Nov 2026'!O64="","",'Nov 2026'!O64))</f>
        <v/>
      </c>
      <c r="AL45" s="345">
        <f>IF($A45="","",IF('Nov 2026'!O65="","",'Nov 2026'!O65))</f>
        <v/>
      </c>
      <c r="AM45" s="345">
        <f>IF($A45="","",IF('Nov 2026'!O66="","",'Nov 2026'!O66))</f>
        <v/>
      </c>
      <c r="AN45" s="345">
        <f>IF($A45="","",IF('Nov 2026'!O67="","",'Nov 2026'!O67))</f>
        <v/>
      </c>
      <c r="AO45" s="345">
        <f>IF($A45="",0,IF(AND($A45&gt;=TrackStart,$A45&lt;=TODAY()),1,0))</f>
        <v/>
      </c>
      <c r="AP45" s="345">
        <f>IF($A45="",0,IF(SUM(F45:AE45)+COUNT(AF45:AN45)&gt;0,1,0))</f>
        <v/>
      </c>
      <c r="AQ45" s="345">
        <f>IF($A45="","",INT(($A45-TrackStart)/7)+1)</f>
        <v/>
      </c>
      <c r="AR45" s="345">
        <f>IF($A45="","",IF(AQ45&lt;=1,Steps1,IF(AQ45=2,Steps2,Steps3)))</f>
        <v/>
      </c>
      <c r="AS45" s="345">
        <f>IF($A45="",0,IF(ISNUMBER(SEARCH(TEXT(D45,"0"),WorkDays&amp;"")),1,0))</f>
        <v/>
      </c>
      <c r="AT45" s="345">
        <f>IF($A45="",0,IF(ISNUMBER(SEARCH(TEXT(D45,"0"),StrDays&amp;"")),1,0))</f>
        <v/>
      </c>
      <c r="AU45" s="345">
        <f>IF($A45="",0,IF(ISNUMBER(AK45),IF(AK45&gt;=SleepMin,1,0),N45))</f>
        <v/>
      </c>
      <c r="AV45" s="345">
        <f>IF($A45="",0,MAX(I45,O45,S45,AC45))</f>
        <v/>
      </c>
      <c r="AW45" s="345">
        <f>IF($A45="",0,IF(ISNUMBER(AH45),IF(AH45&gt;=ProtHit,1,0),0))</f>
        <v/>
      </c>
      <c r="AX45" s="345">
        <f>IF($A45="",0,IF(ISNUMBER(AI45),IF(AI45&gt;=WaterHit,1,0),0))</f>
        <v/>
      </c>
      <c r="AY45" s="345">
        <f>IF($A45="",0,IF(ISNUMBER(AG45),IF(AG45&gt;=AR45,1,0),0))</f>
        <v/>
      </c>
      <c r="AZ45" s="345">
        <f>IF($A45="",0,G45)</f>
        <v/>
      </c>
      <c r="BA45" s="345">
        <f>IF($A45="",0,J45)</f>
        <v/>
      </c>
      <c r="BB45" s="345">
        <f>IF($A45="",0,K45)</f>
        <v/>
      </c>
      <c r="BC45" s="345">
        <f>IF($A45="",0,MAX(L45,AE45))</f>
        <v/>
      </c>
      <c r="BD45" s="344">
        <f>IF($A45="","",(AU45+AV45+AW45+AX45+AY45+AZ45+BB45+BC45+IF(AS45=1,BA45,0))/(8+AS45))</f>
        <v/>
      </c>
      <c r="BE45" s="344">
        <f>IF($A45="","",(IF(ISNUMBER(AI45),IF(AI45&gt;=WaterMVD,1,0),0)+AV45+IF(ISNUMBER(AH45),IF(AH45&gt;=ProtMVD,1,0),0)+MAX(H45,AD45)+AZ45+BB45+AU45)/7)</f>
        <v/>
      </c>
      <c r="BF45" s="344">
        <f>IF(AO45=0,"",IF(E45="S","",IF(AND(AP45=0,$A45=TODAY()),"",IF(E45="M",BE45,BD45))))</f>
        <v/>
      </c>
      <c r="BG45" s="344">
        <f>IF(AO45=0,"",IFERROR(AVERAGEIFS(Data!$BF$4:$BF$375,Data!$A$4:$A$375,"&gt;"&amp;($A45-7),Data!$A$4:$A$375,"&lt;="&amp;$A45),""))</f>
        <v/>
      </c>
      <c r="BH45" s="344">
        <f>IF(AO45=0,"",IFERROR(AVERAGEIFS(Data!$BF$4:$BF$375,Data!$A$4:$A$375,"&gt;"&amp;($A45-30),Data!$A$4:$A$375,"&lt;="&amp;$A45),""))</f>
        <v/>
      </c>
      <c r="BI45" s="359">
        <f>IF($A45="","",IFERROR(AVERAGEIFS(Data!$AF$4:$AF$375,Data!$A$4:$A$375,"&gt;"&amp;($A45-7),Data!$A$4:$A$375,"&lt;="&amp;$A45,Data!$AF$4:$AF$375,"&gt;0"),""))</f>
        <v/>
      </c>
      <c r="BJ45" s="345">
        <f>IF($A45="","",F45+G45+H45+I45+J45+K45+L45+M45+N45-IF(AS45=1,0,J45))</f>
        <v/>
      </c>
      <c r="BK45" s="345">
        <f>IF($A45="","",8+AS45)</f>
        <v/>
      </c>
      <c r="BL45" s="345">
        <f>IF(ISNUMBER(BF45),BF45,NA())</f>
        <v/>
      </c>
      <c r="BM45" s="345">
        <f>IF(ISNUMBER(AF45),AF45,NA())</f>
        <v/>
      </c>
      <c r="BN45" s="345">
        <f>IF(ISNUMBER(BI45),BI45,NA())</f>
        <v/>
      </c>
      <c r="BO45" s="345">
        <f>IF(ISNUMBER(AL45),AL45,NA())</f>
        <v/>
      </c>
      <c r="BP45" s="345">
        <f>IF(ISNUMBER(AM45),AM45,NA())</f>
        <v/>
      </c>
      <c r="BQ45" s="345">
        <f>IF(ISNUMBER(AN45),AN45,NA())</f>
        <v/>
      </c>
    </row>
    <row r="46">
      <c r="A46" s="358">
        <f>IF('Nov 2026'!P7="","",'Nov 2026'!P7)</f>
        <v/>
      </c>
      <c r="B46" s="345" t="n">
        <v>2</v>
      </c>
      <c r="C46" s="345">
        <f>IF($A46="","",12)</f>
        <v/>
      </c>
      <c r="D46" s="345">
        <f>IF($A46="","",WEEKDAY($A46,2))</f>
        <v/>
      </c>
      <c r="E46" s="345">
        <f>IF($A46="","",UPPER(TRIM('Nov 2026'!P8)))</f>
        <v/>
      </c>
      <c r="F46" s="345">
        <f>IF($A46="","",IF(OR('Nov 2026'!P10=TRUE,'Nov 2026'!P10="x",'Nov 2026'!P10="X"),1,0))</f>
        <v/>
      </c>
      <c r="G46" s="345">
        <f>IF($A46="","",IF(OR('Nov 2026'!P11=TRUE,'Nov 2026'!P11="x",'Nov 2026'!P11="X"),1,0))</f>
        <v/>
      </c>
      <c r="H46" s="345">
        <f>IF($A46="","",IF(OR('Nov 2026'!P12=TRUE,'Nov 2026'!P12="x",'Nov 2026'!P12="X"),1,0))</f>
        <v/>
      </c>
      <c r="I46" s="345">
        <f>IF($A46="","",IF(OR('Nov 2026'!P13=TRUE,'Nov 2026'!P13="x",'Nov 2026'!P13="X"),1,0))</f>
        <v/>
      </c>
      <c r="J46" s="345">
        <f>IF($A46="","",IF(OR('Nov 2026'!P14=TRUE,'Nov 2026'!P14="x",'Nov 2026'!P14="X"),1,0))</f>
        <v/>
      </c>
      <c r="K46" s="345">
        <f>IF($A46="","",IF(OR('Nov 2026'!P15=TRUE,'Nov 2026'!P15="x",'Nov 2026'!P15="X"),1,0))</f>
        <v/>
      </c>
      <c r="L46" s="345">
        <f>IF($A46="","",IF(OR('Nov 2026'!P16=TRUE,'Nov 2026'!P16="x",'Nov 2026'!P16="X"),1,0))</f>
        <v/>
      </c>
      <c r="M46" s="345">
        <f>IF($A46="","",IF(OR('Nov 2026'!P17=TRUE,'Nov 2026'!P17="x",'Nov 2026'!P17="X"),1,0))</f>
        <v/>
      </c>
      <c r="N46" s="345">
        <f>IF($A46="","",IF(OR('Nov 2026'!P18=TRUE,'Nov 2026'!P18="x",'Nov 2026'!P18="X"),1,0))</f>
        <v/>
      </c>
      <c r="O46" s="345">
        <f>IF($A46="","",IF(OR('Nov 2026'!P20=TRUE,'Nov 2026'!P20="x",'Nov 2026'!P20="X"),1,0))</f>
        <v/>
      </c>
      <c r="P46" s="345">
        <f>IF($A46="","",IF(OR('Nov 2026'!P21=TRUE,'Nov 2026'!P21="x",'Nov 2026'!P21="X"),1,0))</f>
        <v/>
      </c>
      <c r="Q46" s="345">
        <f>IF($A46="","",IF(OR('Nov 2026'!P22=TRUE,'Nov 2026'!P22="x",'Nov 2026'!P22="X"),1,0))</f>
        <v/>
      </c>
      <c r="R46" s="345">
        <f>IF($A46="","",IF(OR('Nov 2026'!P23=TRUE,'Nov 2026'!P23="x",'Nov 2026'!P23="X"),1,0))</f>
        <v/>
      </c>
      <c r="S46" s="345">
        <f>IF($A46="","",IF(OR('Nov 2026'!P24=TRUE,'Nov 2026'!P24="x",'Nov 2026'!P24="X"),1,0))</f>
        <v/>
      </c>
      <c r="T46" s="345">
        <f>IF($A46="","",IF(OR('Nov 2026'!P25=TRUE,'Nov 2026'!P25="x",'Nov 2026'!P25="X"),1,0))</f>
        <v/>
      </c>
      <c r="U46" s="345">
        <f>IF($A46="","",IF(OR('Nov 2026'!P26=TRUE,'Nov 2026'!P26="x",'Nov 2026'!P26="X"),1,0))</f>
        <v/>
      </c>
      <c r="V46" s="345">
        <f>IF($A46="","",IF(OR('Nov 2026'!P27=TRUE,'Nov 2026'!P27="x",'Nov 2026'!P27="X"),1,0))</f>
        <v/>
      </c>
      <c r="W46" s="345">
        <f>IF($A46="","",IF(OR('Nov 2026'!P28=TRUE,'Nov 2026'!P28="x",'Nov 2026'!P28="X"),1,0))</f>
        <v/>
      </c>
      <c r="X46" s="345">
        <f>IF($A46="","",IF(OR('Nov 2026'!P29=TRUE,'Nov 2026'!P29="x",'Nov 2026'!P29="X"),1,0))</f>
        <v/>
      </c>
      <c r="Y46" s="345">
        <f>IF($A46="","",IF(OR('Nov 2026'!P30=TRUE,'Nov 2026'!P30="x",'Nov 2026'!P30="X"),1,0))</f>
        <v/>
      </c>
      <c r="Z46" s="345">
        <f>IF($A46="","",IF(OR('Nov 2026'!P31=TRUE,'Nov 2026'!P31="x",'Nov 2026'!P31="X"),1,0))</f>
        <v/>
      </c>
      <c r="AA46" s="345">
        <f>IF($A46="","",IF(OR('Nov 2026'!P32=TRUE,'Nov 2026'!P32="x",'Nov 2026'!P32="X"),1,0))</f>
        <v/>
      </c>
      <c r="AB46" s="345">
        <f>IF($A46="","",IF(OR('Nov 2026'!P34=TRUE,'Nov 2026'!P34="x",'Nov 2026'!P34="X"),1,0))</f>
        <v/>
      </c>
      <c r="AC46" s="345">
        <f>IF($A46="","",IF(OR('Nov 2026'!P35=TRUE,'Nov 2026'!P35="x",'Nov 2026'!P35="X"),1,0))</f>
        <v/>
      </c>
      <c r="AD46" s="345">
        <f>IF($A46="","",IF(OR('Nov 2026'!P36=TRUE,'Nov 2026'!P36="x",'Nov 2026'!P36="X"),1,0))</f>
        <v/>
      </c>
      <c r="AE46" s="345">
        <f>IF($A46="","",IF(OR('Nov 2026'!P37=TRUE,'Nov 2026'!P37="x",'Nov 2026'!P37="X"),1,0))</f>
        <v/>
      </c>
      <c r="AF46" s="345">
        <f>IF($A46="","",IF('Nov 2026'!P59="","",'Nov 2026'!P59))</f>
        <v/>
      </c>
      <c r="AG46" s="345">
        <f>IF($A46="","",IF('Nov 2026'!P60="","",'Nov 2026'!P60))</f>
        <v/>
      </c>
      <c r="AH46" s="345">
        <f>IF($A46="","",IF('Nov 2026'!P61="","",'Nov 2026'!P61))</f>
        <v/>
      </c>
      <c r="AI46" s="345">
        <f>IF($A46="","",IF('Nov 2026'!P62="","",'Nov 2026'!P62))</f>
        <v/>
      </c>
      <c r="AJ46" s="345">
        <f>IF($A46="","",IF('Nov 2026'!P63="","",'Nov 2026'!P63))</f>
        <v/>
      </c>
      <c r="AK46" s="345">
        <f>IF($A46="","",IF('Nov 2026'!P64="","",'Nov 2026'!P64))</f>
        <v/>
      </c>
      <c r="AL46" s="345">
        <f>IF($A46="","",IF('Nov 2026'!P65="","",'Nov 2026'!P65))</f>
        <v/>
      </c>
      <c r="AM46" s="345">
        <f>IF($A46="","",IF('Nov 2026'!P66="","",'Nov 2026'!P66))</f>
        <v/>
      </c>
      <c r="AN46" s="345">
        <f>IF($A46="","",IF('Nov 2026'!P67="","",'Nov 2026'!P67))</f>
        <v/>
      </c>
      <c r="AO46" s="345">
        <f>IF($A46="",0,IF(AND($A46&gt;=TrackStart,$A46&lt;=TODAY()),1,0))</f>
        <v/>
      </c>
      <c r="AP46" s="345">
        <f>IF($A46="",0,IF(SUM(F46:AE46)+COUNT(AF46:AN46)&gt;0,1,0))</f>
        <v/>
      </c>
      <c r="AQ46" s="345">
        <f>IF($A46="","",INT(($A46-TrackStart)/7)+1)</f>
        <v/>
      </c>
      <c r="AR46" s="345">
        <f>IF($A46="","",IF(AQ46&lt;=1,Steps1,IF(AQ46=2,Steps2,Steps3)))</f>
        <v/>
      </c>
      <c r="AS46" s="345">
        <f>IF($A46="",0,IF(ISNUMBER(SEARCH(TEXT(D46,"0"),WorkDays&amp;"")),1,0))</f>
        <v/>
      </c>
      <c r="AT46" s="345">
        <f>IF($A46="",0,IF(ISNUMBER(SEARCH(TEXT(D46,"0"),StrDays&amp;"")),1,0))</f>
        <v/>
      </c>
      <c r="AU46" s="345">
        <f>IF($A46="",0,IF(ISNUMBER(AK46),IF(AK46&gt;=SleepMin,1,0),N46))</f>
        <v/>
      </c>
      <c r="AV46" s="345">
        <f>IF($A46="",0,MAX(I46,O46,S46,AC46))</f>
        <v/>
      </c>
      <c r="AW46" s="345">
        <f>IF($A46="",0,IF(ISNUMBER(AH46),IF(AH46&gt;=ProtHit,1,0),0))</f>
        <v/>
      </c>
      <c r="AX46" s="345">
        <f>IF($A46="",0,IF(ISNUMBER(AI46),IF(AI46&gt;=WaterHit,1,0),0))</f>
        <v/>
      </c>
      <c r="AY46" s="345">
        <f>IF($A46="",0,IF(ISNUMBER(AG46),IF(AG46&gt;=AR46,1,0),0))</f>
        <v/>
      </c>
      <c r="AZ46" s="345">
        <f>IF($A46="",0,G46)</f>
        <v/>
      </c>
      <c r="BA46" s="345">
        <f>IF($A46="",0,J46)</f>
        <v/>
      </c>
      <c r="BB46" s="345">
        <f>IF($A46="",0,K46)</f>
        <v/>
      </c>
      <c r="BC46" s="345">
        <f>IF($A46="",0,MAX(L46,AE46))</f>
        <v/>
      </c>
      <c r="BD46" s="344">
        <f>IF($A46="","",(AU46+AV46+AW46+AX46+AY46+AZ46+BB46+BC46+IF(AS46=1,BA46,0))/(8+AS46))</f>
        <v/>
      </c>
      <c r="BE46" s="344">
        <f>IF($A46="","",(IF(ISNUMBER(AI46),IF(AI46&gt;=WaterMVD,1,0),0)+AV46+IF(ISNUMBER(AH46),IF(AH46&gt;=ProtMVD,1,0),0)+MAX(H46,AD46)+AZ46+BB46+AU46)/7)</f>
        <v/>
      </c>
      <c r="BF46" s="344">
        <f>IF(AO46=0,"",IF(E46="S","",IF(AND(AP46=0,$A46=TODAY()),"",IF(E46="M",BE46,BD46))))</f>
        <v/>
      </c>
      <c r="BG46" s="344">
        <f>IF(AO46=0,"",IFERROR(AVERAGEIFS(Data!$BF$4:$BF$375,Data!$A$4:$A$375,"&gt;"&amp;($A46-7),Data!$A$4:$A$375,"&lt;="&amp;$A46),""))</f>
        <v/>
      </c>
      <c r="BH46" s="344">
        <f>IF(AO46=0,"",IFERROR(AVERAGEIFS(Data!$BF$4:$BF$375,Data!$A$4:$A$375,"&gt;"&amp;($A46-30),Data!$A$4:$A$375,"&lt;="&amp;$A46),""))</f>
        <v/>
      </c>
      <c r="BI46" s="359">
        <f>IF($A46="","",IFERROR(AVERAGEIFS(Data!$AF$4:$AF$375,Data!$A$4:$A$375,"&gt;"&amp;($A46-7),Data!$A$4:$A$375,"&lt;="&amp;$A46,Data!$AF$4:$AF$375,"&gt;0"),""))</f>
        <v/>
      </c>
      <c r="BJ46" s="345">
        <f>IF($A46="","",F46+G46+H46+I46+J46+K46+L46+M46+N46-IF(AS46=1,0,J46))</f>
        <v/>
      </c>
      <c r="BK46" s="345">
        <f>IF($A46="","",8+AS46)</f>
        <v/>
      </c>
      <c r="BL46" s="345">
        <f>IF(ISNUMBER(BF46),BF46,NA())</f>
        <v/>
      </c>
      <c r="BM46" s="345">
        <f>IF(ISNUMBER(AF46),AF46,NA())</f>
        <v/>
      </c>
      <c r="BN46" s="345">
        <f>IF(ISNUMBER(BI46),BI46,NA())</f>
        <v/>
      </c>
      <c r="BO46" s="345">
        <f>IF(ISNUMBER(AL46),AL46,NA())</f>
        <v/>
      </c>
      <c r="BP46" s="345">
        <f>IF(ISNUMBER(AM46),AM46,NA())</f>
        <v/>
      </c>
      <c r="BQ46" s="345">
        <f>IF(ISNUMBER(AN46),AN46,NA())</f>
        <v/>
      </c>
    </row>
    <row r="47">
      <c r="A47" s="358">
        <f>IF('Nov 2026'!Q7="","",'Nov 2026'!Q7)</f>
        <v/>
      </c>
      <c r="B47" s="345" t="n">
        <v>2</v>
      </c>
      <c r="C47" s="345">
        <f>IF($A47="","",13)</f>
        <v/>
      </c>
      <c r="D47" s="345">
        <f>IF($A47="","",WEEKDAY($A47,2))</f>
        <v/>
      </c>
      <c r="E47" s="345">
        <f>IF($A47="","",UPPER(TRIM('Nov 2026'!Q8)))</f>
        <v/>
      </c>
      <c r="F47" s="345">
        <f>IF($A47="","",IF(OR('Nov 2026'!Q10=TRUE,'Nov 2026'!Q10="x",'Nov 2026'!Q10="X"),1,0))</f>
        <v/>
      </c>
      <c r="G47" s="345">
        <f>IF($A47="","",IF(OR('Nov 2026'!Q11=TRUE,'Nov 2026'!Q11="x",'Nov 2026'!Q11="X"),1,0))</f>
        <v/>
      </c>
      <c r="H47" s="345">
        <f>IF($A47="","",IF(OR('Nov 2026'!Q12=TRUE,'Nov 2026'!Q12="x",'Nov 2026'!Q12="X"),1,0))</f>
        <v/>
      </c>
      <c r="I47" s="345">
        <f>IF($A47="","",IF(OR('Nov 2026'!Q13=TRUE,'Nov 2026'!Q13="x",'Nov 2026'!Q13="X"),1,0))</f>
        <v/>
      </c>
      <c r="J47" s="345">
        <f>IF($A47="","",IF(OR('Nov 2026'!Q14=TRUE,'Nov 2026'!Q14="x",'Nov 2026'!Q14="X"),1,0))</f>
        <v/>
      </c>
      <c r="K47" s="345">
        <f>IF($A47="","",IF(OR('Nov 2026'!Q15=TRUE,'Nov 2026'!Q15="x",'Nov 2026'!Q15="X"),1,0))</f>
        <v/>
      </c>
      <c r="L47" s="345">
        <f>IF($A47="","",IF(OR('Nov 2026'!Q16=TRUE,'Nov 2026'!Q16="x",'Nov 2026'!Q16="X"),1,0))</f>
        <v/>
      </c>
      <c r="M47" s="345">
        <f>IF($A47="","",IF(OR('Nov 2026'!Q17=TRUE,'Nov 2026'!Q17="x",'Nov 2026'!Q17="X"),1,0))</f>
        <v/>
      </c>
      <c r="N47" s="345">
        <f>IF($A47="","",IF(OR('Nov 2026'!Q18=TRUE,'Nov 2026'!Q18="x",'Nov 2026'!Q18="X"),1,0))</f>
        <v/>
      </c>
      <c r="O47" s="345">
        <f>IF($A47="","",IF(OR('Nov 2026'!Q20=TRUE,'Nov 2026'!Q20="x",'Nov 2026'!Q20="X"),1,0))</f>
        <v/>
      </c>
      <c r="P47" s="345">
        <f>IF($A47="","",IF(OR('Nov 2026'!Q21=TRUE,'Nov 2026'!Q21="x",'Nov 2026'!Q21="X"),1,0))</f>
        <v/>
      </c>
      <c r="Q47" s="345">
        <f>IF($A47="","",IF(OR('Nov 2026'!Q22=TRUE,'Nov 2026'!Q22="x",'Nov 2026'!Q22="X"),1,0))</f>
        <v/>
      </c>
      <c r="R47" s="345">
        <f>IF($A47="","",IF(OR('Nov 2026'!Q23=TRUE,'Nov 2026'!Q23="x",'Nov 2026'!Q23="X"),1,0))</f>
        <v/>
      </c>
      <c r="S47" s="345">
        <f>IF($A47="","",IF(OR('Nov 2026'!Q24=TRUE,'Nov 2026'!Q24="x",'Nov 2026'!Q24="X"),1,0))</f>
        <v/>
      </c>
      <c r="T47" s="345">
        <f>IF($A47="","",IF(OR('Nov 2026'!Q25=TRUE,'Nov 2026'!Q25="x",'Nov 2026'!Q25="X"),1,0))</f>
        <v/>
      </c>
      <c r="U47" s="345">
        <f>IF($A47="","",IF(OR('Nov 2026'!Q26=TRUE,'Nov 2026'!Q26="x",'Nov 2026'!Q26="X"),1,0))</f>
        <v/>
      </c>
      <c r="V47" s="345">
        <f>IF($A47="","",IF(OR('Nov 2026'!Q27=TRUE,'Nov 2026'!Q27="x",'Nov 2026'!Q27="X"),1,0))</f>
        <v/>
      </c>
      <c r="W47" s="345">
        <f>IF($A47="","",IF(OR('Nov 2026'!Q28=TRUE,'Nov 2026'!Q28="x",'Nov 2026'!Q28="X"),1,0))</f>
        <v/>
      </c>
      <c r="X47" s="345">
        <f>IF($A47="","",IF(OR('Nov 2026'!Q29=TRUE,'Nov 2026'!Q29="x",'Nov 2026'!Q29="X"),1,0))</f>
        <v/>
      </c>
      <c r="Y47" s="345">
        <f>IF($A47="","",IF(OR('Nov 2026'!Q30=TRUE,'Nov 2026'!Q30="x",'Nov 2026'!Q30="X"),1,0))</f>
        <v/>
      </c>
      <c r="Z47" s="345">
        <f>IF($A47="","",IF(OR('Nov 2026'!Q31=TRUE,'Nov 2026'!Q31="x",'Nov 2026'!Q31="X"),1,0))</f>
        <v/>
      </c>
      <c r="AA47" s="345">
        <f>IF($A47="","",IF(OR('Nov 2026'!Q32=TRUE,'Nov 2026'!Q32="x",'Nov 2026'!Q32="X"),1,0))</f>
        <v/>
      </c>
      <c r="AB47" s="345">
        <f>IF($A47="","",IF(OR('Nov 2026'!Q34=TRUE,'Nov 2026'!Q34="x",'Nov 2026'!Q34="X"),1,0))</f>
        <v/>
      </c>
      <c r="AC47" s="345">
        <f>IF($A47="","",IF(OR('Nov 2026'!Q35=TRUE,'Nov 2026'!Q35="x",'Nov 2026'!Q35="X"),1,0))</f>
        <v/>
      </c>
      <c r="AD47" s="345">
        <f>IF($A47="","",IF(OR('Nov 2026'!Q36=TRUE,'Nov 2026'!Q36="x",'Nov 2026'!Q36="X"),1,0))</f>
        <v/>
      </c>
      <c r="AE47" s="345">
        <f>IF($A47="","",IF(OR('Nov 2026'!Q37=TRUE,'Nov 2026'!Q37="x",'Nov 2026'!Q37="X"),1,0))</f>
        <v/>
      </c>
      <c r="AF47" s="345">
        <f>IF($A47="","",IF('Nov 2026'!Q59="","",'Nov 2026'!Q59))</f>
        <v/>
      </c>
      <c r="AG47" s="345">
        <f>IF($A47="","",IF('Nov 2026'!Q60="","",'Nov 2026'!Q60))</f>
        <v/>
      </c>
      <c r="AH47" s="345">
        <f>IF($A47="","",IF('Nov 2026'!Q61="","",'Nov 2026'!Q61))</f>
        <v/>
      </c>
      <c r="AI47" s="345">
        <f>IF($A47="","",IF('Nov 2026'!Q62="","",'Nov 2026'!Q62))</f>
        <v/>
      </c>
      <c r="AJ47" s="345">
        <f>IF($A47="","",IF('Nov 2026'!Q63="","",'Nov 2026'!Q63))</f>
        <v/>
      </c>
      <c r="AK47" s="345">
        <f>IF($A47="","",IF('Nov 2026'!Q64="","",'Nov 2026'!Q64))</f>
        <v/>
      </c>
      <c r="AL47" s="345">
        <f>IF($A47="","",IF('Nov 2026'!Q65="","",'Nov 2026'!Q65))</f>
        <v/>
      </c>
      <c r="AM47" s="345">
        <f>IF($A47="","",IF('Nov 2026'!Q66="","",'Nov 2026'!Q66))</f>
        <v/>
      </c>
      <c r="AN47" s="345">
        <f>IF($A47="","",IF('Nov 2026'!Q67="","",'Nov 2026'!Q67))</f>
        <v/>
      </c>
      <c r="AO47" s="345">
        <f>IF($A47="",0,IF(AND($A47&gt;=TrackStart,$A47&lt;=TODAY()),1,0))</f>
        <v/>
      </c>
      <c r="AP47" s="345">
        <f>IF($A47="",0,IF(SUM(F47:AE47)+COUNT(AF47:AN47)&gt;0,1,0))</f>
        <v/>
      </c>
      <c r="AQ47" s="345">
        <f>IF($A47="","",INT(($A47-TrackStart)/7)+1)</f>
        <v/>
      </c>
      <c r="AR47" s="345">
        <f>IF($A47="","",IF(AQ47&lt;=1,Steps1,IF(AQ47=2,Steps2,Steps3)))</f>
        <v/>
      </c>
      <c r="AS47" s="345">
        <f>IF($A47="",0,IF(ISNUMBER(SEARCH(TEXT(D47,"0"),WorkDays&amp;"")),1,0))</f>
        <v/>
      </c>
      <c r="AT47" s="345">
        <f>IF($A47="",0,IF(ISNUMBER(SEARCH(TEXT(D47,"0"),StrDays&amp;"")),1,0))</f>
        <v/>
      </c>
      <c r="AU47" s="345">
        <f>IF($A47="",0,IF(ISNUMBER(AK47),IF(AK47&gt;=SleepMin,1,0),N47))</f>
        <v/>
      </c>
      <c r="AV47" s="345">
        <f>IF($A47="",0,MAX(I47,O47,S47,AC47))</f>
        <v/>
      </c>
      <c r="AW47" s="345">
        <f>IF($A47="",0,IF(ISNUMBER(AH47),IF(AH47&gt;=ProtHit,1,0),0))</f>
        <v/>
      </c>
      <c r="AX47" s="345">
        <f>IF($A47="",0,IF(ISNUMBER(AI47),IF(AI47&gt;=WaterHit,1,0),0))</f>
        <v/>
      </c>
      <c r="AY47" s="345">
        <f>IF($A47="",0,IF(ISNUMBER(AG47),IF(AG47&gt;=AR47,1,0),0))</f>
        <v/>
      </c>
      <c r="AZ47" s="345">
        <f>IF($A47="",0,G47)</f>
        <v/>
      </c>
      <c r="BA47" s="345">
        <f>IF($A47="",0,J47)</f>
        <v/>
      </c>
      <c r="BB47" s="345">
        <f>IF($A47="",0,K47)</f>
        <v/>
      </c>
      <c r="BC47" s="345">
        <f>IF($A47="",0,MAX(L47,AE47))</f>
        <v/>
      </c>
      <c r="BD47" s="344">
        <f>IF($A47="","",(AU47+AV47+AW47+AX47+AY47+AZ47+BB47+BC47+IF(AS47=1,BA47,0))/(8+AS47))</f>
        <v/>
      </c>
      <c r="BE47" s="344">
        <f>IF($A47="","",(IF(ISNUMBER(AI47),IF(AI47&gt;=WaterMVD,1,0),0)+AV47+IF(ISNUMBER(AH47),IF(AH47&gt;=ProtMVD,1,0),0)+MAX(H47,AD47)+AZ47+BB47+AU47)/7)</f>
        <v/>
      </c>
      <c r="BF47" s="344">
        <f>IF(AO47=0,"",IF(E47="S","",IF(AND(AP47=0,$A47=TODAY()),"",IF(E47="M",BE47,BD47))))</f>
        <v/>
      </c>
      <c r="BG47" s="344">
        <f>IF(AO47=0,"",IFERROR(AVERAGEIFS(Data!$BF$4:$BF$375,Data!$A$4:$A$375,"&gt;"&amp;($A47-7),Data!$A$4:$A$375,"&lt;="&amp;$A47),""))</f>
        <v/>
      </c>
      <c r="BH47" s="344">
        <f>IF(AO47=0,"",IFERROR(AVERAGEIFS(Data!$BF$4:$BF$375,Data!$A$4:$A$375,"&gt;"&amp;($A47-30),Data!$A$4:$A$375,"&lt;="&amp;$A47),""))</f>
        <v/>
      </c>
      <c r="BI47" s="359">
        <f>IF($A47="","",IFERROR(AVERAGEIFS(Data!$AF$4:$AF$375,Data!$A$4:$A$375,"&gt;"&amp;($A47-7),Data!$A$4:$A$375,"&lt;="&amp;$A47,Data!$AF$4:$AF$375,"&gt;0"),""))</f>
        <v/>
      </c>
      <c r="BJ47" s="345">
        <f>IF($A47="","",F47+G47+H47+I47+J47+K47+L47+M47+N47-IF(AS47=1,0,J47))</f>
        <v/>
      </c>
      <c r="BK47" s="345">
        <f>IF($A47="","",8+AS47)</f>
        <v/>
      </c>
      <c r="BL47" s="345">
        <f>IF(ISNUMBER(BF47),BF47,NA())</f>
        <v/>
      </c>
      <c r="BM47" s="345">
        <f>IF(ISNUMBER(AF47),AF47,NA())</f>
        <v/>
      </c>
      <c r="BN47" s="345">
        <f>IF(ISNUMBER(BI47),BI47,NA())</f>
        <v/>
      </c>
      <c r="BO47" s="345">
        <f>IF(ISNUMBER(AL47),AL47,NA())</f>
        <v/>
      </c>
      <c r="BP47" s="345">
        <f>IF(ISNUMBER(AM47),AM47,NA())</f>
        <v/>
      </c>
      <c r="BQ47" s="345">
        <f>IF(ISNUMBER(AN47),AN47,NA())</f>
        <v/>
      </c>
    </row>
    <row r="48">
      <c r="A48" s="358">
        <f>IF('Nov 2026'!R7="","",'Nov 2026'!R7)</f>
        <v/>
      </c>
      <c r="B48" s="345" t="n">
        <v>2</v>
      </c>
      <c r="C48" s="345">
        <f>IF($A48="","",14)</f>
        <v/>
      </c>
      <c r="D48" s="345">
        <f>IF($A48="","",WEEKDAY($A48,2))</f>
        <v/>
      </c>
      <c r="E48" s="345">
        <f>IF($A48="","",UPPER(TRIM('Nov 2026'!R8)))</f>
        <v/>
      </c>
      <c r="F48" s="345">
        <f>IF($A48="","",IF(OR('Nov 2026'!R10=TRUE,'Nov 2026'!R10="x",'Nov 2026'!R10="X"),1,0))</f>
        <v/>
      </c>
      <c r="G48" s="345">
        <f>IF($A48="","",IF(OR('Nov 2026'!R11=TRUE,'Nov 2026'!R11="x",'Nov 2026'!R11="X"),1,0))</f>
        <v/>
      </c>
      <c r="H48" s="345">
        <f>IF($A48="","",IF(OR('Nov 2026'!R12=TRUE,'Nov 2026'!R12="x",'Nov 2026'!R12="X"),1,0))</f>
        <v/>
      </c>
      <c r="I48" s="345">
        <f>IF($A48="","",IF(OR('Nov 2026'!R13=TRUE,'Nov 2026'!R13="x",'Nov 2026'!R13="X"),1,0))</f>
        <v/>
      </c>
      <c r="J48" s="345">
        <f>IF($A48="","",IF(OR('Nov 2026'!R14=TRUE,'Nov 2026'!R14="x",'Nov 2026'!R14="X"),1,0))</f>
        <v/>
      </c>
      <c r="K48" s="345">
        <f>IF($A48="","",IF(OR('Nov 2026'!R15=TRUE,'Nov 2026'!R15="x",'Nov 2026'!R15="X"),1,0))</f>
        <v/>
      </c>
      <c r="L48" s="345">
        <f>IF($A48="","",IF(OR('Nov 2026'!R16=TRUE,'Nov 2026'!R16="x",'Nov 2026'!R16="X"),1,0))</f>
        <v/>
      </c>
      <c r="M48" s="345">
        <f>IF($A48="","",IF(OR('Nov 2026'!R17=TRUE,'Nov 2026'!R17="x",'Nov 2026'!R17="X"),1,0))</f>
        <v/>
      </c>
      <c r="N48" s="345">
        <f>IF($A48="","",IF(OR('Nov 2026'!R18=TRUE,'Nov 2026'!R18="x",'Nov 2026'!R18="X"),1,0))</f>
        <v/>
      </c>
      <c r="O48" s="345">
        <f>IF($A48="","",IF(OR('Nov 2026'!R20=TRUE,'Nov 2026'!R20="x",'Nov 2026'!R20="X"),1,0))</f>
        <v/>
      </c>
      <c r="P48" s="345">
        <f>IF($A48="","",IF(OR('Nov 2026'!R21=TRUE,'Nov 2026'!R21="x",'Nov 2026'!R21="X"),1,0))</f>
        <v/>
      </c>
      <c r="Q48" s="345">
        <f>IF($A48="","",IF(OR('Nov 2026'!R22=TRUE,'Nov 2026'!R22="x",'Nov 2026'!R22="X"),1,0))</f>
        <v/>
      </c>
      <c r="R48" s="345">
        <f>IF($A48="","",IF(OR('Nov 2026'!R23=TRUE,'Nov 2026'!R23="x",'Nov 2026'!R23="X"),1,0))</f>
        <v/>
      </c>
      <c r="S48" s="345">
        <f>IF($A48="","",IF(OR('Nov 2026'!R24=TRUE,'Nov 2026'!R24="x",'Nov 2026'!R24="X"),1,0))</f>
        <v/>
      </c>
      <c r="T48" s="345">
        <f>IF($A48="","",IF(OR('Nov 2026'!R25=TRUE,'Nov 2026'!R25="x",'Nov 2026'!R25="X"),1,0))</f>
        <v/>
      </c>
      <c r="U48" s="345">
        <f>IF($A48="","",IF(OR('Nov 2026'!R26=TRUE,'Nov 2026'!R26="x",'Nov 2026'!R26="X"),1,0))</f>
        <v/>
      </c>
      <c r="V48" s="345">
        <f>IF($A48="","",IF(OR('Nov 2026'!R27=TRUE,'Nov 2026'!R27="x",'Nov 2026'!R27="X"),1,0))</f>
        <v/>
      </c>
      <c r="W48" s="345">
        <f>IF($A48="","",IF(OR('Nov 2026'!R28=TRUE,'Nov 2026'!R28="x",'Nov 2026'!R28="X"),1,0))</f>
        <v/>
      </c>
      <c r="X48" s="345">
        <f>IF($A48="","",IF(OR('Nov 2026'!R29=TRUE,'Nov 2026'!R29="x",'Nov 2026'!R29="X"),1,0))</f>
        <v/>
      </c>
      <c r="Y48" s="345">
        <f>IF($A48="","",IF(OR('Nov 2026'!R30=TRUE,'Nov 2026'!R30="x",'Nov 2026'!R30="X"),1,0))</f>
        <v/>
      </c>
      <c r="Z48" s="345">
        <f>IF($A48="","",IF(OR('Nov 2026'!R31=TRUE,'Nov 2026'!R31="x",'Nov 2026'!R31="X"),1,0))</f>
        <v/>
      </c>
      <c r="AA48" s="345">
        <f>IF($A48="","",IF(OR('Nov 2026'!R32=TRUE,'Nov 2026'!R32="x",'Nov 2026'!R32="X"),1,0))</f>
        <v/>
      </c>
      <c r="AB48" s="345">
        <f>IF($A48="","",IF(OR('Nov 2026'!R34=TRUE,'Nov 2026'!R34="x",'Nov 2026'!R34="X"),1,0))</f>
        <v/>
      </c>
      <c r="AC48" s="345">
        <f>IF($A48="","",IF(OR('Nov 2026'!R35=TRUE,'Nov 2026'!R35="x",'Nov 2026'!R35="X"),1,0))</f>
        <v/>
      </c>
      <c r="AD48" s="345">
        <f>IF($A48="","",IF(OR('Nov 2026'!R36=TRUE,'Nov 2026'!R36="x",'Nov 2026'!R36="X"),1,0))</f>
        <v/>
      </c>
      <c r="AE48" s="345">
        <f>IF($A48="","",IF(OR('Nov 2026'!R37=TRUE,'Nov 2026'!R37="x",'Nov 2026'!R37="X"),1,0))</f>
        <v/>
      </c>
      <c r="AF48" s="345">
        <f>IF($A48="","",IF('Nov 2026'!R59="","",'Nov 2026'!R59))</f>
        <v/>
      </c>
      <c r="AG48" s="345">
        <f>IF($A48="","",IF('Nov 2026'!R60="","",'Nov 2026'!R60))</f>
        <v/>
      </c>
      <c r="AH48" s="345">
        <f>IF($A48="","",IF('Nov 2026'!R61="","",'Nov 2026'!R61))</f>
        <v/>
      </c>
      <c r="AI48" s="345">
        <f>IF($A48="","",IF('Nov 2026'!R62="","",'Nov 2026'!R62))</f>
        <v/>
      </c>
      <c r="AJ48" s="345">
        <f>IF($A48="","",IF('Nov 2026'!R63="","",'Nov 2026'!R63))</f>
        <v/>
      </c>
      <c r="AK48" s="345">
        <f>IF($A48="","",IF('Nov 2026'!R64="","",'Nov 2026'!R64))</f>
        <v/>
      </c>
      <c r="AL48" s="345">
        <f>IF($A48="","",IF('Nov 2026'!R65="","",'Nov 2026'!R65))</f>
        <v/>
      </c>
      <c r="AM48" s="345">
        <f>IF($A48="","",IF('Nov 2026'!R66="","",'Nov 2026'!R66))</f>
        <v/>
      </c>
      <c r="AN48" s="345">
        <f>IF($A48="","",IF('Nov 2026'!R67="","",'Nov 2026'!R67))</f>
        <v/>
      </c>
      <c r="AO48" s="345">
        <f>IF($A48="",0,IF(AND($A48&gt;=TrackStart,$A48&lt;=TODAY()),1,0))</f>
        <v/>
      </c>
      <c r="AP48" s="345">
        <f>IF($A48="",0,IF(SUM(F48:AE48)+COUNT(AF48:AN48)&gt;0,1,0))</f>
        <v/>
      </c>
      <c r="AQ48" s="345">
        <f>IF($A48="","",INT(($A48-TrackStart)/7)+1)</f>
        <v/>
      </c>
      <c r="AR48" s="345">
        <f>IF($A48="","",IF(AQ48&lt;=1,Steps1,IF(AQ48=2,Steps2,Steps3)))</f>
        <v/>
      </c>
      <c r="AS48" s="345">
        <f>IF($A48="",0,IF(ISNUMBER(SEARCH(TEXT(D48,"0"),WorkDays&amp;"")),1,0))</f>
        <v/>
      </c>
      <c r="AT48" s="345">
        <f>IF($A48="",0,IF(ISNUMBER(SEARCH(TEXT(D48,"0"),StrDays&amp;"")),1,0))</f>
        <v/>
      </c>
      <c r="AU48" s="345">
        <f>IF($A48="",0,IF(ISNUMBER(AK48),IF(AK48&gt;=SleepMin,1,0),N48))</f>
        <v/>
      </c>
      <c r="AV48" s="345">
        <f>IF($A48="",0,MAX(I48,O48,S48,AC48))</f>
        <v/>
      </c>
      <c r="AW48" s="345">
        <f>IF($A48="",0,IF(ISNUMBER(AH48),IF(AH48&gt;=ProtHit,1,0),0))</f>
        <v/>
      </c>
      <c r="AX48" s="345">
        <f>IF($A48="",0,IF(ISNUMBER(AI48),IF(AI48&gt;=WaterHit,1,0),0))</f>
        <v/>
      </c>
      <c r="AY48" s="345">
        <f>IF($A48="",0,IF(ISNUMBER(AG48),IF(AG48&gt;=AR48,1,0),0))</f>
        <v/>
      </c>
      <c r="AZ48" s="345">
        <f>IF($A48="",0,G48)</f>
        <v/>
      </c>
      <c r="BA48" s="345">
        <f>IF($A48="",0,J48)</f>
        <v/>
      </c>
      <c r="BB48" s="345">
        <f>IF($A48="",0,K48)</f>
        <v/>
      </c>
      <c r="BC48" s="345">
        <f>IF($A48="",0,MAX(L48,AE48))</f>
        <v/>
      </c>
      <c r="BD48" s="344">
        <f>IF($A48="","",(AU48+AV48+AW48+AX48+AY48+AZ48+BB48+BC48+IF(AS48=1,BA48,0))/(8+AS48))</f>
        <v/>
      </c>
      <c r="BE48" s="344">
        <f>IF($A48="","",(IF(ISNUMBER(AI48),IF(AI48&gt;=WaterMVD,1,0),0)+AV48+IF(ISNUMBER(AH48),IF(AH48&gt;=ProtMVD,1,0),0)+MAX(H48,AD48)+AZ48+BB48+AU48)/7)</f>
        <v/>
      </c>
      <c r="BF48" s="344">
        <f>IF(AO48=0,"",IF(E48="S","",IF(AND(AP48=0,$A48=TODAY()),"",IF(E48="M",BE48,BD48))))</f>
        <v/>
      </c>
      <c r="BG48" s="344">
        <f>IF(AO48=0,"",IFERROR(AVERAGEIFS(Data!$BF$4:$BF$375,Data!$A$4:$A$375,"&gt;"&amp;($A48-7),Data!$A$4:$A$375,"&lt;="&amp;$A48),""))</f>
        <v/>
      </c>
      <c r="BH48" s="344">
        <f>IF(AO48=0,"",IFERROR(AVERAGEIFS(Data!$BF$4:$BF$375,Data!$A$4:$A$375,"&gt;"&amp;($A48-30),Data!$A$4:$A$375,"&lt;="&amp;$A48),""))</f>
        <v/>
      </c>
      <c r="BI48" s="359">
        <f>IF($A48="","",IFERROR(AVERAGEIFS(Data!$AF$4:$AF$375,Data!$A$4:$A$375,"&gt;"&amp;($A48-7),Data!$A$4:$A$375,"&lt;="&amp;$A48,Data!$AF$4:$AF$375,"&gt;0"),""))</f>
        <v/>
      </c>
      <c r="BJ48" s="345">
        <f>IF($A48="","",F48+G48+H48+I48+J48+K48+L48+M48+N48-IF(AS48=1,0,J48))</f>
        <v/>
      </c>
      <c r="BK48" s="345">
        <f>IF($A48="","",8+AS48)</f>
        <v/>
      </c>
      <c r="BL48" s="345">
        <f>IF(ISNUMBER(BF48),BF48,NA())</f>
        <v/>
      </c>
      <c r="BM48" s="345">
        <f>IF(ISNUMBER(AF48),AF48,NA())</f>
        <v/>
      </c>
      <c r="BN48" s="345">
        <f>IF(ISNUMBER(BI48),BI48,NA())</f>
        <v/>
      </c>
      <c r="BO48" s="345">
        <f>IF(ISNUMBER(AL48),AL48,NA())</f>
        <v/>
      </c>
      <c r="BP48" s="345">
        <f>IF(ISNUMBER(AM48),AM48,NA())</f>
        <v/>
      </c>
      <c r="BQ48" s="345">
        <f>IF(ISNUMBER(AN48),AN48,NA())</f>
        <v/>
      </c>
    </row>
    <row r="49">
      <c r="A49" s="358">
        <f>IF('Nov 2026'!S7="","",'Nov 2026'!S7)</f>
        <v/>
      </c>
      <c r="B49" s="345" t="n">
        <v>2</v>
      </c>
      <c r="C49" s="345">
        <f>IF($A49="","",15)</f>
        <v/>
      </c>
      <c r="D49" s="345">
        <f>IF($A49="","",WEEKDAY($A49,2))</f>
        <v/>
      </c>
      <c r="E49" s="345">
        <f>IF($A49="","",UPPER(TRIM('Nov 2026'!S8)))</f>
        <v/>
      </c>
      <c r="F49" s="345">
        <f>IF($A49="","",IF(OR('Nov 2026'!S10=TRUE,'Nov 2026'!S10="x",'Nov 2026'!S10="X"),1,0))</f>
        <v/>
      </c>
      <c r="G49" s="345">
        <f>IF($A49="","",IF(OR('Nov 2026'!S11=TRUE,'Nov 2026'!S11="x",'Nov 2026'!S11="X"),1,0))</f>
        <v/>
      </c>
      <c r="H49" s="345">
        <f>IF($A49="","",IF(OR('Nov 2026'!S12=TRUE,'Nov 2026'!S12="x",'Nov 2026'!S12="X"),1,0))</f>
        <v/>
      </c>
      <c r="I49" s="345">
        <f>IF($A49="","",IF(OR('Nov 2026'!S13=TRUE,'Nov 2026'!S13="x",'Nov 2026'!S13="X"),1,0))</f>
        <v/>
      </c>
      <c r="J49" s="345">
        <f>IF($A49="","",IF(OR('Nov 2026'!S14=TRUE,'Nov 2026'!S14="x",'Nov 2026'!S14="X"),1,0))</f>
        <v/>
      </c>
      <c r="K49" s="345">
        <f>IF($A49="","",IF(OR('Nov 2026'!S15=TRUE,'Nov 2026'!S15="x",'Nov 2026'!S15="X"),1,0))</f>
        <v/>
      </c>
      <c r="L49" s="345">
        <f>IF($A49="","",IF(OR('Nov 2026'!S16=TRUE,'Nov 2026'!S16="x",'Nov 2026'!S16="X"),1,0))</f>
        <v/>
      </c>
      <c r="M49" s="345">
        <f>IF($A49="","",IF(OR('Nov 2026'!S17=TRUE,'Nov 2026'!S17="x",'Nov 2026'!S17="X"),1,0))</f>
        <v/>
      </c>
      <c r="N49" s="345">
        <f>IF($A49="","",IF(OR('Nov 2026'!S18=TRUE,'Nov 2026'!S18="x",'Nov 2026'!S18="X"),1,0))</f>
        <v/>
      </c>
      <c r="O49" s="345">
        <f>IF($A49="","",IF(OR('Nov 2026'!S20=TRUE,'Nov 2026'!S20="x",'Nov 2026'!S20="X"),1,0))</f>
        <v/>
      </c>
      <c r="P49" s="345">
        <f>IF($A49="","",IF(OR('Nov 2026'!S21=TRUE,'Nov 2026'!S21="x",'Nov 2026'!S21="X"),1,0))</f>
        <v/>
      </c>
      <c r="Q49" s="345">
        <f>IF($A49="","",IF(OR('Nov 2026'!S22=TRUE,'Nov 2026'!S22="x",'Nov 2026'!S22="X"),1,0))</f>
        <v/>
      </c>
      <c r="R49" s="345">
        <f>IF($A49="","",IF(OR('Nov 2026'!S23=TRUE,'Nov 2026'!S23="x",'Nov 2026'!S23="X"),1,0))</f>
        <v/>
      </c>
      <c r="S49" s="345">
        <f>IF($A49="","",IF(OR('Nov 2026'!S24=TRUE,'Nov 2026'!S24="x",'Nov 2026'!S24="X"),1,0))</f>
        <v/>
      </c>
      <c r="T49" s="345">
        <f>IF($A49="","",IF(OR('Nov 2026'!S25=TRUE,'Nov 2026'!S25="x",'Nov 2026'!S25="X"),1,0))</f>
        <v/>
      </c>
      <c r="U49" s="345">
        <f>IF($A49="","",IF(OR('Nov 2026'!S26=TRUE,'Nov 2026'!S26="x",'Nov 2026'!S26="X"),1,0))</f>
        <v/>
      </c>
      <c r="V49" s="345">
        <f>IF($A49="","",IF(OR('Nov 2026'!S27=TRUE,'Nov 2026'!S27="x",'Nov 2026'!S27="X"),1,0))</f>
        <v/>
      </c>
      <c r="W49" s="345">
        <f>IF($A49="","",IF(OR('Nov 2026'!S28=TRUE,'Nov 2026'!S28="x",'Nov 2026'!S28="X"),1,0))</f>
        <v/>
      </c>
      <c r="X49" s="345">
        <f>IF($A49="","",IF(OR('Nov 2026'!S29=TRUE,'Nov 2026'!S29="x",'Nov 2026'!S29="X"),1,0))</f>
        <v/>
      </c>
      <c r="Y49" s="345">
        <f>IF($A49="","",IF(OR('Nov 2026'!S30=TRUE,'Nov 2026'!S30="x",'Nov 2026'!S30="X"),1,0))</f>
        <v/>
      </c>
      <c r="Z49" s="345">
        <f>IF($A49="","",IF(OR('Nov 2026'!S31=TRUE,'Nov 2026'!S31="x",'Nov 2026'!S31="X"),1,0))</f>
        <v/>
      </c>
      <c r="AA49" s="345">
        <f>IF($A49="","",IF(OR('Nov 2026'!S32=TRUE,'Nov 2026'!S32="x",'Nov 2026'!S32="X"),1,0))</f>
        <v/>
      </c>
      <c r="AB49" s="345">
        <f>IF($A49="","",IF(OR('Nov 2026'!S34=TRUE,'Nov 2026'!S34="x",'Nov 2026'!S34="X"),1,0))</f>
        <v/>
      </c>
      <c r="AC49" s="345">
        <f>IF($A49="","",IF(OR('Nov 2026'!S35=TRUE,'Nov 2026'!S35="x",'Nov 2026'!S35="X"),1,0))</f>
        <v/>
      </c>
      <c r="AD49" s="345">
        <f>IF($A49="","",IF(OR('Nov 2026'!S36=TRUE,'Nov 2026'!S36="x",'Nov 2026'!S36="X"),1,0))</f>
        <v/>
      </c>
      <c r="AE49" s="345">
        <f>IF($A49="","",IF(OR('Nov 2026'!S37=TRUE,'Nov 2026'!S37="x",'Nov 2026'!S37="X"),1,0))</f>
        <v/>
      </c>
      <c r="AF49" s="345">
        <f>IF($A49="","",IF('Nov 2026'!S59="","",'Nov 2026'!S59))</f>
        <v/>
      </c>
      <c r="AG49" s="345">
        <f>IF($A49="","",IF('Nov 2026'!S60="","",'Nov 2026'!S60))</f>
        <v/>
      </c>
      <c r="AH49" s="345">
        <f>IF($A49="","",IF('Nov 2026'!S61="","",'Nov 2026'!S61))</f>
        <v/>
      </c>
      <c r="AI49" s="345">
        <f>IF($A49="","",IF('Nov 2026'!S62="","",'Nov 2026'!S62))</f>
        <v/>
      </c>
      <c r="AJ49" s="345">
        <f>IF($A49="","",IF('Nov 2026'!S63="","",'Nov 2026'!S63))</f>
        <v/>
      </c>
      <c r="AK49" s="345">
        <f>IF($A49="","",IF('Nov 2026'!S64="","",'Nov 2026'!S64))</f>
        <v/>
      </c>
      <c r="AL49" s="345">
        <f>IF($A49="","",IF('Nov 2026'!S65="","",'Nov 2026'!S65))</f>
        <v/>
      </c>
      <c r="AM49" s="345">
        <f>IF($A49="","",IF('Nov 2026'!S66="","",'Nov 2026'!S66))</f>
        <v/>
      </c>
      <c r="AN49" s="345">
        <f>IF($A49="","",IF('Nov 2026'!S67="","",'Nov 2026'!S67))</f>
        <v/>
      </c>
      <c r="AO49" s="345">
        <f>IF($A49="",0,IF(AND($A49&gt;=TrackStart,$A49&lt;=TODAY()),1,0))</f>
        <v/>
      </c>
      <c r="AP49" s="345">
        <f>IF($A49="",0,IF(SUM(F49:AE49)+COUNT(AF49:AN49)&gt;0,1,0))</f>
        <v/>
      </c>
      <c r="AQ49" s="345">
        <f>IF($A49="","",INT(($A49-TrackStart)/7)+1)</f>
        <v/>
      </c>
      <c r="AR49" s="345">
        <f>IF($A49="","",IF(AQ49&lt;=1,Steps1,IF(AQ49=2,Steps2,Steps3)))</f>
        <v/>
      </c>
      <c r="AS49" s="345">
        <f>IF($A49="",0,IF(ISNUMBER(SEARCH(TEXT(D49,"0"),WorkDays&amp;"")),1,0))</f>
        <v/>
      </c>
      <c r="AT49" s="345">
        <f>IF($A49="",0,IF(ISNUMBER(SEARCH(TEXT(D49,"0"),StrDays&amp;"")),1,0))</f>
        <v/>
      </c>
      <c r="AU49" s="345">
        <f>IF($A49="",0,IF(ISNUMBER(AK49),IF(AK49&gt;=SleepMin,1,0),N49))</f>
        <v/>
      </c>
      <c r="AV49" s="345">
        <f>IF($A49="",0,MAX(I49,O49,S49,AC49))</f>
        <v/>
      </c>
      <c r="AW49" s="345">
        <f>IF($A49="",0,IF(ISNUMBER(AH49),IF(AH49&gt;=ProtHit,1,0),0))</f>
        <v/>
      </c>
      <c r="AX49" s="345">
        <f>IF($A49="",0,IF(ISNUMBER(AI49),IF(AI49&gt;=WaterHit,1,0),0))</f>
        <v/>
      </c>
      <c r="AY49" s="345">
        <f>IF($A49="",0,IF(ISNUMBER(AG49),IF(AG49&gt;=AR49,1,0),0))</f>
        <v/>
      </c>
      <c r="AZ49" s="345">
        <f>IF($A49="",0,G49)</f>
        <v/>
      </c>
      <c r="BA49" s="345">
        <f>IF($A49="",0,J49)</f>
        <v/>
      </c>
      <c r="BB49" s="345">
        <f>IF($A49="",0,K49)</f>
        <v/>
      </c>
      <c r="BC49" s="345">
        <f>IF($A49="",0,MAX(L49,AE49))</f>
        <v/>
      </c>
      <c r="BD49" s="344">
        <f>IF($A49="","",(AU49+AV49+AW49+AX49+AY49+AZ49+BB49+BC49+IF(AS49=1,BA49,0))/(8+AS49))</f>
        <v/>
      </c>
      <c r="BE49" s="344">
        <f>IF($A49="","",(IF(ISNUMBER(AI49),IF(AI49&gt;=WaterMVD,1,0),0)+AV49+IF(ISNUMBER(AH49),IF(AH49&gt;=ProtMVD,1,0),0)+MAX(H49,AD49)+AZ49+BB49+AU49)/7)</f>
        <v/>
      </c>
      <c r="BF49" s="344">
        <f>IF(AO49=0,"",IF(E49="S","",IF(AND(AP49=0,$A49=TODAY()),"",IF(E49="M",BE49,BD49))))</f>
        <v/>
      </c>
      <c r="BG49" s="344">
        <f>IF(AO49=0,"",IFERROR(AVERAGEIFS(Data!$BF$4:$BF$375,Data!$A$4:$A$375,"&gt;"&amp;($A49-7),Data!$A$4:$A$375,"&lt;="&amp;$A49),""))</f>
        <v/>
      </c>
      <c r="BH49" s="344">
        <f>IF(AO49=0,"",IFERROR(AVERAGEIFS(Data!$BF$4:$BF$375,Data!$A$4:$A$375,"&gt;"&amp;($A49-30),Data!$A$4:$A$375,"&lt;="&amp;$A49),""))</f>
        <v/>
      </c>
      <c r="BI49" s="359">
        <f>IF($A49="","",IFERROR(AVERAGEIFS(Data!$AF$4:$AF$375,Data!$A$4:$A$375,"&gt;"&amp;($A49-7),Data!$A$4:$A$375,"&lt;="&amp;$A49,Data!$AF$4:$AF$375,"&gt;0"),""))</f>
        <v/>
      </c>
      <c r="BJ49" s="345">
        <f>IF($A49="","",F49+G49+H49+I49+J49+K49+L49+M49+N49-IF(AS49=1,0,J49))</f>
        <v/>
      </c>
      <c r="BK49" s="345">
        <f>IF($A49="","",8+AS49)</f>
        <v/>
      </c>
      <c r="BL49" s="345">
        <f>IF(ISNUMBER(BF49),BF49,NA())</f>
        <v/>
      </c>
      <c r="BM49" s="345">
        <f>IF(ISNUMBER(AF49),AF49,NA())</f>
        <v/>
      </c>
      <c r="BN49" s="345">
        <f>IF(ISNUMBER(BI49),BI49,NA())</f>
        <v/>
      </c>
      <c r="BO49" s="345">
        <f>IF(ISNUMBER(AL49),AL49,NA())</f>
        <v/>
      </c>
      <c r="BP49" s="345">
        <f>IF(ISNUMBER(AM49),AM49,NA())</f>
        <v/>
      </c>
      <c r="BQ49" s="345">
        <f>IF(ISNUMBER(AN49),AN49,NA())</f>
        <v/>
      </c>
    </row>
    <row r="50">
      <c r="A50" s="358">
        <f>IF('Nov 2026'!T7="","",'Nov 2026'!T7)</f>
        <v/>
      </c>
      <c r="B50" s="345" t="n">
        <v>2</v>
      </c>
      <c r="C50" s="345">
        <f>IF($A50="","",16)</f>
        <v/>
      </c>
      <c r="D50" s="345">
        <f>IF($A50="","",WEEKDAY($A50,2))</f>
        <v/>
      </c>
      <c r="E50" s="345">
        <f>IF($A50="","",UPPER(TRIM('Nov 2026'!T8)))</f>
        <v/>
      </c>
      <c r="F50" s="345">
        <f>IF($A50="","",IF(OR('Nov 2026'!T10=TRUE,'Nov 2026'!T10="x",'Nov 2026'!T10="X"),1,0))</f>
        <v/>
      </c>
      <c r="G50" s="345">
        <f>IF($A50="","",IF(OR('Nov 2026'!T11=TRUE,'Nov 2026'!T11="x",'Nov 2026'!T11="X"),1,0))</f>
        <v/>
      </c>
      <c r="H50" s="345">
        <f>IF($A50="","",IF(OR('Nov 2026'!T12=TRUE,'Nov 2026'!T12="x",'Nov 2026'!T12="X"),1,0))</f>
        <v/>
      </c>
      <c r="I50" s="345">
        <f>IF($A50="","",IF(OR('Nov 2026'!T13=TRUE,'Nov 2026'!T13="x",'Nov 2026'!T13="X"),1,0))</f>
        <v/>
      </c>
      <c r="J50" s="345">
        <f>IF($A50="","",IF(OR('Nov 2026'!T14=TRUE,'Nov 2026'!T14="x",'Nov 2026'!T14="X"),1,0))</f>
        <v/>
      </c>
      <c r="K50" s="345">
        <f>IF($A50="","",IF(OR('Nov 2026'!T15=TRUE,'Nov 2026'!T15="x",'Nov 2026'!T15="X"),1,0))</f>
        <v/>
      </c>
      <c r="L50" s="345">
        <f>IF($A50="","",IF(OR('Nov 2026'!T16=TRUE,'Nov 2026'!T16="x",'Nov 2026'!T16="X"),1,0))</f>
        <v/>
      </c>
      <c r="M50" s="345">
        <f>IF($A50="","",IF(OR('Nov 2026'!T17=TRUE,'Nov 2026'!T17="x",'Nov 2026'!T17="X"),1,0))</f>
        <v/>
      </c>
      <c r="N50" s="345">
        <f>IF($A50="","",IF(OR('Nov 2026'!T18=TRUE,'Nov 2026'!T18="x",'Nov 2026'!T18="X"),1,0))</f>
        <v/>
      </c>
      <c r="O50" s="345">
        <f>IF($A50="","",IF(OR('Nov 2026'!T20=TRUE,'Nov 2026'!T20="x",'Nov 2026'!T20="X"),1,0))</f>
        <v/>
      </c>
      <c r="P50" s="345">
        <f>IF($A50="","",IF(OR('Nov 2026'!T21=TRUE,'Nov 2026'!T21="x",'Nov 2026'!T21="X"),1,0))</f>
        <v/>
      </c>
      <c r="Q50" s="345">
        <f>IF($A50="","",IF(OR('Nov 2026'!T22=TRUE,'Nov 2026'!T22="x",'Nov 2026'!T22="X"),1,0))</f>
        <v/>
      </c>
      <c r="R50" s="345">
        <f>IF($A50="","",IF(OR('Nov 2026'!T23=TRUE,'Nov 2026'!T23="x",'Nov 2026'!T23="X"),1,0))</f>
        <v/>
      </c>
      <c r="S50" s="345">
        <f>IF($A50="","",IF(OR('Nov 2026'!T24=TRUE,'Nov 2026'!T24="x",'Nov 2026'!T24="X"),1,0))</f>
        <v/>
      </c>
      <c r="T50" s="345">
        <f>IF($A50="","",IF(OR('Nov 2026'!T25=TRUE,'Nov 2026'!T25="x",'Nov 2026'!T25="X"),1,0))</f>
        <v/>
      </c>
      <c r="U50" s="345">
        <f>IF($A50="","",IF(OR('Nov 2026'!T26=TRUE,'Nov 2026'!T26="x",'Nov 2026'!T26="X"),1,0))</f>
        <v/>
      </c>
      <c r="V50" s="345">
        <f>IF($A50="","",IF(OR('Nov 2026'!T27=TRUE,'Nov 2026'!T27="x",'Nov 2026'!T27="X"),1,0))</f>
        <v/>
      </c>
      <c r="W50" s="345">
        <f>IF($A50="","",IF(OR('Nov 2026'!T28=TRUE,'Nov 2026'!T28="x",'Nov 2026'!T28="X"),1,0))</f>
        <v/>
      </c>
      <c r="X50" s="345">
        <f>IF($A50="","",IF(OR('Nov 2026'!T29=TRUE,'Nov 2026'!T29="x",'Nov 2026'!T29="X"),1,0))</f>
        <v/>
      </c>
      <c r="Y50" s="345">
        <f>IF($A50="","",IF(OR('Nov 2026'!T30=TRUE,'Nov 2026'!T30="x",'Nov 2026'!T30="X"),1,0))</f>
        <v/>
      </c>
      <c r="Z50" s="345">
        <f>IF($A50="","",IF(OR('Nov 2026'!T31=TRUE,'Nov 2026'!T31="x",'Nov 2026'!T31="X"),1,0))</f>
        <v/>
      </c>
      <c r="AA50" s="345">
        <f>IF($A50="","",IF(OR('Nov 2026'!T32=TRUE,'Nov 2026'!T32="x",'Nov 2026'!T32="X"),1,0))</f>
        <v/>
      </c>
      <c r="AB50" s="345">
        <f>IF($A50="","",IF(OR('Nov 2026'!T34=TRUE,'Nov 2026'!T34="x",'Nov 2026'!T34="X"),1,0))</f>
        <v/>
      </c>
      <c r="AC50" s="345">
        <f>IF($A50="","",IF(OR('Nov 2026'!T35=TRUE,'Nov 2026'!T35="x",'Nov 2026'!T35="X"),1,0))</f>
        <v/>
      </c>
      <c r="AD50" s="345">
        <f>IF($A50="","",IF(OR('Nov 2026'!T36=TRUE,'Nov 2026'!T36="x",'Nov 2026'!T36="X"),1,0))</f>
        <v/>
      </c>
      <c r="AE50" s="345">
        <f>IF($A50="","",IF(OR('Nov 2026'!T37=TRUE,'Nov 2026'!T37="x",'Nov 2026'!T37="X"),1,0))</f>
        <v/>
      </c>
      <c r="AF50" s="345">
        <f>IF($A50="","",IF('Nov 2026'!T59="","",'Nov 2026'!T59))</f>
        <v/>
      </c>
      <c r="AG50" s="345">
        <f>IF($A50="","",IF('Nov 2026'!T60="","",'Nov 2026'!T60))</f>
        <v/>
      </c>
      <c r="AH50" s="345">
        <f>IF($A50="","",IF('Nov 2026'!T61="","",'Nov 2026'!T61))</f>
        <v/>
      </c>
      <c r="AI50" s="345">
        <f>IF($A50="","",IF('Nov 2026'!T62="","",'Nov 2026'!T62))</f>
        <v/>
      </c>
      <c r="AJ50" s="345">
        <f>IF($A50="","",IF('Nov 2026'!T63="","",'Nov 2026'!T63))</f>
        <v/>
      </c>
      <c r="AK50" s="345">
        <f>IF($A50="","",IF('Nov 2026'!T64="","",'Nov 2026'!T64))</f>
        <v/>
      </c>
      <c r="AL50" s="345">
        <f>IF($A50="","",IF('Nov 2026'!T65="","",'Nov 2026'!T65))</f>
        <v/>
      </c>
      <c r="AM50" s="345">
        <f>IF($A50="","",IF('Nov 2026'!T66="","",'Nov 2026'!T66))</f>
        <v/>
      </c>
      <c r="AN50" s="345">
        <f>IF($A50="","",IF('Nov 2026'!T67="","",'Nov 2026'!T67))</f>
        <v/>
      </c>
      <c r="AO50" s="345">
        <f>IF($A50="",0,IF(AND($A50&gt;=TrackStart,$A50&lt;=TODAY()),1,0))</f>
        <v/>
      </c>
      <c r="AP50" s="345">
        <f>IF($A50="",0,IF(SUM(F50:AE50)+COUNT(AF50:AN50)&gt;0,1,0))</f>
        <v/>
      </c>
      <c r="AQ50" s="345">
        <f>IF($A50="","",INT(($A50-TrackStart)/7)+1)</f>
        <v/>
      </c>
      <c r="AR50" s="345">
        <f>IF($A50="","",IF(AQ50&lt;=1,Steps1,IF(AQ50=2,Steps2,Steps3)))</f>
        <v/>
      </c>
      <c r="AS50" s="345">
        <f>IF($A50="",0,IF(ISNUMBER(SEARCH(TEXT(D50,"0"),WorkDays&amp;"")),1,0))</f>
        <v/>
      </c>
      <c r="AT50" s="345">
        <f>IF($A50="",0,IF(ISNUMBER(SEARCH(TEXT(D50,"0"),StrDays&amp;"")),1,0))</f>
        <v/>
      </c>
      <c r="AU50" s="345">
        <f>IF($A50="",0,IF(ISNUMBER(AK50),IF(AK50&gt;=SleepMin,1,0),N50))</f>
        <v/>
      </c>
      <c r="AV50" s="345">
        <f>IF($A50="",0,MAX(I50,O50,S50,AC50))</f>
        <v/>
      </c>
      <c r="AW50" s="345">
        <f>IF($A50="",0,IF(ISNUMBER(AH50),IF(AH50&gt;=ProtHit,1,0),0))</f>
        <v/>
      </c>
      <c r="AX50" s="345">
        <f>IF($A50="",0,IF(ISNUMBER(AI50),IF(AI50&gt;=WaterHit,1,0),0))</f>
        <v/>
      </c>
      <c r="AY50" s="345">
        <f>IF($A50="",0,IF(ISNUMBER(AG50),IF(AG50&gt;=AR50,1,0),0))</f>
        <v/>
      </c>
      <c r="AZ50" s="345">
        <f>IF($A50="",0,G50)</f>
        <v/>
      </c>
      <c r="BA50" s="345">
        <f>IF($A50="",0,J50)</f>
        <v/>
      </c>
      <c r="BB50" s="345">
        <f>IF($A50="",0,K50)</f>
        <v/>
      </c>
      <c r="BC50" s="345">
        <f>IF($A50="",0,MAX(L50,AE50))</f>
        <v/>
      </c>
      <c r="BD50" s="344">
        <f>IF($A50="","",(AU50+AV50+AW50+AX50+AY50+AZ50+BB50+BC50+IF(AS50=1,BA50,0))/(8+AS50))</f>
        <v/>
      </c>
      <c r="BE50" s="344">
        <f>IF($A50="","",(IF(ISNUMBER(AI50),IF(AI50&gt;=WaterMVD,1,0),0)+AV50+IF(ISNUMBER(AH50),IF(AH50&gt;=ProtMVD,1,0),0)+MAX(H50,AD50)+AZ50+BB50+AU50)/7)</f>
        <v/>
      </c>
      <c r="BF50" s="344">
        <f>IF(AO50=0,"",IF(E50="S","",IF(AND(AP50=0,$A50=TODAY()),"",IF(E50="M",BE50,BD50))))</f>
        <v/>
      </c>
      <c r="BG50" s="344">
        <f>IF(AO50=0,"",IFERROR(AVERAGEIFS(Data!$BF$4:$BF$375,Data!$A$4:$A$375,"&gt;"&amp;($A50-7),Data!$A$4:$A$375,"&lt;="&amp;$A50),""))</f>
        <v/>
      </c>
      <c r="BH50" s="344">
        <f>IF(AO50=0,"",IFERROR(AVERAGEIFS(Data!$BF$4:$BF$375,Data!$A$4:$A$375,"&gt;"&amp;($A50-30),Data!$A$4:$A$375,"&lt;="&amp;$A50),""))</f>
        <v/>
      </c>
      <c r="BI50" s="359">
        <f>IF($A50="","",IFERROR(AVERAGEIFS(Data!$AF$4:$AF$375,Data!$A$4:$A$375,"&gt;"&amp;($A50-7),Data!$A$4:$A$375,"&lt;="&amp;$A50,Data!$AF$4:$AF$375,"&gt;0"),""))</f>
        <v/>
      </c>
      <c r="BJ50" s="345">
        <f>IF($A50="","",F50+G50+H50+I50+J50+K50+L50+M50+N50-IF(AS50=1,0,J50))</f>
        <v/>
      </c>
      <c r="BK50" s="345">
        <f>IF($A50="","",8+AS50)</f>
        <v/>
      </c>
      <c r="BL50" s="345">
        <f>IF(ISNUMBER(BF50),BF50,NA())</f>
        <v/>
      </c>
      <c r="BM50" s="345">
        <f>IF(ISNUMBER(AF50),AF50,NA())</f>
        <v/>
      </c>
      <c r="BN50" s="345">
        <f>IF(ISNUMBER(BI50),BI50,NA())</f>
        <v/>
      </c>
      <c r="BO50" s="345">
        <f>IF(ISNUMBER(AL50),AL50,NA())</f>
        <v/>
      </c>
      <c r="BP50" s="345">
        <f>IF(ISNUMBER(AM50),AM50,NA())</f>
        <v/>
      </c>
      <c r="BQ50" s="345">
        <f>IF(ISNUMBER(AN50),AN50,NA())</f>
        <v/>
      </c>
    </row>
    <row r="51">
      <c r="A51" s="358">
        <f>IF('Nov 2026'!U7="","",'Nov 2026'!U7)</f>
        <v/>
      </c>
      <c r="B51" s="345" t="n">
        <v>2</v>
      </c>
      <c r="C51" s="345">
        <f>IF($A51="","",17)</f>
        <v/>
      </c>
      <c r="D51" s="345">
        <f>IF($A51="","",WEEKDAY($A51,2))</f>
        <v/>
      </c>
      <c r="E51" s="345">
        <f>IF($A51="","",UPPER(TRIM('Nov 2026'!U8)))</f>
        <v/>
      </c>
      <c r="F51" s="345">
        <f>IF($A51="","",IF(OR('Nov 2026'!U10=TRUE,'Nov 2026'!U10="x",'Nov 2026'!U10="X"),1,0))</f>
        <v/>
      </c>
      <c r="G51" s="345">
        <f>IF($A51="","",IF(OR('Nov 2026'!U11=TRUE,'Nov 2026'!U11="x",'Nov 2026'!U11="X"),1,0))</f>
        <v/>
      </c>
      <c r="H51" s="345">
        <f>IF($A51="","",IF(OR('Nov 2026'!U12=TRUE,'Nov 2026'!U12="x",'Nov 2026'!U12="X"),1,0))</f>
        <v/>
      </c>
      <c r="I51" s="345">
        <f>IF($A51="","",IF(OR('Nov 2026'!U13=TRUE,'Nov 2026'!U13="x",'Nov 2026'!U13="X"),1,0))</f>
        <v/>
      </c>
      <c r="J51" s="345">
        <f>IF($A51="","",IF(OR('Nov 2026'!U14=TRUE,'Nov 2026'!U14="x",'Nov 2026'!U14="X"),1,0))</f>
        <v/>
      </c>
      <c r="K51" s="345">
        <f>IF($A51="","",IF(OR('Nov 2026'!U15=TRUE,'Nov 2026'!U15="x",'Nov 2026'!U15="X"),1,0))</f>
        <v/>
      </c>
      <c r="L51" s="345">
        <f>IF($A51="","",IF(OR('Nov 2026'!U16=TRUE,'Nov 2026'!U16="x",'Nov 2026'!U16="X"),1,0))</f>
        <v/>
      </c>
      <c r="M51" s="345">
        <f>IF($A51="","",IF(OR('Nov 2026'!U17=TRUE,'Nov 2026'!U17="x",'Nov 2026'!U17="X"),1,0))</f>
        <v/>
      </c>
      <c r="N51" s="345">
        <f>IF($A51="","",IF(OR('Nov 2026'!U18=TRUE,'Nov 2026'!U18="x",'Nov 2026'!U18="X"),1,0))</f>
        <v/>
      </c>
      <c r="O51" s="345">
        <f>IF($A51="","",IF(OR('Nov 2026'!U20=TRUE,'Nov 2026'!U20="x",'Nov 2026'!U20="X"),1,0))</f>
        <v/>
      </c>
      <c r="P51" s="345">
        <f>IF($A51="","",IF(OR('Nov 2026'!U21=TRUE,'Nov 2026'!U21="x",'Nov 2026'!U21="X"),1,0))</f>
        <v/>
      </c>
      <c r="Q51" s="345">
        <f>IF($A51="","",IF(OR('Nov 2026'!U22=TRUE,'Nov 2026'!U22="x",'Nov 2026'!U22="X"),1,0))</f>
        <v/>
      </c>
      <c r="R51" s="345">
        <f>IF($A51="","",IF(OR('Nov 2026'!U23=TRUE,'Nov 2026'!U23="x",'Nov 2026'!U23="X"),1,0))</f>
        <v/>
      </c>
      <c r="S51" s="345">
        <f>IF($A51="","",IF(OR('Nov 2026'!U24=TRUE,'Nov 2026'!U24="x",'Nov 2026'!U24="X"),1,0))</f>
        <v/>
      </c>
      <c r="T51" s="345">
        <f>IF($A51="","",IF(OR('Nov 2026'!U25=TRUE,'Nov 2026'!U25="x",'Nov 2026'!U25="X"),1,0))</f>
        <v/>
      </c>
      <c r="U51" s="345">
        <f>IF($A51="","",IF(OR('Nov 2026'!U26=TRUE,'Nov 2026'!U26="x",'Nov 2026'!U26="X"),1,0))</f>
        <v/>
      </c>
      <c r="V51" s="345">
        <f>IF($A51="","",IF(OR('Nov 2026'!U27=TRUE,'Nov 2026'!U27="x",'Nov 2026'!U27="X"),1,0))</f>
        <v/>
      </c>
      <c r="W51" s="345">
        <f>IF($A51="","",IF(OR('Nov 2026'!U28=TRUE,'Nov 2026'!U28="x",'Nov 2026'!U28="X"),1,0))</f>
        <v/>
      </c>
      <c r="X51" s="345">
        <f>IF($A51="","",IF(OR('Nov 2026'!U29=TRUE,'Nov 2026'!U29="x",'Nov 2026'!U29="X"),1,0))</f>
        <v/>
      </c>
      <c r="Y51" s="345">
        <f>IF($A51="","",IF(OR('Nov 2026'!U30=TRUE,'Nov 2026'!U30="x",'Nov 2026'!U30="X"),1,0))</f>
        <v/>
      </c>
      <c r="Z51" s="345">
        <f>IF($A51="","",IF(OR('Nov 2026'!U31=TRUE,'Nov 2026'!U31="x",'Nov 2026'!U31="X"),1,0))</f>
        <v/>
      </c>
      <c r="AA51" s="345">
        <f>IF($A51="","",IF(OR('Nov 2026'!U32=TRUE,'Nov 2026'!U32="x",'Nov 2026'!U32="X"),1,0))</f>
        <v/>
      </c>
      <c r="AB51" s="345">
        <f>IF($A51="","",IF(OR('Nov 2026'!U34=TRUE,'Nov 2026'!U34="x",'Nov 2026'!U34="X"),1,0))</f>
        <v/>
      </c>
      <c r="AC51" s="345">
        <f>IF($A51="","",IF(OR('Nov 2026'!U35=TRUE,'Nov 2026'!U35="x",'Nov 2026'!U35="X"),1,0))</f>
        <v/>
      </c>
      <c r="AD51" s="345">
        <f>IF($A51="","",IF(OR('Nov 2026'!U36=TRUE,'Nov 2026'!U36="x",'Nov 2026'!U36="X"),1,0))</f>
        <v/>
      </c>
      <c r="AE51" s="345">
        <f>IF($A51="","",IF(OR('Nov 2026'!U37=TRUE,'Nov 2026'!U37="x",'Nov 2026'!U37="X"),1,0))</f>
        <v/>
      </c>
      <c r="AF51" s="345">
        <f>IF($A51="","",IF('Nov 2026'!U59="","",'Nov 2026'!U59))</f>
        <v/>
      </c>
      <c r="AG51" s="345">
        <f>IF($A51="","",IF('Nov 2026'!U60="","",'Nov 2026'!U60))</f>
        <v/>
      </c>
      <c r="AH51" s="345">
        <f>IF($A51="","",IF('Nov 2026'!U61="","",'Nov 2026'!U61))</f>
        <v/>
      </c>
      <c r="AI51" s="345">
        <f>IF($A51="","",IF('Nov 2026'!U62="","",'Nov 2026'!U62))</f>
        <v/>
      </c>
      <c r="AJ51" s="345">
        <f>IF($A51="","",IF('Nov 2026'!U63="","",'Nov 2026'!U63))</f>
        <v/>
      </c>
      <c r="AK51" s="345">
        <f>IF($A51="","",IF('Nov 2026'!U64="","",'Nov 2026'!U64))</f>
        <v/>
      </c>
      <c r="AL51" s="345">
        <f>IF($A51="","",IF('Nov 2026'!U65="","",'Nov 2026'!U65))</f>
        <v/>
      </c>
      <c r="AM51" s="345">
        <f>IF($A51="","",IF('Nov 2026'!U66="","",'Nov 2026'!U66))</f>
        <v/>
      </c>
      <c r="AN51" s="345">
        <f>IF($A51="","",IF('Nov 2026'!U67="","",'Nov 2026'!U67))</f>
        <v/>
      </c>
      <c r="AO51" s="345">
        <f>IF($A51="",0,IF(AND($A51&gt;=TrackStart,$A51&lt;=TODAY()),1,0))</f>
        <v/>
      </c>
      <c r="AP51" s="345">
        <f>IF($A51="",0,IF(SUM(F51:AE51)+COUNT(AF51:AN51)&gt;0,1,0))</f>
        <v/>
      </c>
      <c r="AQ51" s="345">
        <f>IF($A51="","",INT(($A51-TrackStart)/7)+1)</f>
        <v/>
      </c>
      <c r="AR51" s="345">
        <f>IF($A51="","",IF(AQ51&lt;=1,Steps1,IF(AQ51=2,Steps2,Steps3)))</f>
        <v/>
      </c>
      <c r="AS51" s="345">
        <f>IF($A51="",0,IF(ISNUMBER(SEARCH(TEXT(D51,"0"),WorkDays&amp;"")),1,0))</f>
        <v/>
      </c>
      <c r="AT51" s="345">
        <f>IF($A51="",0,IF(ISNUMBER(SEARCH(TEXT(D51,"0"),StrDays&amp;"")),1,0))</f>
        <v/>
      </c>
      <c r="AU51" s="345">
        <f>IF($A51="",0,IF(ISNUMBER(AK51),IF(AK51&gt;=SleepMin,1,0),N51))</f>
        <v/>
      </c>
      <c r="AV51" s="345">
        <f>IF($A51="",0,MAX(I51,O51,S51,AC51))</f>
        <v/>
      </c>
      <c r="AW51" s="345">
        <f>IF($A51="",0,IF(ISNUMBER(AH51),IF(AH51&gt;=ProtHit,1,0),0))</f>
        <v/>
      </c>
      <c r="AX51" s="345">
        <f>IF($A51="",0,IF(ISNUMBER(AI51),IF(AI51&gt;=WaterHit,1,0),0))</f>
        <v/>
      </c>
      <c r="AY51" s="345">
        <f>IF($A51="",0,IF(ISNUMBER(AG51),IF(AG51&gt;=AR51,1,0),0))</f>
        <v/>
      </c>
      <c r="AZ51" s="345">
        <f>IF($A51="",0,G51)</f>
        <v/>
      </c>
      <c r="BA51" s="345">
        <f>IF($A51="",0,J51)</f>
        <v/>
      </c>
      <c r="BB51" s="345">
        <f>IF($A51="",0,K51)</f>
        <v/>
      </c>
      <c r="BC51" s="345">
        <f>IF($A51="",0,MAX(L51,AE51))</f>
        <v/>
      </c>
      <c r="BD51" s="344">
        <f>IF($A51="","",(AU51+AV51+AW51+AX51+AY51+AZ51+BB51+BC51+IF(AS51=1,BA51,0))/(8+AS51))</f>
        <v/>
      </c>
      <c r="BE51" s="344">
        <f>IF($A51="","",(IF(ISNUMBER(AI51),IF(AI51&gt;=WaterMVD,1,0),0)+AV51+IF(ISNUMBER(AH51),IF(AH51&gt;=ProtMVD,1,0),0)+MAX(H51,AD51)+AZ51+BB51+AU51)/7)</f>
        <v/>
      </c>
      <c r="BF51" s="344">
        <f>IF(AO51=0,"",IF(E51="S","",IF(AND(AP51=0,$A51=TODAY()),"",IF(E51="M",BE51,BD51))))</f>
        <v/>
      </c>
      <c r="BG51" s="344">
        <f>IF(AO51=0,"",IFERROR(AVERAGEIFS(Data!$BF$4:$BF$375,Data!$A$4:$A$375,"&gt;"&amp;($A51-7),Data!$A$4:$A$375,"&lt;="&amp;$A51),""))</f>
        <v/>
      </c>
      <c r="BH51" s="344">
        <f>IF(AO51=0,"",IFERROR(AVERAGEIFS(Data!$BF$4:$BF$375,Data!$A$4:$A$375,"&gt;"&amp;($A51-30),Data!$A$4:$A$375,"&lt;="&amp;$A51),""))</f>
        <v/>
      </c>
      <c r="BI51" s="359">
        <f>IF($A51="","",IFERROR(AVERAGEIFS(Data!$AF$4:$AF$375,Data!$A$4:$A$375,"&gt;"&amp;($A51-7),Data!$A$4:$A$375,"&lt;="&amp;$A51,Data!$AF$4:$AF$375,"&gt;0"),""))</f>
        <v/>
      </c>
      <c r="BJ51" s="345">
        <f>IF($A51="","",F51+G51+H51+I51+J51+K51+L51+M51+N51-IF(AS51=1,0,J51))</f>
        <v/>
      </c>
      <c r="BK51" s="345">
        <f>IF($A51="","",8+AS51)</f>
        <v/>
      </c>
      <c r="BL51" s="345">
        <f>IF(ISNUMBER(BF51),BF51,NA())</f>
        <v/>
      </c>
      <c r="BM51" s="345">
        <f>IF(ISNUMBER(AF51),AF51,NA())</f>
        <v/>
      </c>
      <c r="BN51" s="345">
        <f>IF(ISNUMBER(BI51),BI51,NA())</f>
        <v/>
      </c>
      <c r="BO51" s="345">
        <f>IF(ISNUMBER(AL51),AL51,NA())</f>
        <v/>
      </c>
      <c r="BP51" s="345">
        <f>IF(ISNUMBER(AM51),AM51,NA())</f>
        <v/>
      </c>
      <c r="BQ51" s="345">
        <f>IF(ISNUMBER(AN51),AN51,NA())</f>
        <v/>
      </c>
    </row>
    <row r="52">
      <c r="A52" s="358">
        <f>IF('Nov 2026'!V7="","",'Nov 2026'!V7)</f>
        <v/>
      </c>
      <c r="B52" s="345" t="n">
        <v>2</v>
      </c>
      <c r="C52" s="345">
        <f>IF($A52="","",18)</f>
        <v/>
      </c>
      <c r="D52" s="345">
        <f>IF($A52="","",WEEKDAY($A52,2))</f>
        <v/>
      </c>
      <c r="E52" s="345">
        <f>IF($A52="","",UPPER(TRIM('Nov 2026'!V8)))</f>
        <v/>
      </c>
      <c r="F52" s="345">
        <f>IF($A52="","",IF(OR('Nov 2026'!V10=TRUE,'Nov 2026'!V10="x",'Nov 2026'!V10="X"),1,0))</f>
        <v/>
      </c>
      <c r="G52" s="345">
        <f>IF($A52="","",IF(OR('Nov 2026'!V11=TRUE,'Nov 2026'!V11="x",'Nov 2026'!V11="X"),1,0))</f>
        <v/>
      </c>
      <c r="H52" s="345">
        <f>IF($A52="","",IF(OR('Nov 2026'!V12=TRUE,'Nov 2026'!V12="x",'Nov 2026'!V12="X"),1,0))</f>
        <v/>
      </c>
      <c r="I52" s="345">
        <f>IF($A52="","",IF(OR('Nov 2026'!V13=TRUE,'Nov 2026'!V13="x",'Nov 2026'!V13="X"),1,0))</f>
        <v/>
      </c>
      <c r="J52" s="345">
        <f>IF($A52="","",IF(OR('Nov 2026'!V14=TRUE,'Nov 2026'!V14="x",'Nov 2026'!V14="X"),1,0))</f>
        <v/>
      </c>
      <c r="K52" s="345">
        <f>IF($A52="","",IF(OR('Nov 2026'!V15=TRUE,'Nov 2026'!V15="x",'Nov 2026'!V15="X"),1,0))</f>
        <v/>
      </c>
      <c r="L52" s="345">
        <f>IF($A52="","",IF(OR('Nov 2026'!V16=TRUE,'Nov 2026'!V16="x",'Nov 2026'!V16="X"),1,0))</f>
        <v/>
      </c>
      <c r="M52" s="345">
        <f>IF($A52="","",IF(OR('Nov 2026'!V17=TRUE,'Nov 2026'!V17="x",'Nov 2026'!V17="X"),1,0))</f>
        <v/>
      </c>
      <c r="N52" s="345">
        <f>IF($A52="","",IF(OR('Nov 2026'!V18=TRUE,'Nov 2026'!V18="x",'Nov 2026'!V18="X"),1,0))</f>
        <v/>
      </c>
      <c r="O52" s="345">
        <f>IF($A52="","",IF(OR('Nov 2026'!V20=TRUE,'Nov 2026'!V20="x",'Nov 2026'!V20="X"),1,0))</f>
        <v/>
      </c>
      <c r="P52" s="345">
        <f>IF($A52="","",IF(OR('Nov 2026'!V21=TRUE,'Nov 2026'!V21="x",'Nov 2026'!V21="X"),1,0))</f>
        <v/>
      </c>
      <c r="Q52" s="345">
        <f>IF($A52="","",IF(OR('Nov 2026'!V22=TRUE,'Nov 2026'!V22="x",'Nov 2026'!V22="X"),1,0))</f>
        <v/>
      </c>
      <c r="R52" s="345">
        <f>IF($A52="","",IF(OR('Nov 2026'!V23=TRUE,'Nov 2026'!V23="x",'Nov 2026'!V23="X"),1,0))</f>
        <v/>
      </c>
      <c r="S52" s="345">
        <f>IF($A52="","",IF(OR('Nov 2026'!V24=TRUE,'Nov 2026'!V24="x",'Nov 2026'!V24="X"),1,0))</f>
        <v/>
      </c>
      <c r="T52" s="345">
        <f>IF($A52="","",IF(OR('Nov 2026'!V25=TRUE,'Nov 2026'!V25="x",'Nov 2026'!V25="X"),1,0))</f>
        <v/>
      </c>
      <c r="U52" s="345">
        <f>IF($A52="","",IF(OR('Nov 2026'!V26=TRUE,'Nov 2026'!V26="x",'Nov 2026'!V26="X"),1,0))</f>
        <v/>
      </c>
      <c r="V52" s="345">
        <f>IF($A52="","",IF(OR('Nov 2026'!V27=TRUE,'Nov 2026'!V27="x",'Nov 2026'!V27="X"),1,0))</f>
        <v/>
      </c>
      <c r="W52" s="345">
        <f>IF($A52="","",IF(OR('Nov 2026'!V28=TRUE,'Nov 2026'!V28="x",'Nov 2026'!V28="X"),1,0))</f>
        <v/>
      </c>
      <c r="X52" s="345">
        <f>IF($A52="","",IF(OR('Nov 2026'!V29=TRUE,'Nov 2026'!V29="x",'Nov 2026'!V29="X"),1,0))</f>
        <v/>
      </c>
      <c r="Y52" s="345">
        <f>IF($A52="","",IF(OR('Nov 2026'!V30=TRUE,'Nov 2026'!V30="x",'Nov 2026'!V30="X"),1,0))</f>
        <v/>
      </c>
      <c r="Z52" s="345">
        <f>IF($A52="","",IF(OR('Nov 2026'!V31=TRUE,'Nov 2026'!V31="x",'Nov 2026'!V31="X"),1,0))</f>
        <v/>
      </c>
      <c r="AA52" s="345">
        <f>IF($A52="","",IF(OR('Nov 2026'!V32=TRUE,'Nov 2026'!V32="x",'Nov 2026'!V32="X"),1,0))</f>
        <v/>
      </c>
      <c r="AB52" s="345">
        <f>IF($A52="","",IF(OR('Nov 2026'!V34=TRUE,'Nov 2026'!V34="x",'Nov 2026'!V34="X"),1,0))</f>
        <v/>
      </c>
      <c r="AC52" s="345">
        <f>IF($A52="","",IF(OR('Nov 2026'!V35=TRUE,'Nov 2026'!V35="x",'Nov 2026'!V35="X"),1,0))</f>
        <v/>
      </c>
      <c r="AD52" s="345">
        <f>IF($A52="","",IF(OR('Nov 2026'!V36=TRUE,'Nov 2026'!V36="x",'Nov 2026'!V36="X"),1,0))</f>
        <v/>
      </c>
      <c r="AE52" s="345">
        <f>IF($A52="","",IF(OR('Nov 2026'!V37=TRUE,'Nov 2026'!V37="x",'Nov 2026'!V37="X"),1,0))</f>
        <v/>
      </c>
      <c r="AF52" s="345">
        <f>IF($A52="","",IF('Nov 2026'!V59="","",'Nov 2026'!V59))</f>
        <v/>
      </c>
      <c r="AG52" s="345">
        <f>IF($A52="","",IF('Nov 2026'!V60="","",'Nov 2026'!V60))</f>
        <v/>
      </c>
      <c r="AH52" s="345">
        <f>IF($A52="","",IF('Nov 2026'!V61="","",'Nov 2026'!V61))</f>
        <v/>
      </c>
      <c r="AI52" s="345">
        <f>IF($A52="","",IF('Nov 2026'!V62="","",'Nov 2026'!V62))</f>
        <v/>
      </c>
      <c r="AJ52" s="345">
        <f>IF($A52="","",IF('Nov 2026'!V63="","",'Nov 2026'!V63))</f>
        <v/>
      </c>
      <c r="AK52" s="345">
        <f>IF($A52="","",IF('Nov 2026'!V64="","",'Nov 2026'!V64))</f>
        <v/>
      </c>
      <c r="AL52" s="345">
        <f>IF($A52="","",IF('Nov 2026'!V65="","",'Nov 2026'!V65))</f>
        <v/>
      </c>
      <c r="AM52" s="345">
        <f>IF($A52="","",IF('Nov 2026'!V66="","",'Nov 2026'!V66))</f>
        <v/>
      </c>
      <c r="AN52" s="345">
        <f>IF($A52="","",IF('Nov 2026'!V67="","",'Nov 2026'!V67))</f>
        <v/>
      </c>
      <c r="AO52" s="345">
        <f>IF($A52="",0,IF(AND($A52&gt;=TrackStart,$A52&lt;=TODAY()),1,0))</f>
        <v/>
      </c>
      <c r="AP52" s="345">
        <f>IF($A52="",0,IF(SUM(F52:AE52)+COUNT(AF52:AN52)&gt;0,1,0))</f>
        <v/>
      </c>
      <c r="AQ52" s="345">
        <f>IF($A52="","",INT(($A52-TrackStart)/7)+1)</f>
        <v/>
      </c>
      <c r="AR52" s="345">
        <f>IF($A52="","",IF(AQ52&lt;=1,Steps1,IF(AQ52=2,Steps2,Steps3)))</f>
        <v/>
      </c>
      <c r="AS52" s="345">
        <f>IF($A52="",0,IF(ISNUMBER(SEARCH(TEXT(D52,"0"),WorkDays&amp;"")),1,0))</f>
        <v/>
      </c>
      <c r="AT52" s="345">
        <f>IF($A52="",0,IF(ISNUMBER(SEARCH(TEXT(D52,"0"),StrDays&amp;"")),1,0))</f>
        <v/>
      </c>
      <c r="AU52" s="345">
        <f>IF($A52="",0,IF(ISNUMBER(AK52),IF(AK52&gt;=SleepMin,1,0),N52))</f>
        <v/>
      </c>
      <c r="AV52" s="345">
        <f>IF($A52="",0,MAX(I52,O52,S52,AC52))</f>
        <v/>
      </c>
      <c r="AW52" s="345">
        <f>IF($A52="",0,IF(ISNUMBER(AH52),IF(AH52&gt;=ProtHit,1,0),0))</f>
        <v/>
      </c>
      <c r="AX52" s="345">
        <f>IF($A52="",0,IF(ISNUMBER(AI52),IF(AI52&gt;=WaterHit,1,0),0))</f>
        <v/>
      </c>
      <c r="AY52" s="345">
        <f>IF($A52="",0,IF(ISNUMBER(AG52),IF(AG52&gt;=AR52,1,0),0))</f>
        <v/>
      </c>
      <c r="AZ52" s="345">
        <f>IF($A52="",0,G52)</f>
        <v/>
      </c>
      <c r="BA52" s="345">
        <f>IF($A52="",0,J52)</f>
        <v/>
      </c>
      <c r="BB52" s="345">
        <f>IF($A52="",0,K52)</f>
        <v/>
      </c>
      <c r="BC52" s="345">
        <f>IF($A52="",0,MAX(L52,AE52))</f>
        <v/>
      </c>
      <c r="BD52" s="344">
        <f>IF($A52="","",(AU52+AV52+AW52+AX52+AY52+AZ52+BB52+BC52+IF(AS52=1,BA52,0))/(8+AS52))</f>
        <v/>
      </c>
      <c r="BE52" s="344">
        <f>IF($A52="","",(IF(ISNUMBER(AI52),IF(AI52&gt;=WaterMVD,1,0),0)+AV52+IF(ISNUMBER(AH52),IF(AH52&gt;=ProtMVD,1,0),0)+MAX(H52,AD52)+AZ52+BB52+AU52)/7)</f>
        <v/>
      </c>
      <c r="BF52" s="344">
        <f>IF(AO52=0,"",IF(E52="S","",IF(AND(AP52=0,$A52=TODAY()),"",IF(E52="M",BE52,BD52))))</f>
        <v/>
      </c>
      <c r="BG52" s="344">
        <f>IF(AO52=0,"",IFERROR(AVERAGEIFS(Data!$BF$4:$BF$375,Data!$A$4:$A$375,"&gt;"&amp;($A52-7),Data!$A$4:$A$375,"&lt;="&amp;$A52),""))</f>
        <v/>
      </c>
      <c r="BH52" s="344">
        <f>IF(AO52=0,"",IFERROR(AVERAGEIFS(Data!$BF$4:$BF$375,Data!$A$4:$A$375,"&gt;"&amp;($A52-30),Data!$A$4:$A$375,"&lt;="&amp;$A52),""))</f>
        <v/>
      </c>
      <c r="BI52" s="359">
        <f>IF($A52="","",IFERROR(AVERAGEIFS(Data!$AF$4:$AF$375,Data!$A$4:$A$375,"&gt;"&amp;($A52-7),Data!$A$4:$A$375,"&lt;="&amp;$A52,Data!$AF$4:$AF$375,"&gt;0"),""))</f>
        <v/>
      </c>
      <c r="BJ52" s="345">
        <f>IF($A52="","",F52+G52+H52+I52+J52+K52+L52+M52+N52-IF(AS52=1,0,J52))</f>
        <v/>
      </c>
      <c r="BK52" s="345">
        <f>IF($A52="","",8+AS52)</f>
        <v/>
      </c>
      <c r="BL52" s="345">
        <f>IF(ISNUMBER(BF52),BF52,NA())</f>
        <v/>
      </c>
      <c r="BM52" s="345">
        <f>IF(ISNUMBER(AF52),AF52,NA())</f>
        <v/>
      </c>
      <c r="BN52" s="345">
        <f>IF(ISNUMBER(BI52),BI52,NA())</f>
        <v/>
      </c>
      <c r="BO52" s="345">
        <f>IF(ISNUMBER(AL52),AL52,NA())</f>
        <v/>
      </c>
      <c r="BP52" s="345">
        <f>IF(ISNUMBER(AM52),AM52,NA())</f>
        <v/>
      </c>
      <c r="BQ52" s="345">
        <f>IF(ISNUMBER(AN52),AN52,NA())</f>
        <v/>
      </c>
    </row>
    <row r="53">
      <c r="A53" s="358">
        <f>IF('Nov 2026'!W7="","",'Nov 2026'!W7)</f>
        <v/>
      </c>
      <c r="B53" s="345" t="n">
        <v>2</v>
      </c>
      <c r="C53" s="345">
        <f>IF($A53="","",19)</f>
        <v/>
      </c>
      <c r="D53" s="345">
        <f>IF($A53="","",WEEKDAY($A53,2))</f>
        <v/>
      </c>
      <c r="E53" s="345">
        <f>IF($A53="","",UPPER(TRIM('Nov 2026'!W8)))</f>
        <v/>
      </c>
      <c r="F53" s="345">
        <f>IF($A53="","",IF(OR('Nov 2026'!W10=TRUE,'Nov 2026'!W10="x",'Nov 2026'!W10="X"),1,0))</f>
        <v/>
      </c>
      <c r="G53" s="345">
        <f>IF($A53="","",IF(OR('Nov 2026'!W11=TRUE,'Nov 2026'!W11="x",'Nov 2026'!W11="X"),1,0))</f>
        <v/>
      </c>
      <c r="H53" s="345">
        <f>IF($A53="","",IF(OR('Nov 2026'!W12=TRUE,'Nov 2026'!W12="x",'Nov 2026'!W12="X"),1,0))</f>
        <v/>
      </c>
      <c r="I53" s="345">
        <f>IF($A53="","",IF(OR('Nov 2026'!W13=TRUE,'Nov 2026'!W13="x",'Nov 2026'!W13="X"),1,0))</f>
        <v/>
      </c>
      <c r="J53" s="345">
        <f>IF($A53="","",IF(OR('Nov 2026'!W14=TRUE,'Nov 2026'!W14="x",'Nov 2026'!W14="X"),1,0))</f>
        <v/>
      </c>
      <c r="K53" s="345">
        <f>IF($A53="","",IF(OR('Nov 2026'!W15=TRUE,'Nov 2026'!W15="x",'Nov 2026'!W15="X"),1,0))</f>
        <v/>
      </c>
      <c r="L53" s="345">
        <f>IF($A53="","",IF(OR('Nov 2026'!W16=TRUE,'Nov 2026'!W16="x",'Nov 2026'!W16="X"),1,0))</f>
        <v/>
      </c>
      <c r="M53" s="345">
        <f>IF($A53="","",IF(OR('Nov 2026'!W17=TRUE,'Nov 2026'!W17="x",'Nov 2026'!W17="X"),1,0))</f>
        <v/>
      </c>
      <c r="N53" s="345">
        <f>IF($A53="","",IF(OR('Nov 2026'!W18=TRUE,'Nov 2026'!W18="x",'Nov 2026'!W18="X"),1,0))</f>
        <v/>
      </c>
      <c r="O53" s="345">
        <f>IF($A53="","",IF(OR('Nov 2026'!W20=TRUE,'Nov 2026'!W20="x",'Nov 2026'!W20="X"),1,0))</f>
        <v/>
      </c>
      <c r="P53" s="345">
        <f>IF($A53="","",IF(OR('Nov 2026'!W21=TRUE,'Nov 2026'!W21="x",'Nov 2026'!W21="X"),1,0))</f>
        <v/>
      </c>
      <c r="Q53" s="345">
        <f>IF($A53="","",IF(OR('Nov 2026'!W22=TRUE,'Nov 2026'!W22="x",'Nov 2026'!W22="X"),1,0))</f>
        <v/>
      </c>
      <c r="R53" s="345">
        <f>IF($A53="","",IF(OR('Nov 2026'!W23=TRUE,'Nov 2026'!W23="x",'Nov 2026'!W23="X"),1,0))</f>
        <v/>
      </c>
      <c r="S53" s="345">
        <f>IF($A53="","",IF(OR('Nov 2026'!W24=TRUE,'Nov 2026'!W24="x",'Nov 2026'!W24="X"),1,0))</f>
        <v/>
      </c>
      <c r="T53" s="345">
        <f>IF($A53="","",IF(OR('Nov 2026'!W25=TRUE,'Nov 2026'!W25="x",'Nov 2026'!W25="X"),1,0))</f>
        <v/>
      </c>
      <c r="U53" s="345">
        <f>IF($A53="","",IF(OR('Nov 2026'!W26=TRUE,'Nov 2026'!W26="x",'Nov 2026'!W26="X"),1,0))</f>
        <v/>
      </c>
      <c r="V53" s="345">
        <f>IF($A53="","",IF(OR('Nov 2026'!W27=TRUE,'Nov 2026'!W27="x",'Nov 2026'!W27="X"),1,0))</f>
        <v/>
      </c>
      <c r="W53" s="345">
        <f>IF($A53="","",IF(OR('Nov 2026'!W28=TRUE,'Nov 2026'!W28="x",'Nov 2026'!W28="X"),1,0))</f>
        <v/>
      </c>
      <c r="X53" s="345">
        <f>IF($A53="","",IF(OR('Nov 2026'!W29=TRUE,'Nov 2026'!W29="x",'Nov 2026'!W29="X"),1,0))</f>
        <v/>
      </c>
      <c r="Y53" s="345">
        <f>IF($A53="","",IF(OR('Nov 2026'!W30=TRUE,'Nov 2026'!W30="x",'Nov 2026'!W30="X"),1,0))</f>
        <v/>
      </c>
      <c r="Z53" s="345">
        <f>IF($A53="","",IF(OR('Nov 2026'!W31=TRUE,'Nov 2026'!W31="x",'Nov 2026'!W31="X"),1,0))</f>
        <v/>
      </c>
      <c r="AA53" s="345">
        <f>IF($A53="","",IF(OR('Nov 2026'!W32=TRUE,'Nov 2026'!W32="x",'Nov 2026'!W32="X"),1,0))</f>
        <v/>
      </c>
      <c r="AB53" s="345">
        <f>IF($A53="","",IF(OR('Nov 2026'!W34=TRUE,'Nov 2026'!W34="x",'Nov 2026'!W34="X"),1,0))</f>
        <v/>
      </c>
      <c r="AC53" s="345">
        <f>IF($A53="","",IF(OR('Nov 2026'!W35=TRUE,'Nov 2026'!W35="x",'Nov 2026'!W35="X"),1,0))</f>
        <v/>
      </c>
      <c r="AD53" s="345">
        <f>IF($A53="","",IF(OR('Nov 2026'!W36=TRUE,'Nov 2026'!W36="x",'Nov 2026'!W36="X"),1,0))</f>
        <v/>
      </c>
      <c r="AE53" s="345">
        <f>IF($A53="","",IF(OR('Nov 2026'!W37=TRUE,'Nov 2026'!W37="x",'Nov 2026'!W37="X"),1,0))</f>
        <v/>
      </c>
      <c r="AF53" s="345">
        <f>IF($A53="","",IF('Nov 2026'!W59="","",'Nov 2026'!W59))</f>
        <v/>
      </c>
      <c r="AG53" s="345">
        <f>IF($A53="","",IF('Nov 2026'!W60="","",'Nov 2026'!W60))</f>
        <v/>
      </c>
      <c r="AH53" s="345">
        <f>IF($A53="","",IF('Nov 2026'!W61="","",'Nov 2026'!W61))</f>
        <v/>
      </c>
      <c r="AI53" s="345">
        <f>IF($A53="","",IF('Nov 2026'!W62="","",'Nov 2026'!W62))</f>
        <v/>
      </c>
      <c r="AJ53" s="345">
        <f>IF($A53="","",IF('Nov 2026'!W63="","",'Nov 2026'!W63))</f>
        <v/>
      </c>
      <c r="AK53" s="345">
        <f>IF($A53="","",IF('Nov 2026'!W64="","",'Nov 2026'!W64))</f>
        <v/>
      </c>
      <c r="AL53" s="345">
        <f>IF($A53="","",IF('Nov 2026'!W65="","",'Nov 2026'!W65))</f>
        <v/>
      </c>
      <c r="AM53" s="345">
        <f>IF($A53="","",IF('Nov 2026'!W66="","",'Nov 2026'!W66))</f>
        <v/>
      </c>
      <c r="AN53" s="345">
        <f>IF($A53="","",IF('Nov 2026'!W67="","",'Nov 2026'!W67))</f>
        <v/>
      </c>
      <c r="AO53" s="345">
        <f>IF($A53="",0,IF(AND($A53&gt;=TrackStart,$A53&lt;=TODAY()),1,0))</f>
        <v/>
      </c>
      <c r="AP53" s="345">
        <f>IF($A53="",0,IF(SUM(F53:AE53)+COUNT(AF53:AN53)&gt;0,1,0))</f>
        <v/>
      </c>
      <c r="AQ53" s="345">
        <f>IF($A53="","",INT(($A53-TrackStart)/7)+1)</f>
        <v/>
      </c>
      <c r="AR53" s="345">
        <f>IF($A53="","",IF(AQ53&lt;=1,Steps1,IF(AQ53=2,Steps2,Steps3)))</f>
        <v/>
      </c>
      <c r="AS53" s="345">
        <f>IF($A53="",0,IF(ISNUMBER(SEARCH(TEXT(D53,"0"),WorkDays&amp;"")),1,0))</f>
        <v/>
      </c>
      <c r="AT53" s="345">
        <f>IF($A53="",0,IF(ISNUMBER(SEARCH(TEXT(D53,"0"),StrDays&amp;"")),1,0))</f>
        <v/>
      </c>
      <c r="AU53" s="345">
        <f>IF($A53="",0,IF(ISNUMBER(AK53),IF(AK53&gt;=SleepMin,1,0),N53))</f>
        <v/>
      </c>
      <c r="AV53" s="345">
        <f>IF($A53="",0,MAX(I53,O53,S53,AC53))</f>
        <v/>
      </c>
      <c r="AW53" s="345">
        <f>IF($A53="",0,IF(ISNUMBER(AH53),IF(AH53&gt;=ProtHit,1,0),0))</f>
        <v/>
      </c>
      <c r="AX53" s="345">
        <f>IF($A53="",0,IF(ISNUMBER(AI53),IF(AI53&gt;=WaterHit,1,0),0))</f>
        <v/>
      </c>
      <c r="AY53" s="345">
        <f>IF($A53="",0,IF(ISNUMBER(AG53),IF(AG53&gt;=AR53,1,0),0))</f>
        <v/>
      </c>
      <c r="AZ53" s="345">
        <f>IF($A53="",0,G53)</f>
        <v/>
      </c>
      <c r="BA53" s="345">
        <f>IF($A53="",0,J53)</f>
        <v/>
      </c>
      <c r="BB53" s="345">
        <f>IF($A53="",0,K53)</f>
        <v/>
      </c>
      <c r="BC53" s="345">
        <f>IF($A53="",0,MAX(L53,AE53))</f>
        <v/>
      </c>
      <c r="BD53" s="344">
        <f>IF($A53="","",(AU53+AV53+AW53+AX53+AY53+AZ53+BB53+BC53+IF(AS53=1,BA53,0))/(8+AS53))</f>
        <v/>
      </c>
      <c r="BE53" s="344">
        <f>IF($A53="","",(IF(ISNUMBER(AI53),IF(AI53&gt;=WaterMVD,1,0),0)+AV53+IF(ISNUMBER(AH53),IF(AH53&gt;=ProtMVD,1,0),0)+MAX(H53,AD53)+AZ53+BB53+AU53)/7)</f>
        <v/>
      </c>
      <c r="BF53" s="344">
        <f>IF(AO53=0,"",IF(E53="S","",IF(AND(AP53=0,$A53=TODAY()),"",IF(E53="M",BE53,BD53))))</f>
        <v/>
      </c>
      <c r="BG53" s="344">
        <f>IF(AO53=0,"",IFERROR(AVERAGEIFS(Data!$BF$4:$BF$375,Data!$A$4:$A$375,"&gt;"&amp;($A53-7),Data!$A$4:$A$375,"&lt;="&amp;$A53),""))</f>
        <v/>
      </c>
      <c r="BH53" s="344">
        <f>IF(AO53=0,"",IFERROR(AVERAGEIFS(Data!$BF$4:$BF$375,Data!$A$4:$A$375,"&gt;"&amp;($A53-30),Data!$A$4:$A$375,"&lt;="&amp;$A53),""))</f>
        <v/>
      </c>
      <c r="BI53" s="359">
        <f>IF($A53="","",IFERROR(AVERAGEIFS(Data!$AF$4:$AF$375,Data!$A$4:$A$375,"&gt;"&amp;($A53-7),Data!$A$4:$A$375,"&lt;="&amp;$A53,Data!$AF$4:$AF$375,"&gt;0"),""))</f>
        <v/>
      </c>
      <c r="BJ53" s="345">
        <f>IF($A53="","",F53+G53+H53+I53+J53+K53+L53+M53+N53-IF(AS53=1,0,J53))</f>
        <v/>
      </c>
      <c r="BK53" s="345">
        <f>IF($A53="","",8+AS53)</f>
        <v/>
      </c>
      <c r="BL53" s="345">
        <f>IF(ISNUMBER(BF53),BF53,NA())</f>
        <v/>
      </c>
      <c r="BM53" s="345">
        <f>IF(ISNUMBER(AF53),AF53,NA())</f>
        <v/>
      </c>
      <c r="BN53" s="345">
        <f>IF(ISNUMBER(BI53),BI53,NA())</f>
        <v/>
      </c>
      <c r="BO53" s="345">
        <f>IF(ISNUMBER(AL53),AL53,NA())</f>
        <v/>
      </c>
      <c r="BP53" s="345">
        <f>IF(ISNUMBER(AM53),AM53,NA())</f>
        <v/>
      </c>
      <c r="BQ53" s="345">
        <f>IF(ISNUMBER(AN53),AN53,NA())</f>
        <v/>
      </c>
    </row>
    <row r="54">
      <c r="A54" s="358">
        <f>IF('Nov 2026'!X7="","",'Nov 2026'!X7)</f>
        <v/>
      </c>
      <c r="B54" s="345" t="n">
        <v>2</v>
      </c>
      <c r="C54" s="345">
        <f>IF($A54="","",20)</f>
        <v/>
      </c>
      <c r="D54" s="345">
        <f>IF($A54="","",WEEKDAY($A54,2))</f>
        <v/>
      </c>
      <c r="E54" s="345">
        <f>IF($A54="","",UPPER(TRIM('Nov 2026'!X8)))</f>
        <v/>
      </c>
      <c r="F54" s="345">
        <f>IF($A54="","",IF(OR('Nov 2026'!X10=TRUE,'Nov 2026'!X10="x",'Nov 2026'!X10="X"),1,0))</f>
        <v/>
      </c>
      <c r="G54" s="345">
        <f>IF($A54="","",IF(OR('Nov 2026'!X11=TRUE,'Nov 2026'!X11="x",'Nov 2026'!X11="X"),1,0))</f>
        <v/>
      </c>
      <c r="H54" s="345">
        <f>IF($A54="","",IF(OR('Nov 2026'!X12=TRUE,'Nov 2026'!X12="x",'Nov 2026'!X12="X"),1,0))</f>
        <v/>
      </c>
      <c r="I54" s="345">
        <f>IF($A54="","",IF(OR('Nov 2026'!X13=TRUE,'Nov 2026'!X13="x",'Nov 2026'!X13="X"),1,0))</f>
        <v/>
      </c>
      <c r="J54" s="345">
        <f>IF($A54="","",IF(OR('Nov 2026'!X14=TRUE,'Nov 2026'!X14="x",'Nov 2026'!X14="X"),1,0))</f>
        <v/>
      </c>
      <c r="K54" s="345">
        <f>IF($A54="","",IF(OR('Nov 2026'!X15=TRUE,'Nov 2026'!X15="x",'Nov 2026'!X15="X"),1,0))</f>
        <v/>
      </c>
      <c r="L54" s="345">
        <f>IF($A54="","",IF(OR('Nov 2026'!X16=TRUE,'Nov 2026'!X16="x",'Nov 2026'!X16="X"),1,0))</f>
        <v/>
      </c>
      <c r="M54" s="345">
        <f>IF($A54="","",IF(OR('Nov 2026'!X17=TRUE,'Nov 2026'!X17="x",'Nov 2026'!X17="X"),1,0))</f>
        <v/>
      </c>
      <c r="N54" s="345">
        <f>IF($A54="","",IF(OR('Nov 2026'!X18=TRUE,'Nov 2026'!X18="x",'Nov 2026'!X18="X"),1,0))</f>
        <v/>
      </c>
      <c r="O54" s="345">
        <f>IF($A54="","",IF(OR('Nov 2026'!X20=TRUE,'Nov 2026'!X20="x",'Nov 2026'!X20="X"),1,0))</f>
        <v/>
      </c>
      <c r="P54" s="345">
        <f>IF($A54="","",IF(OR('Nov 2026'!X21=TRUE,'Nov 2026'!X21="x",'Nov 2026'!X21="X"),1,0))</f>
        <v/>
      </c>
      <c r="Q54" s="345">
        <f>IF($A54="","",IF(OR('Nov 2026'!X22=TRUE,'Nov 2026'!X22="x",'Nov 2026'!X22="X"),1,0))</f>
        <v/>
      </c>
      <c r="R54" s="345">
        <f>IF($A54="","",IF(OR('Nov 2026'!X23=TRUE,'Nov 2026'!X23="x",'Nov 2026'!X23="X"),1,0))</f>
        <v/>
      </c>
      <c r="S54" s="345">
        <f>IF($A54="","",IF(OR('Nov 2026'!X24=TRUE,'Nov 2026'!X24="x",'Nov 2026'!X24="X"),1,0))</f>
        <v/>
      </c>
      <c r="T54" s="345">
        <f>IF($A54="","",IF(OR('Nov 2026'!X25=TRUE,'Nov 2026'!X25="x",'Nov 2026'!X25="X"),1,0))</f>
        <v/>
      </c>
      <c r="U54" s="345">
        <f>IF($A54="","",IF(OR('Nov 2026'!X26=TRUE,'Nov 2026'!X26="x",'Nov 2026'!X26="X"),1,0))</f>
        <v/>
      </c>
      <c r="V54" s="345">
        <f>IF($A54="","",IF(OR('Nov 2026'!X27=TRUE,'Nov 2026'!X27="x",'Nov 2026'!X27="X"),1,0))</f>
        <v/>
      </c>
      <c r="W54" s="345">
        <f>IF($A54="","",IF(OR('Nov 2026'!X28=TRUE,'Nov 2026'!X28="x",'Nov 2026'!X28="X"),1,0))</f>
        <v/>
      </c>
      <c r="X54" s="345">
        <f>IF($A54="","",IF(OR('Nov 2026'!X29=TRUE,'Nov 2026'!X29="x",'Nov 2026'!X29="X"),1,0))</f>
        <v/>
      </c>
      <c r="Y54" s="345">
        <f>IF($A54="","",IF(OR('Nov 2026'!X30=TRUE,'Nov 2026'!X30="x",'Nov 2026'!X30="X"),1,0))</f>
        <v/>
      </c>
      <c r="Z54" s="345">
        <f>IF($A54="","",IF(OR('Nov 2026'!X31=TRUE,'Nov 2026'!X31="x",'Nov 2026'!X31="X"),1,0))</f>
        <v/>
      </c>
      <c r="AA54" s="345">
        <f>IF($A54="","",IF(OR('Nov 2026'!X32=TRUE,'Nov 2026'!X32="x",'Nov 2026'!X32="X"),1,0))</f>
        <v/>
      </c>
      <c r="AB54" s="345">
        <f>IF($A54="","",IF(OR('Nov 2026'!X34=TRUE,'Nov 2026'!X34="x",'Nov 2026'!X34="X"),1,0))</f>
        <v/>
      </c>
      <c r="AC54" s="345">
        <f>IF($A54="","",IF(OR('Nov 2026'!X35=TRUE,'Nov 2026'!X35="x",'Nov 2026'!X35="X"),1,0))</f>
        <v/>
      </c>
      <c r="AD54" s="345">
        <f>IF($A54="","",IF(OR('Nov 2026'!X36=TRUE,'Nov 2026'!X36="x",'Nov 2026'!X36="X"),1,0))</f>
        <v/>
      </c>
      <c r="AE54" s="345">
        <f>IF($A54="","",IF(OR('Nov 2026'!X37=TRUE,'Nov 2026'!X37="x",'Nov 2026'!X37="X"),1,0))</f>
        <v/>
      </c>
      <c r="AF54" s="345">
        <f>IF($A54="","",IF('Nov 2026'!X59="","",'Nov 2026'!X59))</f>
        <v/>
      </c>
      <c r="AG54" s="345">
        <f>IF($A54="","",IF('Nov 2026'!X60="","",'Nov 2026'!X60))</f>
        <v/>
      </c>
      <c r="AH54" s="345">
        <f>IF($A54="","",IF('Nov 2026'!X61="","",'Nov 2026'!X61))</f>
        <v/>
      </c>
      <c r="AI54" s="345">
        <f>IF($A54="","",IF('Nov 2026'!X62="","",'Nov 2026'!X62))</f>
        <v/>
      </c>
      <c r="AJ54" s="345">
        <f>IF($A54="","",IF('Nov 2026'!X63="","",'Nov 2026'!X63))</f>
        <v/>
      </c>
      <c r="AK54" s="345">
        <f>IF($A54="","",IF('Nov 2026'!X64="","",'Nov 2026'!X64))</f>
        <v/>
      </c>
      <c r="AL54" s="345">
        <f>IF($A54="","",IF('Nov 2026'!X65="","",'Nov 2026'!X65))</f>
        <v/>
      </c>
      <c r="AM54" s="345">
        <f>IF($A54="","",IF('Nov 2026'!X66="","",'Nov 2026'!X66))</f>
        <v/>
      </c>
      <c r="AN54" s="345">
        <f>IF($A54="","",IF('Nov 2026'!X67="","",'Nov 2026'!X67))</f>
        <v/>
      </c>
      <c r="AO54" s="345">
        <f>IF($A54="",0,IF(AND($A54&gt;=TrackStart,$A54&lt;=TODAY()),1,0))</f>
        <v/>
      </c>
      <c r="AP54" s="345">
        <f>IF($A54="",0,IF(SUM(F54:AE54)+COUNT(AF54:AN54)&gt;0,1,0))</f>
        <v/>
      </c>
      <c r="AQ54" s="345">
        <f>IF($A54="","",INT(($A54-TrackStart)/7)+1)</f>
        <v/>
      </c>
      <c r="AR54" s="345">
        <f>IF($A54="","",IF(AQ54&lt;=1,Steps1,IF(AQ54=2,Steps2,Steps3)))</f>
        <v/>
      </c>
      <c r="AS54" s="345">
        <f>IF($A54="",0,IF(ISNUMBER(SEARCH(TEXT(D54,"0"),WorkDays&amp;"")),1,0))</f>
        <v/>
      </c>
      <c r="AT54" s="345">
        <f>IF($A54="",0,IF(ISNUMBER(SEARCH(TEXT(D54,"0"),StrDays&amp;"")),1,0))</f>
        <v/>
      </c>
      <c r="AU54" s="345">
        <f>IF($A54="",0,IF(ISNUMBER(AK54),IF(AK54&gt;=SleepMin,1,0),N54))</f>
        <v/>
      </c>
      <c r="AV54" s="345">
        <f>IF($A54="",0,MAX(I54,O54,S54,AC54))</f>
        <v/>
      </c>
      <c r="AW54" s="345">
        <f>IF($A54="",0,IF(ISNUMBER(AH54),IF(AH54&gt;=ProtHit,1,0),0))</f>
        <v/>
      </c>
      <c r="AX54" s="345">
        <f>IF($A54="",0,IF(ISNUMBER(AI54),IF(AI54&gt;=WaterHit,1,0),0))</f>
        <v/>
      </c>
      <c r="AY54" s="345">
        <f>IF($A54="",0,IF(ISNUMBER(AG54),IF(AG54&gt;=AR54,1,0),0))</f>
        <v/>
      </c>
      <c r="AZ54" s="345">
        <f>IF($A54="",0,G54)</f>
        <v/>
      </c>
      <c r="BA54" s="345">
        <f>IF($A54="",0,J54)</f>
        <v/>
      </c>
      <c r="BB54" s="345">
        <f>IF($A54="",0,K54)</f>
        <v/>
      </c>
      <c r="BC54" s="345">
        <f>IF($A54="",0,MAX(L54,AE54))</f>
        <v/>
      </c>
      <c r="BD54" s="344">
        <f>IF($A54="","",(AU54+AV54+AW54+AX54+AY54+AZ54+BB54+BC54+IF(AS54=1,BA54,0))/(8+AS54))</f>
        <v/>
      </c>
      <c r="BE54" s="344">
        <f>IF($A54="","",(IF(ISNUMBER(AI54),IF(AI54&gt;=WaterMVD,1,0),0)+AV54+IF(ISNUMBER(AH54),IF(AH54&gt;=ProtMVD,1,0),0)+MAX(H54,AD54)+AZ54+BB54+AU54)/7)</f>
        <v/>
      </c>
      <c r="BF54" s="344">
        <f>IF(AO54=0,"",IF(E54="S","",IF(AND(AP54=0,$A54=TODAY()),"",IF(E54="M",BE54,BD54))))</f>
        <v/>
      </c>
      <c r="BG54" s="344">
        <f>IF(AO54=0,"",IFERROR(AVERAGEIFS(Data!$BF$4:$BF$375,Data!$A$4:$A$375,"&gt;"&amp;($A54-7),Data!$A$4:$A$375,"&lt;="&amp;$A54),""))</f>
        <v/>
      </c>
      <c r="BH54" s="344">
        <f>IF(AO54=0,"",IFERROR(AVERAGEIFS(Data!$BF$4:$BF$375,Data!$A$4:$A$375,"&gt;"&amp;($A54-30),Data!$A$4:$A$375,"&lt;="&amp;$A54),""))</f>
        <v/>
      </c>
      <c r="BI54" s="359">
        <f>IF($A54="","",IFERROR(AVERAGEIFS(Data!$AF$4:$AF$375,Data!$A$4:$A$375,"&gt;"&amp;($A54-7),Data!$A$4:$A$375,"&lt;="&amp;$A54,Data!$AF$4:$AF$375,"&gt;0"),""))</f>
        <v/>
      </c>
      <c r="BJ54" s="345">
        <f>IF($A54="","",F54+G54+H54+I54+J54+K54+L54+M54+N54-IF(AS54=1,0,J54))</f>
        <v/>
      </c>
      <c r="BK54" s="345">
        <f>IF($A54="","",8+AS54)</f>
        <v/>
      </c>
      <c r="BL54" s="345">
        <f>IF(ISNUMBER(BF54),BF54,NA())</f>
        <v/>
      </c>
      <c r="BM54" s="345">
        <f>IF(ISNUMBER(AF54),AF54,NA())</f>
        <v/>
      </c>
      <c r="BN54" s="345">
        <f>IF(ISNUMBER(BI54),BI54,NA())</f>
        <v/>
      </c>
      <c r="BO54" s="345">
        <f>IF(ISNUMBER(AL54),AL54,NA())</f>
        <v/>
      </c>
      <c r="BP54" s="345">
        <f>IF(ISNUMBER(AM54),AM54,NA())</f>
        <v/>
      </c>
      <c r="BQ54" s="345">
        <f>IF(ISNUMBER(AN54),AN54,NA())</f>
        <v/>
      </c>
    </row>
    <row r="55">
      <c r="A55" s="358">
        <f>IF('Nov 2026'!Y7="","",'Nov 2026'!Y7)</f>
        <v/>
      </c>
      <c r="B55" s="345" t="n">
        <v>2</v>
      </c>
      <c r="C55" s="345">
        <f>IF($A55="","",21)</f>
        <v/>
      </c>
      <c r="D55" s="345">
        <f>IF($A55="","",WEEKDAY($A55,2))</f>
        <v/>
      </c>
      <c r="E55" s="345">
        <f>IF($A55="","",UPPER(TRIM('Nov 2026'!Y8)))</f>
        <v/>
      </c>
      <c r="F55" s="345">
        <f>IF($A55="","",IF(OR('Nov 2026'!Y10=TRUE,'Nov 2026'!Y10="x",'Nov 2026'!Y10="X"),1,0))</f>
        <v/>
      </c>
      <c r="G55" s="345">
        <f>IF($A55="","",IF(OR('Nov 2026'!Y11=TRUE,'Nov 2026'!Y11="x",'Nov 2026'!Y11="X"),1,0))</f>
        <v/>
      </c>
      <c r="H55" s="345">
        <f>IF($A55="","",IF(OR('Nov 2026'!Y12=TRUE,'Nov 2026'!Y12="x",'Nov 2026'!Y12="X"),1,0))</f>
        <v/>
      </c>
      <c r="I55" s="345">
        <f>IF($A55="","",IF(OR('Nov 2026'!Y13=TRUE,'Nov 2026'!Y13="x",'Nov 2026'!Y13="X"),1,0))</f>
        <v/>
      </c>
      <c r="J55" s="345">
        <f>IF($A55="","",IF(OR('Nov 2026'!Y14=TRUE,'Nov 2026'!Y14="x",'Nov 2026'!Y14="X"),1,0))</f>
        <v/>
      </c>
      <c r="K55" s="345">
        <f>IF($A55="","",IF(OR('Nov 2026'!Y15=TRUE,'Nov 2026'!Y15="x",'Nov 2026'!Y15="X"),1,0))</f>
        <v/>
      </c>
      <c r="L55" s="345">
        <f>IF($A55="","",IF(OR('Nov 2026'!Y16=TRUE,'Nov 2026'!Y16="x",'Nov 2026'!Y16="X"),1,0))</f>
        <v/>
      </c>
      <c r="M55" s="345">
        <f>IF($A55="","",IF(OR('Nov 2026'!Y17=TRUE,'Nov 2026'!Y17="x",'Nov 2026'!Y17="X"),1,0))</f>
        <v/>
      </c>
      <c r="N55" s="345">
        <f>IF($A55="","",IF(OR('Nov 2026'!Y18=TRUE,'Nov 2026'!Y18="x",'Nov 2026'!Y18="X"),1,0))</f>
        <v/>
      </c>
      <c r="O55" s="345">
        <f>IF($A55="","",IF(OR('Nov 2026'!Y20=TRUE,'Nov 2026'!Y20="x",'Nov 2026'!Y20="X"),1,0))</f>
        <v/>
      </c>
      <c r="P55" s="345">
        <f>IF($A55="","",IF(OR('Nov 2026'!Y21=TRUE,'Nov 2026'!Y21="x",'Nov 2026'!Y21="X"),1,0))</f>
        <v/>
      </c>
      <c r="Q55" s="345">
        <f>IF($A55="","",IF(OR('Nov 2026'!Y22=TRUE,'Nov 2026'!Y22="x",'Nov 2026'!Y22="X"),1,0))</f>
        <v/>
      </c>
      <c r="R55" s="345">
        <f>IF($A55="","",IF(OR('Nov 2026'!Y23=TRUE,'Nov 2026'!Y23="x",'Nov 2026'!Y23="X"),1,0))</f>
        <v/>
      </c>
      <c r="S55" s="345">
        <f>IF($A55="","",IF(OR('Nov 2026'!Y24=TRUE,'Nov 2026'!Y24="x",'Nov 2026'!Y24="X"),1,0))</f>
        <v/>
      </c>
      <c r="T55" s="345">
        <f>IF($A55="","",IF(OR('Nov 2026'!Y25=TRUE,'Nov 2026'!Y25="x",'Nov 2026'!Y25="X"),1,0))</f>
        <v/>
      </c>
      <c r="U55" s="345">
        <f>IF($A55="","",IF(OR('Nov 2026'!Y26=TRUE,'Nov 2026'!Y26="x",'Nov 2026'!Y26="X"),1,0))</f>
        <v/>
      </c>
      <c r="V55" s="345">
        <f>IF($A55="","",IF(OR('Nov 2026'!Y27=TRUE,'Nov 2026'!Y27="x",'Nov 2026'!Y27="X"),1,0))</f>
        <v/>
      </c>
      <c r="W55" s="345">
        <f>IF($A55="","",IF(OR('Nov 2026'!Y28=TRUE,'Nov 2026'!Y28="x",'Nov 2026'!Y28="X"),1,0))</f>
        <v/>
      </c>
      <c r="X55" s="345">
        <f>IF($A55="","",IF(OR('Nov 2026'!Y29=TRUE,'Nov 2026'!Y29="x",'Nov 2026'!Y29="X"),1,0))</f>
        <v/>
      </c>
      <c r="Y55" s="345">
        <f>IF($A55="","",IF(OR('Nov 2026'!Y30=TRUE,'Nov 2026'!Y30="x",'Nov 2026'!Y30="X"),1,0))</f>
        <v/>
      </c>
      <c r="Z55" s="345">
        <f>IF($A55="","",IF(OR('Nov 2026'!Y31=TRUE,'Nov 2026'!Y31="x",'Nov 2026'!Y31="X"),1,0))</f>
        <v/>
      </c>
      <c r="AA55" s="345">
        <f>IF($A55="","",IF(OR('Nov 2026'!Y32=TRUE,'Nov 2026'!Y32="x",'Nov 2026'!Y32="X"),1,0))</f>
        <v/>
      </c>
      <c r="AB55" s="345">
        <f>IF($A55="","",IF(OR('Nov 2026'!Y34=TRUE,'Nov 2026'!Y34="x",'Nov 2026'!Y34="X"),1,0))</f>
        <v/>
      </c>
      <c r="AC55" s="345">
        <f>IF($A55="","",IF(OR('Nov 2026'!Y35=TRUE,'Nov 2026'!Y35="x",'Nov 2026'!Y35="X"),1,0))</f>
        <v/>
      </c>
      <c r="AD55" s="345">
        <f>IF($A55="","",IF(OR('Nov 2026'!Y36=TRUE,'Nov 2026'!Y36="x",'Nov 2026'!Y36="X"),1,0))</f>
        <v/>
      </c>
      <c r="AE55" s="345">
        <f>IF($A55="","",IF(OR('Nov 2026'!Y37=TRUE,'Nov 2026'!Y37="x",'Nov 2026'!Y37="X"),1,0))</f>
        <v/>
      </c>
      <c r="AF55" s="345">
        <f>IF($A55="","",IF('Nov 2026'!Y59="","",'Nov 2026'!Y59))</f>
        <v/>
      </c>
      <c r="AG55" s="345">
        <f>IF($A55="","",IF('Nov 2026'!Y60="","",'Nov 2026'!Y60))</f>
        <v/>
      </c>
      <c r="AH55" s="345">
        <f>IF($A55="","",IF('Nov 2026'!Y61="","",'Nov 2026'!Y61))</f>
        <v/>
      </c>
      <c r="AI55" s="345">
        <f>IF($A55="","",IF('Nov 2026'!Y62="","",'Nov 2026'!Y62))</f>
        <v/>
      </c>
      <c r="AJ55" s="345">
        <f>IF($A55="","",IF('Nov 2026'!Y63="","",'Nov 2026'!Y63))</f>
        <v/>
      </c>
      <c r="AK55" s="345">
        <f>IF($A55="","",IF('Nov 2026'!Y64="","",'Nov 2026'!Y64))</f>
        <v/>
      </c>
      <c r="AL55" s="345">
        <f>IF($A55="","",IF('Nov 2026'!Y65="","",'Nov 2026'!Y65))</f>
        <v/>
      </c>
      <c r="AM55" s="345">
        <f>IF($A55="","",IF('Nov 2026'!Y66="","",'Nov 2026'!Y66))</f>
        <v/>
      </c>
      <c r="AN55" s="345">
        <f>IF($A55="","",IF('Nov 2026'!Y67="","",'Nov 2026'!Y67))</f>
        <v/>
      </c>
      <c r="AO55" s="345">
        <f>IF($A55="",0,IF(AND($A55&gt;=TrackStart,$A55&lt;=TODAY()),1,0))</f>
        <v/>
      </c>
      <c r="AP55" s="345">
        <f>IF($A55="",0,IF(SUM(F55:AE55)+COUNT(AF55:AN55)&gt;0,1,0))</f>
        <v/>
      </c>
      <c r="AQ55" s="345">
        <f>IF($A55="","",INT(($A55-TrackStart)/7)+1)</f>
        <v/>
      </c>
      <c r="AR55" s="345">
        <f>IF($A55="","",IF(AQ55&lt;=1,Steps1,IF(AQ55=2,Steps2,Steps3)))</f>
        <v/>
      </c>
      <c r="AS55" s="345">
        <f>IF($A55="",0,IF(ISNUMBER(SEARCH(TEXT(D55,"0"),WorkDays&amp;"")),1,0))</f>
        <v/>
      </c>
      <c r="AT55" s="345">
        <f>IF($A55="",0,IF(ISNUMBER(SEARCH(TEXT(D55,"0"),StrDays&amp;"")),1,0))</f>
        <v/>
      </c>
      <c r="AU55" s="345">
        <f>IF($A55="",0,IF(ISNUMBER(AK55),IF(AK55&gt;=SleepMin,1,0),N55))</f>
        <v/>
      </c>
      <c r="AV55" s="345">
        <f>IF($A55="",0,MAX(I55,O55,S55,AC55))</f>
        <v/>
      </c>
      <c r="AW55" s="345">
        <f>IF($A55="",0,IF(ISNUMBER(AH55),IF(AH55&gt;=ProtHit,1,0),0))</f>
        <v/>
      </c>
      <c r="AX55" s="345">
        <f>IF($A55="",0,IF(ISNUMBER(AI55),IF(AI55&gt;=WaterHit,1,0),0))</f>
        <v/>
      </c>
      <c r="AY55" s="345">
        <f>IF($A55="",0,IF(ISNUMBER(AG55),IF(AG55&gt;=AR55,1,0),0))</f>
        <v/>
      </c>
      <c r="AZ55" s="345">
        <f>IF($A55="",0,G55)</f>
        <v/>
      </c>
      <c r="BA55" s="345">
        <f>IF($A55="",0,J55)</f>
        <v/>
      </c>
      <c r="BB55" s="345">
        <f>IF($A55="",0,K55)</f>
        <v/>
      </c>
      <c r="BC55" s="345">
        <f>IF($A55="",0,MAX(L55,AE55))</f>
        <v/>
      </c>
      <c r="BD55" s="344">
        <f>IF($A55="","",(AU55+AV55+AW55+AX55+AY55+AZ55+BB55+BC55+IF(AS55=1,BA55,0))/(8+AS55))</f>
        <v/>
      </c>
      <c r="BE55" s="344">
        <f>IF($A55="","",(IF(ISNUMBER(AI55),IF(AI55&gt;=WaterMVD,1,0),0)+AV55+IF(ISNUMBER(AH55),IF(AH55&gt;=ProtMVD,1,0),0)+MAX(H55,AD55)+AZ55+BB55+AU55)/7)</f>
        <v/>
      </c>
      <c r="BF55" s="344">
        <f>IF(AO55=0,"",IF(E55="S","",IF(AND(AP55=0,$A55=TODAY()),"",IF(E55="M",BE55,BD55))))</f>
        <v/>
      </c>
      <c r="BG55" s="344">
        <f>IF(AO55=0,"",IFERROR(AVERAGEIFS(Data!$BF$4:$BF$375,Data!$A$4:$A$375,"&gt;"&amp;($A55-7),Data!$A$4:$A$375,"&lt;="&amp;$A55),""))</f>
        <v/>
      </c>
      <c r="BH55" s="344">
        <f>IF(AO55=0,"",IFERROR(AVERAGEIFS(Data!$BF$4:$BF$375,Data!$A$4:$A$375,"&gt;"&amp;($A55-30),Data!$A$4:$A$375,"&lt;="&amp;$A55),""))</f>
        <v/>
      </c>
      <c r="BI55" s="359">
        <f>IF($A55="","",IFERROR(AVERAGEIFS(Data!$AF$4:$AF$375,Data!$A$4:$A$375,"&gt;"&amp;($A55-7),Data!$A$4:$A$375,"&lt;="&amp;$A55,Data!$AF$4:$AF$375,"&gt;0"),""))</f>
        <v/>
      </c>
      <c r="BJ55" s="345">
        <f>IF($A55="","",F55+G55+H55+I55+J55+K55+L55+M55+N55-IF(AS55=1,0,J55))</f>
        <v/>
      </c>
      <c r="BK55" s="345">
        <f>IF($A55="","",8+AS55)</f>
        <v/>
      </c>
      <c r="BL55" s="345">
        <f>IF(ISNUMBER(BF55),BF55,NA())</f>
        <v/>
      </c>
      <c r="BM55" s="345">
        <f>IF(ISNUMBER(AF55),AF55,NA())</f>
        <v/>
      </c>
      <c r="BN55" s="345">
        <f>IF(ISNUMBER(BI55),BI55,NA())</f>
        <v/>
      </c>
      <c r="BO55" s="345">
        <f>IF(ISNUMBER(AL55),AL55,NA())</f>
        <v/>
      </c>
      <c r="BP55" s="345">
        <f>IF(ISNUMBER(AM55),AM55,NA())</f>
        <v/>
      </c>
      <c r="BQ55" s="345">
        <f>IF(ISNUMBER(AN55),AN55,NA())</f>
        <v/>
      </c>
    </row>
    <row r="56">
      <c r="A56" s="358">
        <f>IF('Nov 2026'!Z7="","",'Nov 2026'!Z7)</f>
        <v/>
      </c>
      <c r="B56" s="345" t="n">
        <v>2</v>
      </c>
      <c r="C56" s="345">
        <f>IF($A56="","",22)</f>
        <v/>
      </c>
      <c r="D56" s="345">
        <f>IF($A56="","",WEEKDAY($A56,2))</f>
        <v/>
      </c>
      <c r="E56" s="345">
        <f>IF($A56="","",UPPER(TRIM('Nov 2026'!Z8)))</f>
        <v/>
      </c>
      <c r="F56" s="345">
        <f>IF($A56="","",IF(OR('Nov 2026'!Z10=TRUE,'Nov 2026'!Z10="x",'Nov 2026'!Z10="X"),1,0))</f>
        <v/>
      </c>
      <c r="G56" s="345">
        <f>IF($A56="","",IF(OR('Nov 2026'!Z11=TRUE,'Nov 2026'!Z11="x",'Nov 2026'!Z11="X"),1,0))</f>
        <v/>
      </c>
      <c r="H56" s="345">
        <f>IF($A56="","",IF(OR('Nov 2026'!Z12=TRUE,'Nov 2026'!Z12="x",'Nov 2026'!Z12="X"),1,0))</f>
        <v/>
      </c>
      <c r="I56" s="345">
        <f>IF($A56="","",IF(OR('Nov 2026'!Z13=TRUE,'Nov 2026'!Z13="x",'Nov 2026'!Z13="X"),1,0))</f>
        <v/>
      </c>
      <c r="J56" s="345">
        <f>IF($A56="","",IF(OR('Nov 2026'!Z14=TRUE,'Nov 2026'!Z14="x",'Nov 2026'!Z14="X"),1,0))</f>
        <v/>
      </c>
      <c r="K56" s="345">
        <f>IF($A56="","",IF(OR('Nov 2026'!Z15=TRUE,'Nov 2026'!Z15="x",'Nov 2026'!Z15="X"),1,0))</f>
        <v/>
      </c>
      <c r="L56" s="345">
        <f>IF($A56="","",IF(OR('Nov 2026'!Z16=TRUE,'Nov 2026'!Z16="x",'Nov 2026'!Z16="X"),1,0))</f>
        <v/>
      </c>
      <c r="M56" s="345">
        <f>IF($A56="","",IF(OR('Nov 2026'!Z17=TRUE,'Nov 2026'!Z17="x",'Nov 2026'!Z17="X"),1,0))</f>
        <v/>
      </c>
      <c r="N56" s="345">
        <f>IF($A56="","",IF(OR('Nov 2026'!Z18=TRUE,'Nov 2026'!Z18="x",'Nov 2026'!Z18="X"),1,0))</f>
        <v/>
      </c>
      <c r="O56" s="345">
        <f>IF($A56="","",IF(OR('Nov 2026'!Z20=TRUE,'Nov 2026'!Z20="x",'Nov 2026'!Z20="X"),1,0))</f>
        <v/>
      </c>
      <c r="P56" s="345">
        <f>IF($A56="","",IF(OR('Nov 2026'!Z21=TRUE,'Nov 2026'!Z21="x",'Nov 2026'!Z21="X"),1,0))</f>
        <v/>
      </c>
      <c r="Q56" s="345">
        <f>IF($A56="","",IF(OR('Nov 2026'!Z22=TRUE,'Nov 2026'!Z22="x",'Nov 2026'!Z22="X"),1,0))</f>
        <v/>
      </c>
      <c r="R56" s="345">
        <f>IF($A56="","",IF(OR('Nov 2026'!Z23=TRUE,'Nov 2026'!Z23="x",'Nov 2026'!Z23="X"),1,0))</f>
        <v/>
      </c>
      <c r="S56" s="345">
        <f>IF($A56="","",IF(OR('Nov 2026'!Z24=TRUE,'Nov 2026'!Z24="x",'Nov 2026'!Z24="X"),1,0))</f>
        <v/>
      </c>
      <c r="T56" s="345">
        <f>IF($A56="","",IF(OR('Nov 2026'!Z25=TRUE,'Nov 2026'!Z25="x",'Nov 2026'!Z25="X"),1,0))</f>
        <v/>
      </c>
      <c r="U56" s="345">
        <f>IF($A56="","",IF(OR('Nov 2026'!Z26=TRUE,'Nov 2026'!Z26="x",'Nov 2026'!Z26="X"),1,0))</f>
        <v/>
      </c>
      <c r="V56" s="345">
        <f>IF($A56="","",IF(OR('Nov 2026'!Z27=TRUE,'Nov 2026'!Z27="x",'Nov 2026'!Z27="X"),1,0))</f>
        <v/>
      </c>
      <c r="W56" s="345">
        <f>IF($A56="","",IF(OR('Nov 2026'!Z28=TRUE,'Nov 2026'!Z28="x",'Nov 2026'!Z28="X"),1,0))</f>
        <v/>
      </c>
      <c r="X56" s="345">
        <f>IF($A56="","",IF(OR('Nov 2026'!Z29=TRUE,'Nov 2026'!Z29="x",'Nov 2026'!Z29="X"),1,0))</f>
        <v/>
      </c>
      <c r="Y56" s="345">
        <f>IF($A56="","",IF(OR('Nov 2026'!Z30=TRUE,'Nov 2026'!Z30="x",'Nov 2026'!Z30="X"),1,0))</f>
        <v/>
      </c>
      <c r="Z56" s="345">
        <f>IF($A56="","",IF(OR('Nov 2026'!Z31=TRUE,'Nov 2026'!Z31="x",'Nov 2026'!Z31="X"),1,0))</f>
        <v/>
      </c>
      <c r="AA56" s="345">
        <f>IF($A56="","",IF(OR('Nov 2026'!Z32=TRUE,'Nov 2026'!Z32="x",'Nov 2026'!Z32="X"),1,0))</f>
        <v/>
      </c>
      <c r="AB56" s="345">
        <f>IF($A56="","",IF(OR('Nov 2026'!Z34=TRUE,'Nov 2026'!Z34="x",'Nov 2026'!Z34="X"),1,0))</f>
        <v/>
      </c>
      <c r="AC56" s="345">
        <f>IF($A56="","",IF(OR('Nov 2026'!Z35=TRUE,'Nov 2026'!Z35="x",'Nov 2026'!Z35="X"),1,0))</f>
        <v/>
      </c>
      <c r="AD56" s="345">
        <f>IF($A56="","",IF(OR('Nov 2026'!Z36=TRUE,'Nov 2026'!Z36="x",'Nov 2026'!Z36="X"),1,0))</f>
        <v/>
      </c>
      <c r="AE56" s="345">
        <f>IF($A56="","",IF(OR('Nov 2026'!Z37=TRUE,'Nov 2026'!Z37="x",'Nov 2026'!Z37="X"),1,0))</f>
        <v/>
      </c>
      <c r="AF56" s="345">
        <f>IF($A56="","",IF('Nov 2026'!Z59="","",'Nov 2026'!Z59))</f>
        <v/>
      </c>
      <c r="AG56" s="345">
        <f>IF($A56="","",IF('Nov 2026'!Z60="","",'Nov 2026'!Z60))</f>
        <v/>
      </c>
      <c r="AH56" s="345">
        <f>IF($A56="","",IF('Nov 2026'!Z61="","",'Nov 2026'!Z61))</f>
        <v/>
      </c>
      <c r="AI56" s="345">
        <f>IF($A56="","",IF('Nov 2026'!Z62="","",'Nov 2026'!Z62))</f>
        <v/>
      </c>
      <c r="AJ56" s="345">
        <f>IF($A56="","",IF('Nov 2026'!Z63="","",'Nov 2026'!Z63))</f>
        <v/>
      </c>
      <c r="AK56" s="345">
        <f>IF($A56="","",IF('Nov 2026'!Z64="","",'Nov 2026'!Z64))</f>
        <v/>
      </c>
      <c r="AL56" s="345">
        <f>IF($A56="","",IF('Nov 2026'!Z65="","",'Nov 2026'!Z65))</f>
        <v/>
      </c>
      <c r="AM56" s="345">
        <f>IF($A56="","",IF('Nov 2026'!Z66="","",'Nov 2026'!Z66))</f>
        <v/>
      </c>
      <c r="AN56" s="345">
        <f>IF($A56="","",IF('Nov 2026'!Z67="","",'Nov 2026'!Z67))</f>
        <v/>
      </c>
      <c r="AO56" s="345">
        <f>IF($A56="",0,IF(AND($A56&gt;=TrackStart,$A56&lt;=TODAY()),1,0))</f>
        <v/>
      </c>
      <c r="AP56" s="345">
        <f>IF($A56="",0,IF(SUM(F56:AE56)+COUNT(AF56:AN56)&gt;0,1,0))</f>
        <v/>
      </c>
      <c r="AQ56" s="345">
        <f>IF($A56="","",INT(($A56-TrackStart)/7)+1)</f>
        <v/>
      </c>
      <c r="AR56" s="345">
        <f>IF($A56="","",IF(AQ56&lt;=1,Steps1,IF(AQ56=2,Steps2,Steps3)))</f>
        <v/>
      </c>
      <c r="AS56" s="345">
        <f>IF($A56="",0,IF(ISNUMBER(SEARCH(TEXT(D56,"0"),WorkDays&amp;"")),1,0))</f>
        <v/>
      </c>
      <c r="AT56" s="345">
        <f>IF($A56="",0,IF(ISNUMBER(SEARCH(TEXT(D56,"0"),StrDays&amp;"")),1,0))</f>
        <v/>
      </c>
      <c r="AU56" s="345">
        <f>IF($A56="",0,IF(ISNUMBER(AK56),IF(AK56&gt;=SleepMin,1,0),N56))</f>
        <v/>
      </c>
      <c r="AV56" s="345">
        <f>IF($A56="",0,MAX(I56,O56,S56,AC56))</f>
        <v/>
      </c>
      <c r="AW56" s="345">
        <f>IF($A56="",0,IF(ISNUMBER(AH56),IF(AH56&gt;=ProtHit,1,0),0))</f>
        <v/>
      </c>
      <c r="AX56" s="345">
        <f>IF($A56="",0,IF(ISNUMBER(AI56),IF(AI56&gt;=WaterHit,1,0),0))</f>
        <v/>
      </c>
      <c r="AY56" s="345">
        <f>IF($A56="",0,IF(ISNUMBER(AG56),IF(AG56&gt;=AR56,1,0),0))</f>
        <v/>
      </c>
      <c r="AZ56" s="345">
        <f>IF($A56="",0,G56)</f>
        <v/>
      </c>
      <c r="BA56" s="345">
        <f>IF($A56="",0,J56)</f>
        <v/>
      </c>
      <c r="BB56" s="345">
        <f>IF($A56="",0,K56)</f>
        <v/>
      </c>
      <c r="BC56" s="345">
        <f>IF($A56="",0,MAX(L56,AE56))</f>
        <v/>
      </c>
      <c r="BD56" s="344">
        <f>IF($A56="","",(AU56+AV56+AW56+AX56+AY56+AZ56+BB56+BC56+IF(AS56=1,BA56,0))/(8+AS56))</f>
        <v/>
      </c>
      <c r="BE56" s="344">
        <f>IF($A56="","",(IF(ISNUMBER(AI56),IF(AI56&gt;=WaterMVD,1,0),0)+AV56+IF(ISNUMBER(AH56),IF(AH56&gt;=ProtMVD,1,0),0)+MAX(H56,AD56)+AZ56+BB56+AU56)/7)</f>
        <v/>
      </c>
      <c r="BF56" s="344">
        <f>IF(AO56=0,"",IF(E56="S","",IF(AND(AP56=0,$A56=TODAY()),"",IF(E56="M",BE56,BD56))))</f>
        <v/>
      </c>
      <c r="BG56" s="344">
        <f>IF(AO56=0,"",IFERROR(AVERAGEIFS(Data!$BF$4:$BF$375,Data!$A$4:$A$375,"&gt;"&amp;($A56-7),Data!$A$4:$A$375,"&lt;="&amp;$A56),""))</f>
        <v/>
      </c>
      <c r="BH56" s="344">
        <f>IF(AO56=0,"",IFERROR(AVERAGEIFS(Data!$BF$4:$BF$375,Data!$A$4:$A$375,"&gt;"&amp;($A56-30),Data!$A$4:$A$375,"&lt;="&amp;$A56),""))</f>
        <v/>
      </c>
      <c r="BI56" s="359">
        <f>IF($A56="","",IFERROR(AVERAGEIFS(Data!$AF$4:$AF$375,Data!$A$4:$A$375,"&gt;"&amp;($A56-7),Data!$A$4:$A$375,"&lt;="&amp;$A56,Data!$AF$4:$AF$375,"&gt;0"),""))</f>
        <v/>
      </c>
      <c r="BJ56" s="345">
        <f>IF($A56="","",F56+G56+H56+I56+J56+K56+L56+M56+N56-IF(AS56=1,0,J56))</f>
        <v/>
      </c>
      <c r="BK56" s="345">
        <f>IF($A56="","",8+AS56)</f>
        <v/>
      </c>
      <c r="BL56" s="345">
        <f>IF(ISNUMBER(BF56),BF56,NA())</f>
        <v/>
      </c>
      <c r="BM56" s="345">
        <f>IF(ISNUMBER(AF56),AF56,NA())</f>
        <v/>
      </c>
      <c r="BN56" s="345">
        <f>IF(ISNUMBER(BI56),BI56,NA())</f>
        <v/>
      </c>
      <c r="BO56" s="345">
        <f>IF(ISNUMBER(AL56),AL56,NA())</f>
        <v/>
      </c>
      <c r="BP56" s="345">
        <f>IF(ISNUMBER(AM56),AM56,NA())</f>
        <v/>
      </c>
      <c r="BQ56" s="345">
        <f>IF(ISNUMBER(AN56),AN56,NA())</f>
        <v/>
      </c>
    </row>
    <row r="57">
      <c r="A57" s="358">
        <f>IF('Nov 2026'!AA7="","",'Nov 2026'!AA7)</f>
        <v/>
      </c>
      <c r="B57" s="345" t="n">
        <v>2</v>
      </c>
      <c r="C57" s="345">
        <f>IF($A57="","",23)</f>
        <v/>
      </c>
      <c r="D57" s="345">
        <f>IF($A57="","",WEEKDAY($A57,2))</f>
        <v/>
      </c>
      <c r="E57" s="345">
        <f>IF($A57="","",UPPER(TRIM('Nov 2026'!AA8)))</f>
        <v/>
      </c>
      <c r="F57" s="345">
        <f>IF($A57="","",IF(OR('Nov 2026'!AA10=TRUE,'Nov 2026'!AA10="x",'Nov 2026'!AA10="X"),1,0))</f>
        <v/>
      </c>
      <c r="G57" s="345">
        <f>IF($A57="","",IF(OR('Nov 2026'!AA11=TRUE,'Nov 2026'!AA11="x",'Nov 2026'!AA11="X"),1,0))</f>
        <v/>
      </c>
      <c r="H57" s="345">
        <f>IF($A57="","",IF(OR('Nov 2026'!AA12=TRUE,'Nov 2026'!AA12="x",'Nov 2026'!AA12="X"),1,0))</f>
        <v/>
      </c>
      <c r="I57" s="345">
        <f>IF($A57="","",IF(OR('Nov 2026'!AA13=TRUE,'Nov 2026'!AA13="x",'Nov 2026'!AA13="X"),1,0))</f>
        <v/>
      </c>
      <c r="J57" s="345">
        <f>IF($A57="","",IF(OR('Nov 2026'!AA14=TRUE,'Nov 2026'!AA14="x",'Nov 2026'!AA14="X"),1,0))</f>
        <v/>
      </c>
      <c r="K57" s="345">
        <f>IF($A57="","",IF(OR('Nov 2026'!AA15=TRUE,'Nov 2026'!AA15="x",'Nov 2026'!AA15="X"),1,0))</f>
        <v/>
      </c>
      <c r="L57" s="345">
        <f>IF($A57="","",IF(OR('Nov 2026'!AA16=TRUE,'Nov 2026'!AA16="x",'Nov 2026'!AA16="X"),1,0))</f>
        <v/>
      </c>
      <c r="M57" s="345">
        <f>IF($A57="","",IF(OR('Nov 2026'!AA17=TRUE,'Nov 2026'!AA17="x",'Nov 2026'!AA17="X"),1,0))</f>
        <v/>
      </c>
      <c r="N57" s="345">
        <f>IF($A57="","",IF(OR('Nov 2026'!AA18=TRUE,'Nov 2026'!AA18="x",'Nov 2026'!AA18="X"),1,0))</f>
        <v/>
      </c>
      <c r="O57" s="345">
        <f>IF($A57="","",IF(OR('Nov 2026'!AA20=TRUE,'Nov 2026'!AA20="x",'Nov 2026'!AA20="X"),1,0))</f>
        <v/>
      </c>
      <c r="P57" s="345">
        <f>IF($A57="","",IF(OR('Nov 2026'!AA21=TRUE,'Nov 2026'!AA21="x",'Nov 2026'!AA21="X"),1,0))</f>
        <v/>
      </c>
      <c r="Q57" s="345">
        <f>IF($A57="","",IF(OR('Nov 2026'!AA22=TRUE,'Nov 2026'!AA22="x",'Nov 2026'!AA22="X"),1,0))</f>
        <v/>
      </c>
      <c r="R57" s="345">
        <f>IF($A57="","",IF(OR('Nov 2026'!AA23=TRUE,'Nov 2026'!AA23="x",'Nov 2026'!AA23="X"),1,0))</f>
        <v/>
      </c>
      <c r="S57" s="345">
        <f>IF($A57="","",IF(OR('Nov 2026'!AA24=TRUE,'Nov 2026'!AA24="x",'Nov 2026'!AA24="X"),1,0))</f>
        <v/>
      </c>
      <c r="T57" s="345">
        <f>IF($A57="","",IF(OR('Nov 2026'!AA25=TRUE,'Nov 2026'!AA25="x",'Nov 2026'!AA25="X"),1,0))</f>
        <v/>
      </c>
      <c r="U57" s="345">
        <f>IF($A57="","",IF(OR('Nov 2026'!AA26=TRUE,'Nov 2026'!AA26="x",'Nov 2026'!AA26="X"),1,0))</f>
        <v/>
      </c>
      <c r="V57" s="345">
        <f>IF($A57="","",IF(OR('Nov 2026'!AA27=TRUE,'Nov 2026'!AA27="x",'Nov 2026'!AA27="X"),1,0))</f>
        <v/>
      </c>
      <c r="W57" s="345">
        <f>IF($A57="","",IF(OR('Nov 2026'!AA28=TRUE,'Nov 2026'!AA28="x",'Nov 2026'!AA28="X"),1,0))</f>
        <v/>
      </c>
      <c r="X57" s="345">
        <f>IF($A57="","",IF(OR('Nov 2026'!AA29=TRUE,'Nov 2026'!AA29="x",'Nov 2026'!AA29="X"),1,0))</f>
        <v/>
      </c>
      <c r="Y57" s="345">
        <f>IF($A57="","",IF(OR('Nov 2026'!AA30=TRUE,'Nov 2026'!AA30="x",'Nov 2026'!AA30="X"),1,0))</f>
        <v/>
      </c>
      <c r="Z57" s="345">
        <f>IF($A57="","",IF(OR('Nov 2026'!AA31=TRUE,'Nov 2026'!AA31="x",'Nov 2026'!AA31="X"),1,0))</f>
        <v/>
      </c>
      <c r="AA57" s="345">
        <f>IF($A57="","",IF(OR('Nov 2026'!AA32=TRUE,'Nov 2026'!AA32="x",'Nov 2026'!AA32="X"),1,0))</f>
        <v/>
      </c>
      <c r="AB57" s="345">
        <f>IF($A57="","",IF(OR('Nov 2026'!AA34=TRUE,'Nov 2026'!AA34="x",'Nov 2026'!AA34="X"),1,0))</f>
        <v/>
      </c>
      <c r="AC57" s="345">
        <f>IF($A57="","",IF(OR('Nov 2026'!AA35=TRUE,'Nov 2026'!AA35="x",'Nov 2026'!AA35="X"),1,0))</f>
        <v/>
      </c>
      <c r="AD57" s="345">
        <f>IF($A57="","",IF(OR('Nov 2026'!AA36=TRUE,'Nov 2026'!AA36="x",'Nov 2026'!AA36="X"),1,0))</f>
        <v/>
      </c>
      <c r="AE57" s="345">
        <f>IF($A57="","",IF(OR('Nov 2026'!AA37=TRUE,'Nov 2026'!AA37="x",'Nov 2026'!AA37="X"),1,0))</f>
        <v/>
      </c>
      <c r="AF57" s="345">
        <f>IF($A57="","",IF('Nov 2026'!AA59="","",'Nov 2026'!AA59))</f>
        <v/>
      </c>
      <c r="AG57" s="345">
        <f>IF($A57="","",IF('Nov 2026'!AA60="","",'Nov 2026'!AA60))</f>
        <v/>
      </c>
      <c r="AH57" s="345">
        <f>IF($A57="","",IF('Nov 2026'!AA61="","",'Nov 2026'!AA61))</f>
        <v/>
      </c>
      <c r="AI57" s="345">
        <f>IF($A57="","",IF('Nov 2026'!AA62="","",'Nov 2026'!AA62))</f>
        <v/>
      </c>
      <c r="AJ57" s="345">
        <f>IF($A57="","",IF('Nov 2026'!AA63="","",'Nov 2026'!AA63))</f>
        <v/>
      </c>
      <c r="AK57" s="345">
        <f>IF($A57="","",IF('Nov 2026'!AA64="","",'Nov 2026'!AA64))</f>
        <v/>
      </c>
      <c r="AL57" s="345">
        <f>IF($A57="","",IF('Nov 2026'!AA65="","",'Nov 2026'!AA65))</f>
        <v/>
      </c>
      <c r="AM57" s="345">
        <f>IF($A57="","",IF('Nov 2026'!AA66="","",'Nov 2026'!AA66))</f>
        <v/>
      </c>
      <c r="AN57" s="345">
        <f>IF($A57="","",IF('Nov 2026'!AA67="","",'Nov 2026'!AA67))</f>
        <v/>
      </c>
      <c r="AO57" s="345">
        <f>IF($A57="",0,IF(AND($A57&gt;=TrackStart,$A57&lt;=TODAY()),1,0))</f>
        <v/>
      </c>
      <c r="AP57" s="345">
        <f>IF($A57="",0,IF(SUM(F57:AE57)+COUNT(AF57:AN57)&gt;0,1,0))</f>
        <v/>
      </c>
      <c r="AQ57" s="345">
        <f>IF($A57="","",INT(($A57-TrackStart)/7)+1)</f>
        <v/>
      </c>
      <c r="AR57" s="345">
        <f>IF($A57="","",IF(AQ57&lt;=1,Steps1,IF(AQ57=2,Steps2,Steps3)))</f>
        <v/>
      </c>
      <c r="AS57" s="345">
        <f>IF($A57="",0,IF(ISNUMBER(SEARCH(TEXT(D57,"0"),WorkDays&amp;"")),1,0))</f>
        <v/>
      </c>
      <c r="AT57" s="345">
        <f>IF($A57="",0,IF(ISNUMBER(SEARCH(TEXT(D57,"0"),StrDays&amp;"")),1,0))</f>
        <v/>
      </c>
      <c r="AU57" s="345">
        <f>IF($A57="",0,IF(ISNUMBER(AK57),IF(AK57&gt;=SleepMin,1,0),N57))</f>
        <v/>
      </c>
      <c r="AV57" s="345">
        <f>IF($A57="",0,MAX(I57,O57,S57,AC57))</f>
        <v/>
      </c>
      <c r="AW57" s="345">
        <f>IF($A57="",0,IF(ISNUMBER(AH57),IF(AH57&gt;=ProtHit,1,0),0))</f>
        <v/>
      </c>
      <c r="AX57" s="345">
        <f>IF($A57="",0,IF(ISNUMBER(AI57),IF(AI57&gt;=WaterHit,1,0),0))</f>
        <v/>
      </c>
      <c r="AY57" s="345">
        <f>IF($A57="",0,IF(ISNUMBER(AG57),IF(AG57&gt;=AR57,1,0),0))</f>
        <v/>
      </c>
      <c r="AZ57" s="345">
        <f>IF($A57="",0,G57)</f>
        <v/>
      </c>
      <c r="BA57" s="345">
        <f>IF($A57="",0,J57)</f>
        <v/>
      </c>
      <c r="BB57" s="345">
        <f>IF($A57="",0,K57)</f>
        <v/>
      </c>
      <c r="BC57" s="345">
        <f>IF($A57="",0,MAX(L57,AE57))</f>
        <v/>
      </c>
      <c r="BD57" s="344">
        <f>IF($A57="","",(AU57+AV57+AW57+AX57+AY57+AZ57+BB57+BC57+IF(AS57=1,BA57,0))/(8+AS57))</f>
        <v/>
      </c>
      <c r="BE57" s="344">
        <f>IF($A57="","",(IF(ISNUMBER(AI57),IF(AI57&gt;=WaterMVD,1,0),0)+AV57+IF(ISNUMBER(AH57),IF(AH57&gt;=ProtMVD,1,0),0)+MAX(H57,AD57)+AZ57+BB57+AU57)/7)</f>
        <v/>
      </c>
      <c r="BF57" s="344">
        <f>IF(AO57=0,"",IF(E57="S","",IF(AND(AP57=0,$A57=TODAY()),"",IF(E57="M",BE57,BD57))))</f>
        <v/>
      </c>
      <c r="BG57" s="344">
        <f>IF(AO57=0,"",IFERROR(AVERAGEIFS(Data!$BF$4:$BF$375,Data!$A$4:$A$375,"&gt;"&amp;($A57-7),Data!$A$4:$A$375,"&lt;="&amp;$A57),""))</f>
        <v/>
      </c>
      <c r="BH57" s="344">
        <f>IF(AO57=0,"",IFERROR(AVERAGEIFS(Data!$BF$4:$BF$375,Data!$A$4:$A$375,"&gt;"&amp;($A57-30),Data!$A$4:$A$375,"&lt;="&amp;$A57),""))</f>
        <v/>
      </c>
      <c r="BI57" s="359">
        <f>IF($A57="","",IFERROR(AVERAGEIFS(Data!$AF$4:$AF$375,Data!$A$4:$A$375,"&gt;"&amp;($A57-7),Data!$A$4:$A$375,"&lt;="&amp;$A57,Data!$AF$4:$AF$375,"&gt;0"),""))</f>
        <v/>
      </c>
      <c r="BJ57" s="345">
        <f>IF($A57="","",F57+G57+H57+I57+J57+K57+L57+M57+N57-IF(AS57=1,0,J57))</f>
        <v/>
      </c>
      <c r="BK57" s="345">
        <f>IF($A57="","",8+AS57)</f>
        <v/>
      </c>
      <c r="BL57" s="345">
        <f>IF(ISNUMBER(BF57),BF57,NA())</f>
        <v/>
      </c>
      <c r="BM57" s="345">
        <f>IF(ISNUMBER(AF57),AF57,NA())</f>
        <v/>
      </c>
      <c r="BN57" s="345">
        <f>IF(ISNUMBER(BI57),BI57,NA())</f>
        <v/>
      </c>
      <c r="BO57" s="345">
        <f>IF(ISNUMBER(AL57),AL57,NA())</f>
        <v/>
      </c>
      <c r="BP57" s="345">
        <f>IF(ISNUMBER(AM57),AM57,NA())</f>
        <v/>
      </c>
      <c r="BQ57" s="345">
        <f>IF(ISNUMBER(AN57),AN57,NA())</f>
        <v/>
      </c>
    </row>
    <row r="58">
      <c r="A58" s="358">
        <f>IF('Nov 2026'!AB7="","",'Nov 2026'!AB7)</f>
        <v/>
      </c>
      <c r="B58" s="345" t="n">
        <v>2</v>
      </c>
      <c r="C58" s="345">
        <f>IF($A58="","",24)</f>
        <v/>
      </c>
      <c r="D58" s="345">
        <f>IF($A58="","",WEEKDAY($A58,2))</f>
        <v/>
      </c>
      <c r="E58" s="345">
        <f>IF($A58="","",UPPER(TRIM('Nov 2026'!AB8)))</f>
        <v/>
      </c>
      <c r="F58" s="345">
        <f>IF($A58="","",IF(OR('Nov 2026'!AB10=TRUE,'Nov 2026'!AB10="x",'Nov 2026'!AB10="X"),1,0))</f>
        <v/>
      </c>
      <c r="G58" s="345">
        <f>IF($A58="","",IF(OR('Nov 2026'!AB11=TRUE,'Nov 2026'!AB11="x",'Nov 2026'!AB11="X"),1,0))</f>
        <v/>
      </c>
      <c r="H58" s="345">
        <f>IF($A58="","",IF(OR('Nov 2026'!AB12=TRUE,'Nov 2026'!AB12="x",'Nov 2026'!AB12="X"),1,0))</f>
        <v/>
      </c>
      <c r="I58" s="345">
        <f>IF($A58="","",IF(OR('Nov 2026'!AB13=TRUE,'Nov 2026'!AB13="x",'Nov 2026'!AB13="X"),1,0))</f>
        <v/>
      </c>
      <c r="J58" s="345">
        <f>IF($A58="","",IF(OR('Nov 2026'!AB14=TRUE,'Nov 2026'!AB14="x",'Nov 2026'!AB14="X"),1,0))</f>
        <v/>
      </c>
      <c r="K58" s="345">
        <f>IF($A58="","",IF(OR('Nov 2026'!AB15=TRUE,'Nov 2026'!AB15="x",'Nov 2026'!AB15="X"),1,0))</f>
        <v/>
      </c>
      <c r="L58" s="345">
        <f>IF($A58="","",IF(OR('Nov 2026'!AB16=TRUE,'Nov 2026'!AB16="x",'Nov 2026'!AB16="X"),1,0))</f>
        <v/>
      </c>
      <c r="M58" s="345">
        <f>IF($A58="","",IF(OR('Nov 2026'!AB17=TRUE,'Nov 2026'!AB17="x",'Nov 2026'!AB17="X"),1,0))</f>
        <v/>
      </c>
      <c r="N58" s="345">
        <f>IF($A58="","",IF(OR('Nov 2026'!AB18=TRUE,'Nov 2026'!AB18="x",'Nov 2026'!AB18="X"),1,0))</f>
        <v/>
      </c>
      <c r="O58" s="345">
        <f>IF($A58="","",IF(OR('Nov 2026'!AB20=TRUE,'Nov 2026'!AB20="x",'Nov 2026'!AB20="X"),1,0))</f>
        <v/>
      </c>
      <c r="P58" s="345">
        <f>IF($A58="","",IF(OR('Nov 2026'!AB21=TRUE,'Nov 2026'!AB21="x",'Nov 2026'!AB21="X"),1,0))</f>
        <v/>
      </c>
      <c r="Q58" s="345">
        <f>IF($A58="","",IF(OR('Nov 2026'!AB22=TRUE,'Nov 2026'!AB22="x",'Nov 2026'!AB22="X"),1,0))</f>
        <v/>
      </c>
      <c r="R58" s="345">
        <f>IF($A58="","",IF(OR('Nov 2026'!AB23=TRUE,'Nov 2026'!AB23="x",'Nov 2026'!AB23="X"),1,0))</f>
        <v/>
      </c>
      <c r="S58" s="345">
        <f>IF($A58="","",IF(OR('Nov 2026'!AB24=TRUE,'Nov 2026'!AB24="x",'Nov 2026'!AB24="X"),1,0))</f>
        <v/>
      </c>
      <c r="T58" s="345">
        <f>IF($A58="","",IF(OR('Nov 2026'!AB25=TRUE,'Nov 2026'!AB25="x",'Nov 2026'!AB25="X"),1,0))</f>
        <v/>
      </c>
      <c r="U58" s="345">
        <f>IF($A58="","",IF(OR('Nov 2026'!AB26=TRUE,'Nov 2026'!AB26="x",'Nov 2026'!AB26="X"),1,0))</f>
        <v/>
      </c>
      <c r="V58" s="345">
        <f>IF($A58="","",IF(OR('Nov 2026'!AB27=TRUE,'Nov 2026'!AB27="x",'Nov 2026'!AB27="X"),1,0))</f>
        <v/>
      </c>
      <c r="W58" s="345">
        <f>IF($A58="","",IF(OR('Nov 2026'!AB28=TRUE,'Nov 2026'!AB28="x",'Nov 2026'!AB28="X"),1,0))</f>
        <v/>
      </c>
      <c r="X58" s="345">
        <f>IF($A58="","",IF(OR('Nov 2026'!AB29=TRUE,'Nov 2026'!AB29="x",'Nov 2026'!AB29="X"),1,0))</f>
        <v/>
      </c>
      <c r="Y58" s="345">
        <f>IF($A58="","",IF(OR('Nov 2026'!AB30=TRUE,'Nov 2026'!AB30="x",'Nov 2026'!AB30="X"),1,0))</f>
        <v/>
      </c>
      <c r="Z58" s="345">
        <f>IF($A58="","",IF(OR('Nov 2026'!AB31=TRUE,'Nov 2026'!AB31="x",'Nov 2026'!AB31="X"),1,0))</f>
        <v/>
      </c>
      <c r="AA58" s="345">
        <f>IF($A58="","",IF(OR('Nov 2026'!AB32=TRUE,'Nov 2026'!AB32="x",'Nov 2026'!AB32="X"),1,0))</f>
        <v/>
      </c>
      <c r="AB58" s="345">
        <f>IF($A58="","",IF(OR('Nov 2026'!AB34=TRUE,'Nov 2026'!AB34="x",'Nov 2026'!AB34="X"),1,0))</f>
        <v/>
      </c>
      <c r="AC58" s="345">
        <f>IF($A58="","",IF(OR('Nov 2026'!AB35=TRUE,'Nov 2026'!AB35="x",'Nov 2026'!AB35="X"),1,0))</f>
        <v/>
      </c>
      <c r="AD58" s="345">
        <f>IF($A58="","",IF(OR('Nov 2026'!AB36=TRUE,'Nov 2026'!AB36="x",'Nov 2026'!AB36="X"),1,0))</f>
        <v/>
      </c>
      <c r="AE58" s="345">
        <f>IF($A58="","",IF(OR('Nov 2026'!AB37=TRUE,'Nov 2026'!AB37="x",'Nov 2026'!AB37="X"),1,0))</f>
        <v/>
      </c>
      <c r="AF58" s="345">
        <f>IF($A58="","",IF('Nov 2026'!AB59="","",'Nov 2026'!AB59))</f>
        <v/>
      </c>
      <c r="AG58" s="345">
        <f>IF($A58="","",IF('Nov 2026'!AB60="","",'Nov 2026'!AB60))</f>
        <v/>
      </c>
      <c r="AH58" s="345">
        <f>IF($A58="","",IF('Nov 2026'!AB61="","",'Nov 2026'!AB61))</f>
        <v/>
      </c>
      <c r="AI58" s="345">
        <f>IF($A58="","",IF('Nov 2026'!AB62="","",'Nov 2026'!AB62))</f>
        <v/>
      </c>
      <c r="AJ58" s="345">
        <f>IF($A58="","",IF('Nov 2026'!AB63="","",'Nov 2026'!AB63))</f>
        <v/>
      </c>
      <c r="AK58" s="345">
        <f>IF($A58="","",IF('Nov 2026'!AB64="","",'Nov 2026'!AB64))</f>
        <v/>
      </c>
      <c r="AL58" s="345">
        <f>IF($A58="","",IF('Nov 2026'!AB65="","",'Nov 2026'!AB65))</f>
        <v/>
      </c>
      <c r="AM58" s="345">
        <f>IF($A58="","",IF('Nov 2026'!AB66="","",'Nov 2026'!AB66))</f>
        <v/>
      </c>
      <c r="AN58" s="345">
        <f>IF($A58="","",IF('Nov 2026'!AB67="","",'Nov 2026'!AB67))</f>
        <v/>
      </c>
      <c r="AO58" s="345">
        <f>IF($A58="",0,IF(AND($A58&gt;=TrackStart,$A58&lt;=TODAY()),1,0))</f>
        <v/>
      </c>
      <c r="AP58" s="345">
        <f>IF($A58="",0,IF(SUM(F58:AE58)+COUNT(AF58:AN58)&gt;0,1,0))</f>
        <v/>
      </c>
      <c r="AQ58" s="345">
        <f>IF($A58="","",INT(($A58-TrackStart)/7)+1)</f>
        <v/>
      </c>
      <c r="AR58" s="345">
        <f>IF($A58="","",IF(AQ58&lt;=1,Steps1,IF(AQ58=2,Steps2,Steps3)))</f>
        <v/>
      </c>
      <c r="AS58" s="345">
        <f>IF($A58="",0,IF(ISNUMBER(SEARCH(TEXT(D58,"0"),WorkDays&amp;"")),1,0))</f>
        <v/>
      </c>
      <c r="AT58" s="345">
        <f>IF($A58="",0,IF(ISNUMBER(SEARCH(TEXT(D58,"0"),StrDays&amp;"")),1,0))</f>
        <v/>
      </c>
      <c r="AU58" s="345">
        <f>IF($A58="",0,IF(ISNUMBER(AK58),IF(AK58&gt;=SleepMin,1,0),N58))</f>
        <v/>
      </c>
      <c r="AV58" s="345">
        <f>IF($A58="",0,MAX(I58,O58,S58,AC58))</f>
        <v/>
      </c>
      <c r="AW58" s="345">
        <f>IF($A58="",0,IF(ISNUMBER(AH58),IF(AH58&gt;=ProtHit,1,0),0))</f>
        <v/>
      </c>
      <c r="AX58" s="345">
        <f>IF($A58="",0,IF(ISNUMBER(AI58),IF(AI58&gt;=WaterHit,1,0),0))</f>
        <v/>
      </c>
      <c r="AY58" s="345">
        <f>IF($A58="",0,IF(ISNUMBER(AG58),IF(AG58&gt;=AR58,1,0),0))</f>
        <v/>
      </c>
      <c r="AZ58" s="345">
        <f>IF($A58="",0,G58)</f>
        <v/>
      </c>
      <c r="BA58" s="345">
        <f>IF($A58="",0,J58)</f>
        <v/>
      </c>
      <c r="BB58" s="345">
        <f>IF($A58="",0,K58)</f>
        <v/>
      </c>
      <c r="BC58" s="345">
        <f>IF($A58="",0,MAX(L58,AE58))</f>
        <v/>
      </c>
      <c r="BD58" s="344">
        <f>IF($A58="","",(AU58+AV58+AW58+AX58+AY58+AZ58+BB58+BC58+IF(AS58=1,BA58,0))/(8+AS58))</f>
        <v/>
      </c>
      <c r="BE58" s="344">
        <f>IF($A58="","",(IF(ISNUMBER(AI58),IF(AI58&gt;=WaterMVD,1,0),0)+AV58+IF(ISNUMBER(AH58),IF(AH58&gt;=ProtMVD,1,0),0)+MAX(H58,AD58)+AZ58+BB58+AU58)/7)</f>
        <v/>
      </c>
      <c r="BF58" s="344">
        <f>IF(AO58=0,"",IF(E58="S","",IF(AND(AP58=0,$A58=TODAY()),"",IF(E58="M",BE58,BD58))))</f>
        <v/>
      </c>
      <c r="BG58" s="344">
        <f>IF(AO58=0,"",IFERROR(AVERAGEIFS(Data!$BF$4:$BF$375,Data!$A$4:$A$375,"&gt;"&amp;($A58-7),Data!$A$4:$A$375,"&lt;="&amp;$A58),""))</f>
        <v/>
      </c>
      <c r="BH58" s="344">
        <f>IF(AO58=0,"",IFERROR(AVERAGEIFS(Data!$BF$4:$BF$375,Data!$A$4:$A$375,"&gt;"&amp;($A58-30),Data!$A$4:$A$375,"&lt;="&amp;$A58),""))</f>
        <v/>
      </c>
      <c r="BI58" s="359">
        <f>IF($A58="","",IFERROR(AVERAGEIFS(Data!$AF$4:$AF$375,Data!$A$4:$A$375,"&gt;"&amp;($A58-7),Data!$A$4:$A$375,"&lt;="&amp;$A58,Data!$AF$4:$AF$375,"&gt;0"),""))</f>
        <v/>
      </c>
      <c r="BJ58" s="345">
        <f>IF($A58="","",F58+G58+H58+I58+J58+K58+L58+M58+N58-IF(AS58=1,0,J58))</f>
        <v/>
      </c>
      <c r="BK58" s="345">
        <f>IF($A58="","",8+AS58)</f>
        <v/>
      </c>
      <c r="BL58" s="345">
        <f>IF(ISNUMBER(BF58),BF58,NA())</f>
        <v/>
      </c>
      <c r="BM58" s="345">
        <f>IF(ISNUMBER(AF58),AF58,NA())</f>
        <v/>
      </c>
      <c r="BN58" s="345">
        <f>IF(ISNUMBER(BI58),BI58,NA())</f>
        <v/>
      </c>
      <c r="BO58" s="345">
        <f>IF(ISNUMBER(AL58),AL58,NA())</f>
        <v/>
      </c>
      <c r="BP58" s="345">
        <f>IF(ISNUMBER(AM58),AM58,NA())</f>
        <v/>
      </c>
      <c r="BQ58" s="345">
        <f>IF(ISNUMBER(AN58),AN58,NA())</f>
        <v/>
      </c>
    </row>
    <row r="59">
      <c r="A59" s="358">
        <f>IF('Nov 2026'!AC7="","",'Nov 2026'!AC7)</f>
        <v/>
      </c>
      <c r="B59" s="345" t="n">
        <v>2</v>
      </c>
      <c r="C59" s="345">
        <f>IF($A59="","",25)</f>
        <v/>
      </c>
      <c r="D59" s="345">
        <f>IF($A59="","",WEEKDAY($A59,2))</f>
        <v/>
      </c>
      <c r="E59" s="345">
        <f>IF($A59="","",UPPER(TRIM('Nov 2026'!AC8)))</f>
        <v/>
      </c>
      <c r="F59" s="345">
        <f>IF($A59="","",IF(OR('Nov 2026'!AC10=TRUE,'Nov 2026'!AC10="x",'Nov 2026'!AC10="X"),1,0))</f>
        <v/>
      </c>
      <c r="G59" s="345">
        <f>IF($A59="","",IF(OR('Nov 2026'!AC11=TRUE,'Nov 2026'!AC11="x",'Nov 2026'!AC11="X"),1,0))</f>
        <v/>
      </c>
      <c r="H59" s="345">
        <f>IF($A59="","",IF(OR('Nov 2026'!AC12=TRUE,'Nov 2026'!AC12="x",'Nov 2026'!AC12="X"),1,0))</f>
        <v/>
      </c>
      <c r="I59" s="345">
        <f>IF($A59="","",IF(OR('Nov 2026'!AC13=TRUE,'Nov 2026'!AC13="x",'Nov 2026'!AC13="X"),1,0))</f>
        <v/>
      </c>
      <c r="J59" s="345">
        <f>IF($A59="","",IF(OR('Nov 2026'!AC14=TRUE,'Nov 2026'!AC14="x",'Nov 2026'!AC14="X"),1,0))</f>
        <v/>
      </c>
      <c r="K59" s="345">
        <f>IF($A59="","",IF(OR('Nov 2026'!AC15=TRUE,'Nov 2026'!AC15="x",'Nov 2026'!AC15="X"),1,0))</f>
        <v/>
      </c>
      <c r="L59" s="345">
        <f>IF($A59="","",IF(OR('Nov 2026'!AC16=TRUE,'Nov 2026'!AC16="x",'Nov 2026'!AC16="X"),1,0))</f>
        <v/>
      </c>
      <c r="M59" s="345">
        <f>IF($A59="","",IF(OR('Nov 2026'!AC17=TRUE,'Nov 2026'!AC17="x",'Nov 2026'!AC17="X"),1,0))</f>
        <v/>
      </c>
      <c r="N59" s="345">
        <f>IF($A59="","",IF(OR('Nov 2026'!AC18=TRUE,'Nov 2026'!AC18="x",'Nov 2026'!AC18="X"),1,0))</f>
        <v/>
      </c>
      <c r="O59" s="345">
        <f>IF($A59="","",IF(OR('Nov 2026'!AC20=TRUE,'Nov 2026'!AC20="x",'Nov 2026'!AC20="X"),1,0))</f>
        <v/>
      </c>
      <c r="P59" s="345">
        <f>IF($A59="","",IF(OR('Nov 2026'!AC21=TRUE,'Nov 2026'!AC21="x",'Nov 2026'!AC21="X"),1,0))</f>
        <v/>
      </c>
      <c r="Q59" s="345">
        <f>IF($A59="","",IF(OR('Nov 2026'!AC22=TRUE,'Nov 2026'!AC22="x",'Nov 2026'!AC22="X"),1,0))</f>
        <v/>
      </c>
      <c r="R59" s="345">
        <f>IF($A59="","",IF(OR('Nov 2026'!AC23=TRUE,'Nov 2026'!AC23="x",'Nov 2026'!AC23="X"),1,0))</f>
        <v/>
      </c>
      <c r="S59" s="345">
        <f>IF($A59="","",IF(OR('Nov 2026'!AC24=TRUE,'Nov 2026'!AC24="x",'Nov 2026'!AC24="X"),1,0))</f>
        <v/>
      </c>
      <c r="T59" s="345">
        <f>IF($A59="","",IF(OR('Nov 2026'!AC25=TRUE,'Nov 2026'!AC25="x",'Nov 2026'!AC25="X"),1,0))</f>
        <v/>
      </c>
      <c r="U59" s="345">
        <f>IF($A59="","",IF(OR('Nov 2026'!AC26=TRUE,'Nov 2026'!AC26="x",'Nov 2026'!AC26="X"),1,0))</f>
        <v/>
      </c>
      <c r="V59" s="345">
        <f>IF($A59="","",IF(OR('Nov 2026'!AC27=TRUE,'Nov 2026'!AC27="x",'Nov 2026'!AC27="X"),1,0))</f>
        <v/>
      </c>
      <c r="W59" s="345">
        <f>IF($A59="","",IF(OR('Nov 2026'!AC28=TRUE,'Nov 2026'!AC28="x",'Nov 2026'!AC28="X"),1,0))</f>
        <v/>
      </c>
      <c r="X59" s="345">
        <f>IF($A59="","",IF(OR('Nov 2026'!AC29=TRUE,'Nov 2026'!AC29="x",'Nov 2026'!AC29="X"),1,0))</f>
        <v/>
      </c>
      <c r="Y59" s="345">
        <f>IF($A59="","",IF(OR('Nov 2026'!AC30=TRUE,'Nov 2026'!AC30="x",'Nov 2026'!AC30="X"),1,0))</f>
        <v/>
      </c>
      <c r="Z59" s="345">
        <f>IF($A59="","",IF(OR('Nov 2026'!AC31=TRUE,'Nov 2026'!AC31="x",'Nov 2026'!AC31="X"),1,0))</f>
        <v/>
      </c>
      <c r="AA59" s="345">
        <f>IF($A59="","",IF(OR('Nov 2026'!AC32=TRUE,'Nov 2026'!AC32="x",'Nov 2026'!AC32="X"),1,0))</f>
        <v/>
      </c>
      <c r="AB59" s="345">
        <f>IF($A59="","",IF(OR('Nov 2026'!AC34=TRUE,'Nov 2026'!AC34="x",'Nov 2026'!AC34="X"),1,0))</f>
        <v/>
      </c>
      <c r="AC59" s="345">
        <f>IF($A59="","",IF(OR('Nov 2026'!AC35=TRUE,'Nov 2026'!AC35="x",'Nov 2026'!AC35="X"),1,0))</f>
        <v/>
      </c>
      <c r="AD59" s="345">
        <f>IF($A59="","",IF(OR('Nov 2026'!AC36=TRUE,'Nov 2026'!AC36="x",'Nov 2026'!AC36="X"),1,0))</f>
        <v/>
      </c>
      <c r="AE59" s="345">
        <f>IF($A59="","",IF(OR('Nov 2026'!AC37=TRUE,'Nov 2026'!AC37="x",'Nov 2026'!AC37="X"),1,0))</f>
        <v/>
      </c>
      <c r="AF59" s="345">
        <f>IF($A59="","",IF('Nov 2026'!AC59="","",'Nov 2026'!AC59))</f>
        <v/>
      </c>
      <c r="AG59" s="345">
        <f>IF($A59="","",IF('Nov 2026'!AC60="","",'Nov 2026'!AC60))</f>
        <v/>
      </c>
      <c r="AH59" s="345">
        <f>IF($A59="","",IF('Nov 2026'!AC61="","",'Nov 2026'!AC61))</f>
        <v/>
      </c>
      <c r="AI59" s="345">
        <f>IF($A59="","",IF('Nov 2026'!AC62="","",'Nov 2026'!AC62))</f>
        <v/>
      </c>
      <c r="AJ59" s="345">
        <f>IF($A59="","",IF('Nov 2026'!AC63="","",'Nov 2026'!AC63))</f>
        <v/>
      </c>
      <c r="AK59" s="345">
        <f>IF($A59="","",IF('Nov 2026'!AC64="","",'Nov 2026'!AC64))</f>
        <v/>
      </c>
      <c r="AL59" s="345">
        <f>IF($A59="","",IF('Nov 2026'!AC65="","",'Nov 2026'!AC65))</f>
        <v/>
      </c>
      <c r="AM59" s="345">
        <f>IF($A59="","",IF('Nov 2026'!AC66="","",'Nov 2026'!AC66))</f>
        <v/>
      </c>
      <c r="AN59" s="345">
        <f>IF($A59="","",IF('Nov 2026'!AC67="","",'Nov 2026'!AC67))</f>
        <v/>
      </c>
      <c r="AO59" s="345">
        <f>IF($A59="",0,IF(AND($A59&gt;=TrackStart,$A59&lt;=TODAY()),1,0))</f>
        <v/>
      </c>
      <c r="AP59" s="345">
        <f>IF($A59="",0,IF(SUM(F59:AE59)+COUNT(AF59:AN59)&gt;0,1,0))</f>
        <v/>
      </c>
      <c r="AQ59" s="345">
        <f>IF($A59="","",INT(($A59-TrackStart)/7)+1)</f>
        <v/>
      </c>
      <c r="AR59" s="345">
        <f>IF($A59="","",IF(AQ59&lt;=1,Steps1,IF(AQ59=2,Steps2,Steps3)))</f>
        <v/>
      </c>
      <c r="AS59" s="345">
        <f>IF($A59="",0,IF(ISNUMBER(SEARCH(TEXT(D59,"0"),WorkDays&amp;"")),1,0))</f>
        <v/>
      </c>
      <c r="AT59" s="345">
        <f>IF($A59="",0,IF(ISNUMBER(SEARCH(TEXT(D59,"0"),StrDays&amp;"")),1,0))</f>
        <v/>
      </c>
      <c r="AU59" s="345">
        <f>IF($A59="",0,IF(ISNUMBER(AK59),IF(AK59&gt;=SleepMin,1,0),N59))</f>
        <v/>
      </c>
      <c r="AV59" s="345">
        <f>IF($A59="",0,MAX(I59,O59,S59,AC59))</f>
        <v/>
      </c>
      <c r="AW59" s="345">
        <f>IF($A59="",0,IF(ISNUMBER(AH59),IF(AH59&gt;=ProtHit,1,0),0))</f>
        <v/>
      </c>
      <c r="AX59" s="345">
        <f>IF($A59="",0,IF(ISNUMBER(AI59),IF(AI59&gt;=WaterHit,1,0),0))</f>
        <v/>
      </c>
      <c r="AY59" s="345">
        <f>IF($A59="",0,IF(ISNUMBER(AG59),IF(AG59&gt;=AR59,1,0),0))</f>
        <v/>
      </c>
      <c r="AZ59" s="345">
        <f>IF($A59="",0,G59)</f>
        <v/>
      </c>
      <c r="BA59" s="345">
        <f>IF($A59="",0,J59)</f>
        <v/>
      </c>
      <c r="BB59" s="345">
        <f>IF($A59="",0,K59)</f>
        <v/>
      </c>
      <c r="BC59" s="345">
        <f>IF($A59="",0,MAX(L59,AE59))</f>
        <v/>
      </c>
      <c r="BD59" s="344">
        <f>IF($A59="","",(AU59+AV59+AW59+AX59+AY59+AZ59+BB59+BC59+IF(AS59=1,BA59,0))/(8+AS59))</f>
        <v/>
      </c>
      <c r="BE59" s="344">
        <f>IF($A59="","",(IF(ISNUMBER(AI59),IF(AI59&gt;=WaterMVD,1,0),0)+AV59+IF(ISNUMBER(AH59),IF(AH59&gt;=ProtMVD,1,0),0)+MAX(H59,AD59)+AZ59+BB59+AU59)/7)</f>
        <v/>
      </c>
      <c r="BF59" s="344">
        <f>IF(AO59=0,"",IF(E59="S","",IF(AND(AP59=0,$A59=TODAY()),"",IF(E59="M",BE59,BD59))))</f>
        <v/>
      </c>
      <c r="BG59" s="344">
        <f>IF(AO59=0,"",IFERROR(AVERAGEIFS(Data!$BF$4:$BF$375,Data!$A$4:$A$375,"&gt;"&amp;($A59-7),Data!$A$4:$A$375,"&lt;="&amp;$A59),""))</f>
        <v/>
      </c>
      <c r="BH59" s="344">
        <f>IF(AO59=0,"",IFERROR(AVERAGEIFS(Data!$BF$4:$BF$375,Data!$A$4:$A$375,"&gt;"&amp;($A59-30),Data!$A$4:$A$375,"&lt;="&amp;$A59),""))</f>
        <v/>
      </c>
      <c r="BI59" s="359">
        <f>IF($A59="","",IFERROR(AVERAGEIFS(Data!$AF$4:$AF$375,Data!$A$4:$A$375,"&gt;"&amp;($A59-7),Data!$A$4:$A$375,"&lt;="&amp;$A59,Data!$AF$4:$AF$375,"&gt;0"),""))</f>
        <v/>
      </c>
      <c r="BJ59" s="345">
        <f>IF($A59="","",F59+G59+H59+I59+J59+K59+L59+M59+N59-IF(AS59=1,0,J59))</f>
        <v/>
      </c>
      <c r="BK59" s="345">
        <f>IF($A59="","",8+AS59)</f>
        <v/>
      </c>
      <c r="BL59" s="345">
        <f>IF(ISNUMBER(BF59),BF59,NA())</f>
        <v/>
      </c>
      <c r="BM59" s="345">
        <f>IF(ISNUMBER(AF59),AF59,NA())</f>
        <v/>
      </c>
      <c r="BN59" s="345">
        <f>IF(ISNUMBER(BI59),BI59,NA())</f>
        <v/>
      </c>
      <c r="BO59" s="345">
        <f>IF(ISNUMBER(AL59),AL59,NA())</f>
        <v/>
      </c>
      <c r="BP59" s="345">
        <f>IF(ISNUMBER(AM59),AM59,NA())</f>
        <v/>
      </c>
      <c r="BQ59" s="345">
        <f>IF(ISNUMBER(AN59),AN59,NA())</f>
        <v/>
      </c>
    </row>
    <row r="60">
      <c r="A60" s="358">
        <f>IF('Nov 2026'!AD7="","",'Nov 2026'!AD7)</f>
        <v/>
      </c>
      <c r="B60" s="345" t="n">
        <v>2</v>
      </c>
      <c r="C60" s="345">
        <f>IF($A60="","",26)</f>
        <v/>
      </c>
      <c r="D60" s="345">
        <f>IF($A60="","",WEEKDAY($A60,2))</f>
        <v/>
      </c>
      <c r="E60" s="345">
        <f>IF($A60="","",UPPER(TRIM('Nov 2026'!AD8)))</f>
        <v/>
      </c>
      <c r="F60" s="345">
        <f>IF($A60="","",IF(OR('Nov 2026'!AD10=TRUE,'Nov 2026'!AD10="x",'Nov 2026'!AD10="X"),1,0))</f>
        <v/>
      </c>
      <c r="G60" s="345">
        <f>IF($A60="","",IF(OR('Nov 2026'!AD11=TRUE,'Nov 2026'!AD11="x",'Nov 2026'!AD11="X"),1,0))</f>
        <v/>
      </c>
      <c r="H60" s="345">
        <f>IF($A60="","",IF(OR('Nov 2026'!AD12=TRUE,'Nov 2026'!AD12="x",'Nov 2026'!AD12="X"),1,0))</f>
        <v/>
      </c>
      <c r="I60" s="345">
        <f>IF($A60="","",IF(OR('Nov 2026'!AD13=TRUE,'Nov 2026'!AD13="x",'Nov 2026'!AD13="X"),1,0))</f>
        <v/>
      </c>
      <c r="J60" s="345">
        <f>IF($A60="","",IF(OR('Nov 2026'!AD14=TRUE,'Nov 2026'!AD14="x",'Nov 2026'!AD14="X"),1,0))</f>
        <v/>
      </c>
      <c r="K60" s="345">
        <f>IF($A60="","",IF(OR('Nov 2026'!AD15=TRUE,'Nov 2026'!AD15="x",'Nov 2026'!AD15="X"),1,0))</f>
        <v/>
      </c>
      <c r="L60" s="345">
        <f>IF($A60="","",IF(OR('Nov 2026'!AD16=TRUE,'Nov 2026'!AD16="x",'Nov 2026'!AD16="X"),1,0))</f>
        <v/>
      </c>
      <c r="M60" s="345">
        <f>IF($A60="","",IF(OR('Nov 2026'!AD17=TRUE,'Nov 2026'!AD17="x",'Nov 2026'!AD17="X"),1,0))</f>
        <v/>
      </c>
      <c r="N60" s="345">
        <f>IF($A60="","",IF(OR('Nov 2026'!AD18=TRUE,'Nov 2026'!AD18="x",'Nov 2026'!AD18="X"),1,0))</f>
        <v/>
      </c>
      <c r="O60" s="345">
        <f>IF($A60="","",IF(OR('Nov 2026'!AD20=TRUE,'Nov 2026'!AD20="x",'Nov 2026'!AD20="X"),1,0))</f>
        <v/>
      </c>
      <c r="P60" s="345">
        <f>IF($A60="","",IF(OR('Nov 2026'!AD21=TRUE,'Nov 2026'!AD21="x",'Nov 2026'!AD21="X"),1,0))</f>
        <v/>
      </c>
      <c r="Q60" s="345">
        <f>IF($A60="","",IF(OR('Nov 2026'!AD22=TRUE,'Nov 2026'!AD22="x",'Nov 2026'!AD22="X"),1,0))</f>
        <v/>
      </c>
      <c r="R60" s="345">
        <f>IF($A60="","",IF(OR('Nov 2026'!AD23=TRUE,'Nov 2026'!AD23="x",'Nov 2026'!AD23="X"),1,0))</f>
        <v/>
      </c>
      <c r="S60" s="345">
        <f>IF($A60="","",IF(OR('Nov 2026'!AD24=TRUE,'Nov 2026'!AD24="x",'Nov 2026'!AD24="X"),1,0))</f>
        <v/>
      </c>
      <c r="T60" s="345">
        <f>IF($A60="","",IF(OR('Nov 2026'!AD25=TRUE,'Nov 2026'!AD25="x",'Nov 2026'!AD25="X"),1,0))</f>
        <v/>
      </c>
      <c r="U60" s="345">
        <f>IF($A60="","",IF(OR('Nov 2026'!AD26=TRUE,'Nov 2026'!AD26="x",'Nov 2026'!AD26="X"),1,0))</f>
        <v/>
      </c>
      <c r="V60" s="345">
        <f>IF($A60="","",IF(OR('Nov 2026'!AD27=TRUE,'Nov 2026'!AD27="x",'Nov 2026'!AD27="X"),1,0))</f>
        <v/>
      </c>
      <c r="W60" s="345">
        <f>IF($A60="","",IF(OR('Nov 2026'!AD28=TRUE,'Nov 2026'!AD28="x",'Nov 2026'!AD28="X"),1,0))</f>
        <v/>
      </c>
      <c r="X60" s="345">
        <f>IF($A60="","",IF(OR('Nov 2026'!AD29=TRUE,'Nov 2026'!AD29="x",'Nov 2026'!AD29="X"),1,0))</f>
        <v/>
      </c>
      <c r="Y60" s="345">
        <f>IF($A60="","",IF(OR('Nov 2026'!AD30=TRUE,'Nov 2026'!AD30="x",'Nov 2026'!AD30="X"),1,0))</f>
        <v/>
      </c>
      <c r="Z60" s="345">
        <f>IF($A60="","",IF(OR('Nov 2026'!AD31=TRUE,'Nov 2026'!AD31="x",'Nov 2026'!AD31="X"),1,0))</f>
        <v/>
      </c>
      <c r="AA60" s="345">
        <f>IF($A60="","",IF(OR('Nov 2026'!AD32=TRUE,'Nov 2026'!AD32="x",'Nov 2026'!AD32="X"),1,0))</f>
        <v/>
      </c>
      <c r="AB60" s="345">
        <f>IF($A60="","",IF(OR('Nov 2026'!AD34=TRUE,'Nov 2026'!AD34="x",'Nov 2026'!AD34="X"),1,0))</f>
        <v/>
      </c>
      <c r="AC60" s="345">
        <f>IF($A60="","",IF(OR('Nov 2026'!AD35=TRUE,'Nov 2026'!AD35="x",'Nov 2026'!AD35="X"),1,0))</f>
        <v/>
      </c>
      <c r="AD60" s="345">
        <f>IF($A60="","",IF(OR('Nov 2026'!AD36=TRUE,'Nov 2026'!AD36="x",'Nov 2026'!AD36="X"),1,0))</f>
        <v/>
      </c>
      <c r="AE60" s="345">
        <f>IF($A60="","",IF(OR('Nov 2026'!AD37=TRUE,'Nov 2026'!AD37="x",'Nov 2026'!AD37="X"),1,0))</f>
        <v/>
      </c>
      <c r="AF60" s="345">
        <f>IF($A60="","",IF('Nov 2026'!AD59="","",'Nov 2026'!AD59))</f>
        <v/>
      </c>
      <c r="AG60" s="345">
        <f>IF($A60="","",IF('Nov 2026'!AD60="","",'Nov 2026'!AD60))</f>
        <v/>
      </c>
      <c r="AH60" s="345">
        <f>IF($A60="","",IF('Nov 2026'!AD61="","",'Nov 2026'!AD61))</f>
        <v/>
      </c>
      <c r="AI60" s="345">
        <f>IF($A60="","",IF('Nov 2026'!AD62="","",'Nov 2026'!AD62))</f>
        <v/>
      </c>
      <c r="AJ60" s="345">
        <f>IF($A60="","",IF('Nov 2026'!AD63="","",'Nov 2026'!AD63))</f>
        <v/>
      </c>
      <c r="AK60" s="345">
        <f>IF($A60="","",IF('Nov 2026'!AD64="","",'Nov 2026'!AD64))</f>
        <v/>
      </c>
      <c r="AL60" s="345">
        <f>IF($A60="","",IF('Nov 2026'!AD65="","",'Nov 2026'!AD65))</f>
        <v/>
      </c>
      <c r="AM60" s="345">
        <f>IF($A60="","",IF('Nov 2026'!AD66="","",'Nov 2026'!AD66))</f>
        <v/>
      </c>
      <c r="AN60" s="345">
        <f>IF($A60="","",IF('Nov 2026'!AD67="","",'Nov 2026'!AD67))</f>
        <v/>
      </c>
      <c r="AO60" s="345">
        <f>IF($A60="",0,IF(AND($A60&gt;=TrackStart,$A60&lt;=TODAY()),1,0))</f>
        <v/>
      </c>
      <c r="AP60" s="345">
        <f>IF($A60="",0,IF(SUM(F60:AE60)+COUNT(AF60:AN60)&gt;0,1,0))</f>
        <v/>
      </c>
      <c r="AQ60" s="345">
        <f>IF($A60="","",INT(($A60-TrackStart)/7)+1)</f>
        <v/>
      </c>
      <c r="AR60" s="345">
        <f>IF($A60="","",IF(AQ60&lt;=1,Steps1,IF(AQ60=2,Steps2,Steps3)))</f>
        <v/>
      </c>
      <c r="AS60" s="345">
        <f>IF($A60="",0,IF(ISNUMBER(SEARCH(TEXT(D60,"0"),WorkDays&amp;"")),1,0))</f>
        <v/>
      </c>
      <c r="AT60" s="345">
        <f>IF($A60="",0,IF(ISNUMBER(SEARCH(TEXT(D60,"0"),StrDays&amp;"")),1,0))</f>
        <v/>
      </c>
      <c r="AU60" s="345">
        <f>IF($A60="",0,IF(ISNUMBER(AK60),IF(AK60&gt;=SleepMin,1,0),N60))</f>
        <v/>
      </c>
      <c r="AV60" s="345">
        <f>IF($A60="",0,MAX(I60,O60,S60,AC60))</f>
        <v/>
      </c>
      <c r="AW60" s="345">
        <f>IF($A60="",0,IF(ISNUMBER(AH60),IF(AH60&gt;=ProtHit,1,0),0))</f>
        <v/>
      </c>
      <c r="AX60" s="345">
        <f>IF($A60="",0,IF(ISNUMBER(AI60),IF(AI60&gt;=WaterHit,1,0),0))</f>
        <v/>
      </c>
      <c r="AY60" s="345">
        <f>IF($A60="",0,IF(ISNUMBER(AG60),IF(AG60&gt;=AR60,1,0),0))</f>
        <v/>
      </c>
      <c r="AZ60" s="345">
        <f>IF($A60="",0,G60)</f>
        <v/>
      </c>
      <c r="BA60" s="345">
        <f>IF($A60="",0,J60)</f>
        <v/>
      </c>
      <c r="BB60" s="345">
        <f>IF($A60="",0,K60)</f>
        <v/>
      </c>
      <c r="BC60" s="345">
        <f>IF($A60="",0,MAX(L60,AE60))</f>
        <v/>
      </c>
      <c r="BD60" s="344">
        <f>IF($A60="","",(AU60+AV60+AW60+AX60+AY60+AZ60+BB60+BC60+IF(AS60=1,BA60,0))/(8+AS60))</f>
        <v/>
      </c>
      <c r="BE60" s="344">
        <f>IF($A60="","",(IF(ISNUMBER(AI60),IF(AI60&gt;=WaterMVD,1,0),0)+AV60+IF(ISNUMBER(AH60),IF(AH60&gt;=ProtMVD,1,0),0)+MAX(H60,AD60)+AZ60+BB60+AU60)/7)</f>
        <v/>
      </c>
      <c r="BF60" s="344">
        <f>IF(AO60=0,"",IF(E60="S","",IF(AND(AP60=0,$A60=TODAY()),"",IF(E60="M",BE60,BD60))))</f>
        <v/>
      </c>
      <c r="BG60" s="344">
        <f>IF(AO60=0,"",IFERROR(AVERAGEIFS(Data!$BF$4:$BF$375,Data!$A$4:$A$375,"&gt;"&amp;($A60-7),Data!$A$4:$A$375,"&lt;="&amp;$A60),""))</f>
        <v/>
      </c>
      <c r="BH60" s="344">
        <f>IF(AO60=0,"",IFERROR(AVERAGEIFS(Data!$BF$4:$BF$375,Data!$A$4:$A$375,"&gt;"&amp;($A60-30),Data!$A$4:$A$375,"&lt;="&amp;$A60),""))</f>
        <v/>
      </c>
      <c r="BI60" s="359">
        <f>IF($A60="","",IFERROR(AVERAGEIFS(Data!$AF$4:$AF$375,Data!$A$4:$A$375,"&gt;"&amp;($A60-7),Data!$A$4:$A$375,"&lt;="&amp;$A60,Data!$AF$4:$AF$375,"&gt;0"),""))</f>
        <v/>
      </c>
      <c r="BJ60" s="345">
        <f>IF($A60="","",F60+G60+H60+I60+J60+K60+L60+M60+N60-IF(AS60=1,0,J60))</f>
        <v/>
      </c>
      <c r="BK60" s="345">
        <f>IF($A60="","",8+AS60)</f>
        <v/>
      </c>
      <c r="BL60" s="345">
        <f>IF(ISNUMBER(BF60),BF60,NA())</f>
        <v/>
      </c>
      <c r="BM60" s="345">
        <f>IF(ISNUMBER(AF60),AF60,NA())</f>
        <v/>
      </c>
      <c r="BN60" s="345">
        <f>IF(ISNUMBER(BI60),BI60,NA())</f>
        <v/>
      </c>
      <c r="BO60" s="345">
        <f>IF(ISNUMBER(AL60),AL60,NA())</f>
        <v/>
      </c>
      <c r="BP60" s="345">
        <f>IF(ISNUMBER(AM60),AM60,NA())</f>
        <v/>
      </c>
      <c r="BQ60" s="345">
        <f>IF(ISNUMBER(AN60),AN60,NA())</f>
        <v/>
      </c>
    </row>
    <row r="61">
      <c r="A61" s="358">
        <f>IF('Nov 2026'!AE7="","",'Nov 2026'!AE7)</f>
        <v/>
      </c>
      <c r="B61" s="345" t="n">
        <v>2</v>
      </c>
      <c r="C61" s="345">
        <f>IF($A61="","",27)</f>
        <v/>
      </c>
      <c r="D61" s="345">
        <f>IF($A61="","",WEEKDAY($A61,2))</f>
        <v/>
      </c>
      <c r="E61" s="345">
        <f>IF($A61="","",UPPER(TRIM('Nov 2026'!AE8)))</f>
        <v/>
      </c>
      <c r="F61" s="345">
        <f>IF($A61="","",IF(OR('Nov 2026'!AE10=TRUE,'Nov 2026'!AE10="x",'Nov 2026'!AE10="X"),1,0))</f>
        <v/>
      </c>
      <c r="G61" s="345">
        <f>IF($A61="","",IF(OR('Nov 2026'!AE11=TRUE,'Nov 2026'!AE11="x",'Nov 2026'!AE11="X"),1,0))</f>
        <v/>
      </c>
      <c r="H61" s="345">
        <f>IF($A61="","",IF(OR('Nov 2026'!AE12=TRUE,'Nov 2026'!AE12="x",'Nov 2026'!AE12="X"),1,0))</f>
        <v/>
      </c>
      <c r="I61" s="345">
        <f>IF($A61="","",IF(OR('Nov 2026'!AE13=TRUE,'Nov 2026'!AE13="x",'Nov 2026'!AE13="X"),1,0))</f>
        <v/>
      </c>
      <c r="J61" s="345">
        <f>IF($A61="","",IF(OR('Nov 2026'!AE14=TRUE,'Nov 2026'!AE14="x",'Nov 2026'!AE14="X"),1,0))</f>
        <v/>
      </c>
      <c r="K61" s="345">
        <f>IF($A61="","",IF(OR('Nov 2026'!AE15=TRUE,'Nov 2026'!AE15="x",'Nov 2026'!AE15="X"),1,0))</f>
        <v/>
      </c>
      <c r="L61" s="345">
        <f>IF($A61="","",IF(OR('Nov 2026'!AE16=TRUE,'Nov 2026'!AE16="x",'Nov 2026'!AE16="X"),1,0))</f>
        <v/>
      </c>
      <c r="M61" s="345">
        <f>IF($A61="","",IF(OR('Nov 2026'!AE17=TRUE,'Nov 2026'!AE17="x",'Nov 2026'!AE17="X"),1,0))</f>
        <v/>
      </c>
      <c r="N61" s="345">
        <f>IF($A61="","",IF(OR('Nov 2026'!AE18=TRUE,'Nov 2026'!AE18="x",'Nov 2026'!AE18="X"),1,0))</f>
        <v/>
      </c>
      <c r="O61" s="345">
        <f>IF($A61="","",IF(OR('Nov 2026'!AE20=TRUE,'Nov 2026'!AE20="x",'Nov 2026'!AE20="X"),1,0))</f>
        <v/>
      </c>
      <c r="P61" s="345">
        <f>IF($A61="","",IF(OR('Nov 2026'!AE21=TRUE,'Nov 2026'!AE21="x",'Nov 2026'!AE21="X"),1,0))</f>
        <v/>
      </c>
      <c r="Q61" s="345">
        <f>IF($A61="","",IF(OR('Nov 2026'!AE22=TRUE,'Nov 2026'!AE22="x",'Nov 2026'!AE22="X"),1,0))</f>
        <v/>
      </c>
      <c r="R61" s="345">
        <f>IF($A61="","",IF(OR('Nov 2026'!AE23=TRUE,'Nov 2026'!AE23="x",'Nov 2026'!AE23="X"),1,0))</f>
        <v/>
      </c>
      <c r="S61" s="345">
        <f>IF($A61="","",IF(OR('Nov 2026'!AE24=TRUE,'Nov 2026'!AE24="x",'Nov 2026'!AE24="X"),1,0))</f>
        <v/>
      </c>
      <c r="T61" s="345">
        <f>IF($A61="","",IF(OR('Nov 2026'!AE25=TRUE,'Nov 2026'!AE25="x",'Nov 2026'!AE25="X"),1,0))</f>
        <v/>
      </c>
      <c r="U61" s="345">
        <f>IF($A61="","",IF(OR('Nov 2026'!AE26=TRUE,'Nov 2026'!AE26="x",'Nov 2026'!AE26="X"),1,0))</f>
        <v/>
      </c>
      <c r="V61" s="345">
        <f>IF($A61="","",IF(OR('Nov 2026'!AE27=TRUE,'Nov 2026'!AE27="x",'Nov 2026'!AE27="X"),1,0))</f>
        <v/>
      </c>
      <c r="W61" s="345">
        <f>IF($A61="","",IF(OR('Nov 2026'!AE28=TRUE,'Nov 2026'!AE28="x",'Nov 2026'!AE28="X"),1,0))</f>
        <v/>
      </c>
      <c r="X61" s="345">
        <f>IF($A61="","",IF(OR('Nov 2026'!AE29=TRUE,'Nov 2026'!AE29="x",'Nov 2026'!AE29="X"),1,0))</f>
        <v/>
      </c>
      <c r="Y61" s="345">
        <f>IF($A61="","",IF(OR('Nov 2026'!AE30=TRUE,'Nov 2026'!AE30="x",'Nov 2026'!AE30="X"),1,0))</f>
        <v/>
      </c>
      <c r="Z61" s="345">
        <f>IF($A61="","",IF(OR('Nov 2026'!AE31=TRUE,'Nov 2026'!AE31="x",'Nov 2026'!AE31="X"),1,0))</f>
        <v/>
      </c>
      <c r="AA61" s="345">
        <f>IF($A61="","",IF(OR('Nov 2026'!AE32=TRUE,'Nov 2026'!AE32="x",'Nov 2026'!AE32="X"),1,0))</f>
        <v/>
      </c>
      <c r="AB61" s="345">
        <f>IF($A61="","",IF(OR('Nov 2026'!AE34=TRUE,'Nov 2026'!AE34="x",'Nov 2026'!AE34="X"),1,0))</f>
        <v/>
      </c>
      <c r="AC61" s="345">
        <f>IF($A61="","",IF(OR('Nov 2026'!AE35=TRUE,'Nov 2026'!AE35="x",'Nov 2026'!AE35="X"),1,0))</f>
        <v/>
      </c>
      <c r="AD61" s="345">
        <f>IF($A61="","",IF(OR('Nov 2026'!AE36=TRUE,'Nov 2026'!AE36="x",'Nov 2026'!AE36="X"),1,0))</f>
        <v/>
      </c>
      <c r="AE61" s="345">
        <f>IF($A61="","",IF(OR('Nov 2026'!AE37=TRUE,'Nov 2026'!AE37="x",'Nov 2026'!AE37="X"),1,0))</f>
        <v/>
      </c>
      <c r="AF61" s="345">
        <f>IF($A61="","",IF('Nov 2026'!AE59="","",'Nov 2026'!AE59))</f>
        <v/>
      </c>
      <c r="AG61" s="345">
        <f>IF($A61="","",IF('Nov 2026'!AE60="","",'Nov 2026'!AE60))</f>
        <v/>
      </c>
      <c r="AH61" s="345">
        <f>IF($A61="","",IF('Nov 2026'!AE61="","",'Nov 2026'!AE61))</f>
        <v/>
      </c>
      <c r="AI61" s="345">
        <f>IF($A61="","",IF('Nov 2026'!AE62="","",'Nov 2026'!AE62))</f>
        <v/>
      </c>
      <c r="AJ61" s="345">
        <f>IF($A61="","",IF('Nov 2026'!AE63="","",'Nov 2026'!AE63))</f>
        <v/>
      </c>
      <c r="AK61" s="345">
        <f>IF($A61="","",IF('Nov 2026'!AE64="","",'Nov 2026'!AE64))</f>
        <v/>
      </c>
      <c r="AL61" s="345">
        <f>IF($A61="","",IF('Nov 2026'!AE65="","",'Nov 2026'!AE65))</f>
        <v/>
      </c>
      <c r="AM61" s="345">
        <f>IF($A61="","",IF('Nov 2026'!AE66="","",'Nov 2026'!AE66))</f>
        <v/>
      </c>
      <c r="AN61" s="345">
        <f>IF($A61="","",IF('Nov 2026'!AE67="","",'Nov 2026'!AE67))</f>
        <v/>
      </c>
      <c r="AO61" s="345">
        <f>IF($A61="",0,IF(AND($A61&gt;=TrackStart,$A61&lt;=TODAY()),1,0))</f>
        <v/>
      </c>
      <c r="AP61" s="345">
        <f>IF($A61="",0,IF(SUM(F61:AE61)+COUNT(AF61:AN61)&gt;0,1,0))</f>
        <v/>
      </c>
      <c r="AQ61" s="345">
        <f>IF($A61="","",INT(($A61-TrackStart)/7)+1)</f>
        <v/>
      </c>
      <c r="AR61" s="345">
        <f>IF($A61="","",IF(AQ61&lt;=1,Steps1,IF(AQ61=2,Steps2,Steps3)))</f>
        <v/>
      </c>
      <c r="AS61" s="345">
        <f>IF($A61="",0,IF(ISNUMBER(SEARCH(TEXT(D61,"0"),WorkDays&amp;"")),1,0))</f>
        <v/>
      </c>
      <c r="AT61" s="345">
        <f>IF($A61="",0,IF(ISNUMBER(SEARCH(TEXT(D61,"0"),StrDays&amp;"")),1,0))</f>
        <v/>
      </c>
      <c r="AU61" s="345">
        <f>IF($A61="",0,IF(ISNUMBER(AK61),IF(AK61&gt;=SleepMin,1,0),N61))</f>
        <v/>
      </c>
      <c r="AV61" s="345">
        <f>IF($A61="",0,MAX(I61,O61,S61,AC61))</f>
        <v/>
      </c>
      <c r="AW61" s="345">
        <f>IF($A61="",0,IF(ISNUMBER(AH61),IF(AH61&gt;=ProtHit,1,0),0))</f>
        <v/>
      </c>
      <c r="AX61" s="345">
        <f>IF($A61="",0,IF(ISNUMBER(AI61),IF(AI61&gt;=WaterHit,1,0),0))</f>
        <v/>
      </c>
      <c r="AY61" s="345">
        <f>IF($A61="",0,IF(ISNUMBER(AG61),IF(AG61&gt;=AR61,1,0),0))</f>
        <v/>
      </c>
      <c r="AZ61" s="345">
        <f>IF($A61="",0,G61)</f>
        <v/>
      </c>
      <c r="BA61" s="345">
        <f>IF($A61="",0,J61)</f>
        <v/>
      </c>
      <c r="BB61" s="345">
        <f>IF($A61="",0,K61)</f>
        <v/>
      </c>
      <c r="BC61" s="345">
        <f>IF($A61="",0,MAX(L61,AE61))</f>
        <v/>
      </c>
      <c r="BD61" s="344">
        <f>IF($A61="","",(AU61+AV61+AW61+AX61+AY61+AZ61+BB61+BC61+IF(AS61=1,BA61,0))/(8+AS61))</f>
        <v/>
      </c>
      <c r="BE61" s="344">
        <f>IF($A61="","",(IF(ISNUMBER(AI61),IF(AI61&gt;=WaterMVD,1,0),0)+AV61+IF(ISNUMBER(AH61),IF(AH61&gt;=ProtMVD,1,0),0)+MAX(H61,AD61)+AZ61+BB61+AU61)/7)</f>
        <v/>
      </c>
      <c r="BF61" s="344">
        <f>IF(AO61=0,"",IF(E61="S","",IF(AND(AP61=0,$A61=TODAY()),"",IF(E61="M",BE61,BD61))))</f>
        <v/>
      </c>
      <c r="BG61" s="344">
        <f>IF(AO61=0,"",IFERROR(AVERAGEIFS(Data!$BF$4:$BF$375,Data!$A$4:$A$375,"&gt;"&amp;($A61-7),Data!$A$4:$A$375,"&lt;="&amp;$A61),""))</f>
        <v/>
      </c>
      <c r="BH61" s="344">
        <f>IF(AO61=0,"",IFERROR(AVERAGEIFS(Data!$BF$4:$BF$375,Data!$A$4:$A$375,"&gt;"&amp;($A61-30),Data!$A$4:$A$375,"&lt;="&amp;$A61),""))</f>
        <v/>
      </c>
      <c r="BI61" s="359">
        <f>IF($A61="","",IFERROR(AVERAGEIFS(Data!$AF$4:$AF$375,Data!$A$4:$A$375,"&gt;"&amp;($A61-7),Data!$A$4:$A$375,"&lt;="&amp;$A61,Data!$AF$4:$AF$375,"&gt;0"),""))</f>
        <v/>
      </c>
      <c r="BJ61" s="345">
        <f>IF($A61="","",F61+G61+H61+I61+J61+K61+L61+M61+N61-IF(AS61=1,0,J61))</f>
        <v/>
      </c>
      <c r="BK61" s="345">
        <f>IF($A61="","",8+AS61)</f>
        <v/>
      </c>
      <c r="BL61" s="345">
        <f>IF(ISNUMBER(BF61),BF61,NA())</f>
        <v/>
      </c>
      <c r="BM61" s="345">
        <f>IF(ISNUMBER(AF61),AF61,NA())</f>
        <v/>
      </c>
      <c r="BN61" s="345">
        <f>IF(ISNUMBER(BI61),BI61,NA())</f>
        <v/>
      </c>
      <c r="BO61" s="345">
        <f>IF(ISNUMBER(AL61),AL61,NA())</f>
        <v/>
      </c>
      <c r="BP61" s="345">
        <f>IF(ISNUMBER(AM61),AM61,NA())</f>
        <v/>
      </c>
      <c r="BQ61" s="345">
        <f>IF(ISNUMBER(AN61),AN61,NA())</f>
        <v/>
      </c>
    </row>
    <row r="62">
      <c r="A62" s="358">
        <f>IF('Nov 2026'!AF7="","",'Nov 2026'!AF7)</f>
        <v/>
      </c>
      <c r="B62" s="345" t="n">
        <v>2</v>
      </c>
      <c r="C62" s="345">
        <f>IF($A62="","",28)</f>
        <v/>
      </c>
      <c r="D62" s="345">
        <f>IF($A62="","",WEEKDAY($A62,2))</f>
        <v/>
      </c>
      <c r="E62" s="345">
        <f>IF($A62="","",UPPER(TRIM('Nov 2026'!AF8)))</f>
        <v/>
      </c>
      <c r="F62" s="345">
        <f>IF($A62="","",IF(OR('Nov 2026'!AF10=TRUE,'Nov 2026'!AF10="x",'Nov 2026'!AF10="X"),1,0))</f>
        <v/>
      </c>
      <c r="G62" s="345">
        <f>IF($A62="","",IF(OR('Nov 2026'!AF11=TRUE,'Nov 2026'!AF11="x",'Nov 2026'!AF11="X"),1,0))</f>
        <v/>
      </c>
      <c r="H62" s="345">
        <f>IF($A62="","",IF(OR('Nov 2026'!AF12=TRUE,'Nov 2026'!AF12="x",'Nov 2026'!AF12="X"),1,0))</f>
        <v/>
      </c>
      <c r="I62" s="345">
        <f>IF($A62="","",IF(OR('Nov 2026'!AF13=TRUE,'Nov 2026'!AF13="x",'Nov 2026'!AF13="X"),1,0))</f>
        <v/>
      </c>
      <c r="J62" s="345">
        <f>IF($A62="","",IF(OR('Nov 2026'!AF14=TRUE,'Nov 2026'!AF14="x",'Nov 2026'!AF14="X"),1,0))</f>
        <v/>
      </c>
      <c r="K62" s="345">
        <f>IF($A62="","",IF(OR('Nov 2026'!AF15=TRUE,'Nov 2026'!AF15="x",'Nov 2026'!AF15="X"),1,0))</f>
        <v/>
      </c>
      <c r="L62" s="345">
        <f>IF($A62="","",IF(OR('Nov 2026'!AF16=TRUE,'Nov 2026'!AF16="x",'Nov 2026'!AF16="X"),1,0))</f>
        <v/>
      </c>
      <c r="M62" s="345">
        <f>IF($A62="","",IF(OR('Nov 2026'!AF17=TRUE,'Nov 2026'!AF17="x",'Nov 2026'!AF17="X"),1,0))</f>
        <v/>
      </c>
      <c r="N62" s="345">
        <f>IF($A62="","",IF(OR('Nov 2026'!AF18=TRUE,'Nov 2026'!AF18="x",'Nov 2026'!AF18="X"),1,0))</f>
        <v/>
      </c>
      <c r="O62" s="345">
        <f>IF($A62="","",IF(OR('Nov 2026'!AF20=TRUE,'Nov 2026'!AF20="x",'Nov 2026'!AF20="X"),1,0))</f>
        <v/>
      </c>
      <c r="P62" s="345">
        <f>IF($A62="","",IF(OR('Nov 2026'!AF21=TRUE,'Nov 2026'!AF21="x",'Nov 2026'!AF21="X"),1,0))</f>
        <v/>
      </c>
      <c r="Q62" s="345">
        <f>IF($A62="","",IF(OR('Nov 2026'!AF22=TRUE,'Nov 2026'!AF22="x",'Nov 2026'!AF22="X"),1,0))</f>
        <v/>
      </c>
      <c r="R62" s="345">
        <f>IF($A62="","",IF(OR('Nov 2026'!AF23=TRUE,'Nov 2026'!AF23="x",'Nov 2026'!AF23="X"),1,0))</f>
        <v/>
      </c>
      <c r="S62" s="345">
        <f>IF($A62="","",IF(OR('Nov 2026'!AF24=TRUE,'Nov 2026'!AF24="x",'Nov 2026'!AF24="X"),1,0))</f>
        <v/>
      </c>
      <c r="T62" s="345">
        <f>IF($A62="","",IF(OR('Nov 2026'!AF25=TRUE,'Nov 2026'!AF25="x",'Nov 2026'!AF25="X"),1,0))</f>
        <v/>
      </c>
      <c r="U62" s="345">
        <f>IF($A62="","",IF(OR('Nov 2026'!AF26=TRUE,'Nov 2026'!AF26="x",'Nov 2026'!AF26="X"),1,0))</f>
        <v/>
      </c>
      <c r="V62" s="345">
        <f>IF($A62="","",IF(OR('Nov 2026'!AF27=TRUE,'Nov 2026'!AF27="x",'Nov 2026'!AF27="X"),1,0))</f>
        <v/>
      </c>
      <c r="W62" s="345">
        <f>IF($A62="","",IF(OR('Nov 2026'!AF28=TRUE,'Nov 2026'!AF28="x",'Nov 2026'!AF28="X"),1,0))</f>
        <v/>
      </c>
      <c r="X62" s="345">
        <f>IF($A62="","",IF(OR('Nov 2026'!AF29=TRUE,'Nov 2026'!AF29="x",'Nov 2026'!AF29="X"),1,0))</f>
        <v/>
      </c>
      <c r="Y62" s="345">
        <f>IF($A62="","",IF(OR('Nov 2026'!AF30=TRUE,'Nov 2026'!AF30="x",'Nov 2026'!AF30="X"),1,0))</f>
        <v/>
      </c>
      <c r="Z62" s="345">
        <f>IF($A62="","",IF(OR('Nov 2026'!AF31=TRUE,'Nov 2026'!AF31="x",'Nov 2026'!AF31="X"),1,0))</f>
        <v/>
      </c>
      <c r="AA62" s="345">
        <f>IF($A62="","",IF(OR('Nov 2026'!AF32=TRUE,'Nov 2026'!AF32="x",'Nov 2026'!AF32="X"),1,0))</f>
        <v/>
      </c>
      <c r="AB62" s="345">
        <f>IF($A62="","",IF(OR('Nov 2026'!AF34=TRUE,'Nov 2026'!AF34="x",'Nov 2026'!AF34="X"),1,0))</f>
        <v/>
      </c>
      <c r="AC62" s="345">
        <f>IF($A62="","",IF(OR('Nov 2026'!AF35=TRUE,'Nov 2026'!AF35="x",'Nov 2026'!AF35="X"),1,0))</f>
        <v/>
      </c>
      <c r="AD62" s="345">
        <f>IF($A62="","",IF(OR('Nov 2026'!AF36=TRUE,'Nov 2026'!AF36="x",'Nov 2026'!AF36="X"),1,0))</f>
        <v/>
      </c>
      <c r="AE62" s="345">
        <f>IF($A62="","",IF(OR('Nov 2026'!AF37=TRUE,'Nov 2026'!AF37="x",'Nov 2026'!AF37="X"),1,0))</f>
        <v/>
      </c>
      <c r="AF62" s="345">
        <f>IF($A62="","",IF('Nov 2026'!AF59="","",'Nov 2026'!AF59))</f>
        <v/>
      </c>
      <c r="AG62" s="345">
        <f>IF($A62="","",IF('Nov 2026'!AF60="","",'Nov 2026'!AF60))</f>
        <v/>
      </c>
      <c r="AH62" s="345">
        <f>IF($A62="","",IF('Nov 2026'!AF61="","",'Nov 2026'!AF61))</f>
        <v/>
      </c>
      <c r="AI62" s="345">
        <f>IF($A62="","",IF('Nov 2026'!AF62="","",'Nov 2026'!AF62))</f>
        <v/>
      </c>
      <c r="AJ62" s="345">
        <f>IF($A62="","",IF('Nov 2026'!AF63="","",'Nov 2026'!AF63))</f>
        <v/>
      </c>
      <c r="AK62" s="345">
        <f>IF($A62="","",IF('Nov 2026'!AF64="","",'Nov 2026'!AF64))</f>
        <v/>
      </c>
      <c r="AL62" s="345">
        <f>IF($A62="","",IF('Nov 2026'!AF65="","",'Nov 2026'!AF65))</f>
        <v/>
      </c>
      <c r="AM62" s="345">
        <f>IF($A62="","",IF('Nov 2026'!AF66="","",'Nov 2026'!AF66))</f>
        <v/>
      </c>
      <c r="AN62" s="345">
        <f>IF($A62="","",IF('Nov 2026'!AF67="","",'Nov 2026'!AF67))</f>
        <v/>
      </c>
      <c r="AO62" s="345">
        <f>IF($A62="",0,IF(AND($A62&gt;=TrackStart,$A62&lt;=TODAY()),1,0))</f>
        <v/>
      </c>
      <c r="AP62" s="345">
        <f>IF($A62="",0,IF(SUM(F62:AE62)+COUNT(AF62:AN62)&gt;0,1,0))</f>
        <v/>
      </c>
      <c r="AQ62" s="345">
        <f>IF($A62="","",INT(($A62-TrackStart)/7)+1)</f>
        <v/>
      </c>
      <c r="AR62" s="345">
        <f>IF($A62="","",IF(AQ62&lt;=1,Steps1,IF(AQ62=2,Steps2,Steps3)))</f>
        <v/>
      </c>
      <c r="AS62" s="345">
        <f>IF($A62="",0,IF(ISNUMBER(SEARCH(TEXT(D62,"0"),WorkDays&amp;"")),1,0))</f>
        <v/>
      </c>
      <c r="AT62" s="345">
        <f>IF($A62="",0,IF(ISNUMBER(SEARCH(TEXT(D62,"0"),StrDays&amp;"")),1,0))</f>
        <v/>
      </c>
      <c r="AU62" s="345">
        <f>IF($A62="",0,IF(ISNUMBER(AK62),IF(AK62&gt;=SleepMin,1,0),N62))</f>
        <v/>
      </c>
      <c r="AV62" s="345">
        <f>IF($A62="",0,MAX(I62,O62,S62,AC62))</f>
        <v/>
      </c>
      <c r="AW62" s="345">
        <f>IF($A62="",0,IF(ISNUMBER(AH62),IF(AH62&gt;=ProtHit,1,0),0))</f>
        <v/>
      </c>
      <c r="AX62" s="345">
        <f>IF($A62="",0,IF(ISNUMBER(AI62),IF(AI62&gt;=WaterHit,1,0),0))</f>
        <v/>
      </c>
      <c r="AY62" s="345">
        <f>IF($A62="",0,IF(ISNUMBER(AG62),IF(AG62&gt;=AR62,1,0),0))</f>
        <v/>
      </c>
      <c r="AZ62" s="345">
        <f>IF($A62="",0,G62)</f>
        <v/>
      </c>
      <c r="BA62" s="345">
        <f>IF($A62="",0,J62)</f>
        <v/>
      </c>
      <c r="BB62" s="345">
        <f>IF($A62="",0,K62)</f>
        <v/>
      </c>
      <c r="BC62" s="345">
        <f>IF($A62="",0,MAX(L62,AE62))</f>
        <v/>
      </c>
      <c r="BD62" s="344">
        <f>IF($A62="","",(AU62+AV62+AW62+AX62+AY62+AZ62+BB62+BC62+IF(AS62=1,BA62,0))/(8+AS62))</f>
        <v/>
      </c>
      <c r="BE62" s="344">
        <f>IF($A62="","",(IF(ISNUMBER(AI62),IF(AI62&gt;=WaterMVD,1,0),0)+AV62+IF(ISNUMBER(AH62),IF(AH62&gt;=ProtMVD,1,0),0)+MAX(H62,AD62)+AZ62+BB62+AU62)/7)</f>
        <v/>
      </c>
      <c r="BF62" s="344">
        <f>IF(AO62=0,"",IF(E62="S","",IF(AND(AP62=0,$A62=TODAY()),"",IF(E62="M",BE62,BD62))))</f>
        <v/>
      </c>
      <c r="BG62" s="344">
        <f>IF(AO62=0,"",IFERROR(AVERAGEIFS(Data!$BF$4:$BF$375,Data!$A$4:$A$375,"&gt;"&amp;($A62-7),Data!$A$4:$A$375,"&lt;="&amp;$A62),""))</f>
        <v/>
      </c>
      <c r="BH62" s="344">
        <f>IF(AO62=0,"",IFERROR(AVERAGEIFS(Data!$BF$4:$BF$375,Data!$A$4:$A$375,"&gt;"&amp;($A62-30),Data!$A$4:$A$375,"&lt;="&amp;$A62),""))</f>
        <v/>
      </c>
      <c r="BI62" s="359">
        <f>IF($A62="","",IFERROR(AVERAGEIFS(Data!$AF$4:$AF$375,Data!$A$4:$A$375,"&gt;"&amp;($A62-7),Data!$A$4:$A$375,"&lt;="&amp;$A62,Data!$AF$4:$AF$375,"&gt;0"),""))</f>
        <v/>
      </c>
      <c r="BJ62" s="345">
        <f>IF($A62="","",F62+G62+H62+I62+J62+K62+L62+M62+N62-IF(AS62=1,0,J62))</f>
        <v/>
      </c>
      <c r="BK62" s="345">
        <f>IF($A62="","",8+AS62)</f>
        <v/>
      </c>
      <c r="BL62" s="345">
        <f>IF(ISNUMBER(BF62),BF62,NA())</f>
        <v/>
      </c>
      <c r="BM62" s="345">
        <f>IF(ISNUMBER(AF62),AF62,NA())</f>
        <v/>
      </c>
      <c r="BN62" s="345">
        <f>IF(ISNUMBER(BI62),BI62,NA())</f>
        <v/>
      </c>
      <c r="BO62" s="345">
        <f>IF(ISNUMBER(AL62),AL62,NA())</f>
        <v/>
      </c>
      <c r="BP62" s="345">
        <f>IF(ISNUMBER(AM62),AM62,NA())</f>
        <v/>
      </c>
      <c r="BQ62" s="345">
        <f>IF(ISNUMBER(AN62),AN62,NA())</f>
        <v/>
      </c>
    </row>
    <row r="63">
      <c r="A63" s="358">
        <f>IF('Nov 2026'!AG7="","",'Nov 2026'!AG7)</f>
        <v/>
      </c>
      <c r="B63" s="345" t="n">
        <v>2</v>
      </c>
      <c r="C63" s="345">
        <f>IF($A63="","",29)</f>
        <v/>
      </c>
      <c r="D63" s="345">
        <f>IF($A63="","",WEEKDAY($A63,2))</f>
        <v/>
      </c>
      <c r="E63" s="345">
        <f>IF($A63="","",UPPER(TRIM('Nov 2026'!AG8)))</f>
        <v/>
      </c>
      <c r="F63" s="345">
        <f>IF($A63="","",IF(OR('Nov 2026'!AG10=TRUE,'Nov 2026'!AG10="x",'Nov 2026'!AG10="X"),1,0))</f>
        <v/>
      </c>
      <c r="G63" s="345">
        <f>IF($A63="","",IF(OR('Nov 2026'!AG11=TRUE,'Nov 2026'!AG11="x",'Nov 2026'!AG11="X"),1,0))</f>
        <v/>
      </c>
      <c r="H63" s="345">
        <f>IF($A63="","",IF(OR('Nov 2026'!AG12=TRUE,'Nov 2026'!AG12="x",'Nov 2026'!AG12="X"),1,0))</f>
        <v/>
      </c>
      <c r="I63" s="345">
        <f>IF($A63="","",IF(OR('Nov 2026'!AG13=TRUE,'Nov 2026'!AG13="x",'Nov 2026'!AG13="X"),1,0))</f>
        <v/>
      </c>
      <c r="J63" s="345">
        <f>IF($A63="","",IF(OR('Nov 2026'!AG14=TRUE,'Nov 2026'!AG14="x",'Nov 2026'!AG14="X"),1,0))</f>
        <v/>
      </c>
      <c r="K63" s="345">
        <f>IF($A63="","",IF(OR('Nov 2026'!AG15=TRUE,'Nov 2026'!AG15="x",'Nov 2026'!AG15="X"),1,0))</f>
        <v/>
      </c>
      <c r="L63" s="345">
        <f>IF($A63="","",IF(OR('Nov 2026'!AG16=TRUE,'Nov 2026'!AG16="x",'Nov 2026'!AG16="X"),1,0))</f>
        <v/>
      </c>
      <c r="M63" s="345">
        <f>IF($A63="","",IF(OR('Nov 2026'!AG17=TRUE,'Nov 2026'!AG17="x",'Nov 2026'!AG17="X"),1,0))</f>
        <v/>
      </c>
      <c r="N63" s="345">
        <f>IF($A63="","",IF(OR('Nov 2026'!AG18=TRUE,'Nov 2026'!AG18="x",'Nov 2026'!AG18="X"),1,0))</f>
        <v/>
      </c>
      <c r="O63" s="345">
        <f>IF($A63="","",IF(OR('Nov 2026'!AG20=TRUE,'Nov 2026'!AG20="x",'Nov 2026'!AG20="X"),1,0))</f>
        <v/>
      </c>
      <c r="P63" s="345">
        <f>IF($A63="","",IF(OR('Nov 2026'!AG21=TRUE,'Nov 2026'!AG21="x",'Nov 2026'!AG21="X"),1,0))</f>
        <v/>
      </c>
      <c r="Q63" s="345">
        <f>IF($A63="","",IF(OR('Nov 2026'!AG22=TRUE,'Nov 2026'!AG22="x",'Nov 2026'!AG22="X"),1,0))</f>
        <v/>
      </c>
      <c r="R63" s="345">
        <f>IF($A63="","",IF(OR('Nov 2026'!AG23=TRUE,'Nov 2026'!AG23="x",'Nov 2026'!AG23="X"),1,0))</f>
        <v/>
      </c>
      <c r="S63" s="345">
        <f>IF($A63="","",IF(OR('Nov 2026'!AG24=TRUE,'Nov 2026'!AG24="x",'Nov 2026'!AG24="X"),1,0))</f>
        <v/>
      </c>
      <c r="T63" s="345">
        <f>IF($A63="","",IF(OR('Nov 2026'!AG25=TRUE,'Nov 2026'!AG25="x",'Nov 2026'!AG25="X"),1,0))</f>
        <v/>
      </c>
      <c r="U63" s="345">
        <f>IF($A63="","",IF(OR('Nov 2026'!AG26=TRUE,'Nov 2026'!AG26="x",'Nov 2026'!AG26="X"),1,0))</f>
        <v/>
      </c>
      <c r="V63" s="345">
        <f>IF($A63="","",IF(OR('Nov 2026'!AG27=TRUE,'Nov 2026'!AG27="x",'Nov 2026'!AG27="X"),1,0))</f>
        <v/>
      </c>
      <c r="W63" s="345">
        <f>IF($A63="","",IF(OR('Nov 2026'!AG28=TRUE,'Nov 2026'!AG28="x",'Nov 2026'!AG28="X"),1,0))</f>
        <v/>
      </c>
      <c r="X63" s="345">
        <f>IF($A63="","",IF(OR('Nov 2026'!AG29=TRUE,'Nov 2026'!AG29="x",'Nov 2026'!AG29="X"),1,0))</f>
        <v/>
      </c>
      <c r="Y63" s="345">
        <f>IF($A63="","",IF(OR('Nov 2026'!AG30=TRUE,'Nov 2026'!AG30="x",'Nov 2026'!AG30="X"),1,0))</f>
        <v/>
      </c>
      <c r="Z63" s="345">
        <f>IF($A63="","",IF(OR('Nov 2026'!AG31=TRUE,'Nov 2026'!AG31="x",'Nov 2026'!AG31="X"),1,0))</f>
        <v/>
      </c>
      <c r="AA63" s="345">
        <f>IF($A63="","",IF(OR('Nov 2026'!AG32=TRUE,'Nov 2026'!AG32="x",'Nov 2026'!AG32="X"),1,0))</f>
        <v/>
      </c>
      <c r="AB63" s="345">
        <f>IF($A63="","",IF(OR('Nov 2026'!AG34=TRUE,'Nov 2026'!AG34="x",'Nov 2026'!AG34="X"),1,0))</f>
        <v/>
      </c>
      <c r="AC63" s="345">
        <f>IF($A63="","",IF(OR('Nov 2026'!AG35=TRUE,'Nov 2026'!AG35="x",'Nov 2026'!AG35="X"),1,0))</f>
        <v/>
      </c>
      <c r="AD63" s="345">
        <f>IF($A63="","",IF(OR('Nov 2026'!AG36=TRUE,'Nov 2026'!AG36="x",'Nov 2026'!AG36="X"),1,0))</f>
        <v/>
      </c>
      <c r="AE63" s="345">
        <f>IF($A63="","",IF(OR('Nov 2026'!AG37=TRUE,'Nov 2026'!AG37="x",'Nov 2026'!AG37="X"),1,0))</f>
        <v/>
      </c>
      <c r="AF63" s="345">
        <f>IF($A63="","",IF('Nov 2026'!AG59="","",'Nov 2026'!AG59))</f>
        <v/>
      </c>
      <c r="AG63" s="345">
        <f>IF($A63="","",IF('Nov 2026'!AG60="","",'Nov 2026'!AG60))</f>
        <v/>
      </c>
      <c r="AH63" s="345">
        <f>IF($A63="","",IF('Nov 2026'!AG61="","",'Nov 2026'!AG61))</f>
        <v/>
      </c>
      <c r="AI63" s="345">
        <f>IF($A63="","",IF('Nov 2026'!AG62="","",'Nov 2026'!AG62))</f>
        <v/>
      </c>
      <c r="AJ63" s="345">
        <f>IF($A63="","",IF('Nov 2026'!AG63="","",'Nov 2026'!AG63))</f>
        <v/>
      </c>
      <c r="AK63" s="345">
        <f>IF($A63="","",IF('Nov 2026'!AG64="","",'Nov 2026'!AG64))</f>
        <v/>
      </c>
      <c r="AL63" s="345">
        <f>IF($A63="","",IF('Nov 2026'!AG65="","",'Nov 2026'!AG65))</f>
        <v/>
      </c>
      <c r="AM63" s="345">
        <f>IF($A63="","",IF('Nov 2026'!AG66="","",'Nov 2026'!AG66))</f>
        <v/>
      </c>
      <c r="AN63" s="345">
        <f>IF($A63="","",IF('Nov 2026'!AG67="","",'Nov 2026'!AG67))</f>
        <v/>
      </c>
      <c r="AO63" s="345">
        <f>IF($A63="",0,IF(AND($A63&gt;=TrackStart,$A63&lt;=TODAY()),1,0))</f>
        <v/>
      </c>
      <c r="AP63" s="345">
        <f>IF($A63="",0,IF(SUM(F63:AE63)+COUNT(AF63:AN63)&gt;0,1,0))</f>
        <v/>
      </c>
      <c r="AQ63" s="345">
        <f>IF($A63="","",INT(($A63-TrackStart)/7)+1)</f>
        <v/>
      </c>
      <c r="AR63" s="345">
        <f>IF($A63="","",IF(AQ63&lt;=1,Steps1,IF(AQ63=2,Steps2,Steps3)))</f>
        <v/>
      </c>
      <c r="AS63" s="345">
        <f>IF($A63="",0,IF(ISNUMBER(SEARCH(TEXT(D63,"0"),WorkDays&amp;"")),1,0))</f>
        <v/>
      </c>
      <c r="AT63" s="345">
        <f>IF($A63="",0,IF(ISNUMBER(SEARCH(TEXT(D63,"0"),StrDays&amp;"")),1,0))</f>
        <v/>
      </c>
      <c r="AU63" s="345">
        <f>IF($A63="",0,IF(ISNUMBER(AK63),IF(AK63&gt;=SleepMin,1,0),N63))</f>
        <v/>
      </c>
      <c r="AV63" s="345">
        <f>IF($A63="",0,MAX(I63,O63,S63,AC63))</f>
        <v/>
      </c>
      <c r="AW63" s="345">
        <f>IF($A63="",0,IF(ISNUMBER(AH63),IF(AH63&gt;=ProtHit,1,0),0))</f>
        <v/>
      </c>
      <c r="AX63" s="345">
        <f>IF($A63="",0,IF(ISNUMBER(AI63),IF(AI63&gt;=WaterHit,1,0),0))</f>
        <v/>
      </c>
      <c r="AY63" s="345">
        <f>IF($A63="",0,IF(ISNUMBER(AG63),IF(AG63&gt;=AR63,1,0),0))</f>
        <v/>
      </c>
      <c r="AZ63" s="345">
        <f>IF($A63="",0,G63)</f>
        <v/>
      </c>
      <c r="BA63" s="345">
        <f>IF($A63="",0,J63)</f>
        <v/>
      </c>
      <c r="BB63" s="345">
        <f>IF($A63="",0,K63)</f>
        <v/>
      </c>
      <c r="BC63" s="345">
        <f>IF($A63="",0,MAX(L63,AE63))</f>
        <v/>
      </c>
      <c r="BD63" s="344">
        <f>IF($A63="","",(AU63+AV63+AW63+AX63+AY63+AZ63+BB63+BC63+IF(AS63=1,BA63,0))/(8+AS63))</f>
        <v/>
      </c>
      <c r="BE63" s="344">
        <f>IF($A63="","",(IF(ISNUMBER(AI63),IF(AI63&gt;=WaterMVD,1,0),0)+AV63+IF(ISNUMBER(AH63),IF(AH63&gt;=ProtMVD,1,0),0)+MAX(H63,AD63)+AZ63+BB63+AU63)/7)</f>
        <v/>
      </c>
      <c r="BF63" s="344">
        <f>IF(AO63=0,"",IF(E63="S","",IF(AND(AP63=0,$A63=TODAY()),"",IF(E63="M",BE63,BD63))))</f>
        <v/>
      </c>
      <c r="BG63" s="344">
        <f>IF(AO63=0,"",IFERROR(AVERAGEIFS(Data!$BF$4:$BF$375,Data!$A$4:$A$375,"&gt;"&amp;($A63-7),Data!$A$4:$A$375,"&lt;="&amp;$A63),""))</f>
        <v/>
      </c>
      <c r="BH63" s="344">
        <f>IF(AO63=0,"",IFERROR(AVERAGEIFS(Data!$BF$4:$BF$375,Data!$A$4:$A$375,"&gt;"&amp;($A63-30),Data!$A$4:$A$375,"&lt;="&amp;$A63),""))</f>
        <v/>
      </c>
      <c r="BI63" s="359">
        <f>IF($A63="","",IFERROR(AVERAGEIFS(Data!$AF$4:$AF$375,Data!$A$4:$A$375,"&gt;"&amp;($A63-7),Data!$A$4:$A$375,"&lt;="&amp;$A63,Data!$AF$4:$AF$375,"&gt;0"),""))</f>
        <v/>
      </c>
      <c r="BJ63" s="345">
        <f>IF($A63="","",F63+G63+H63+I63+J63+K63+L63+M63+N63-IF(AS63=1,0,J63))</f>
        <v/>
      </c>
      <c r="BK63" s="345">
        <f>IF($A63="","",8+AS63)</f>
        <v/>
      </c>
      <c r="BL63" s="345">
        <f>IF(ISNUMBER(BF63),BF63,NA())</f>
        <v/>
      </c>
      <c r="BM63" s="345">
        <f>IF(ISNUMBER(AF63),AF63,NA())</f>
        <v/>
      </c>
      <c r="BN63" s="345">
        <f>IF(ISNUMBER(BI63),BI63,NA())</f>
        <v/>
      </c>
      <c r="BO63" s="345">
        <f>IF(ISNUMBER(AL63),AL63,NA())</f>
        <v/>
      </c>
      <c r="BP63" s="345">
        <f>IF(ISNUMBER(AM63),AM63,NA())</f>
        <v/>
      </c>
      <c r="BQ63" s="345">
        <f>IF(ISNUMBER(AN63),AN63,NA())</f>
        <v/>
      </c>
    </row>
    <row r="64">
      <c r="A64" s="358">
        <f>IF('Nov 2026'!AH7="","",'Nov 2026'!AH7)</f>
        <v/>
      </c>
      <c r="B64" s="345" t="n">
        <v>2</v>
      </c>
      <c r="C64" s="345">
        <f>IF($A64="","",30)</f>
        <v/>
      </c>
      <c r="D64" s="345">
        <f>IF($A64="","",WEEKDAY($A64,2))</f>
        <v/>
      </c>
      <c r="E64" s="345">
        <f>IF($A64="","",UPPER(TRIM('Nov 2026'!AH8)))</f>
        <v/>
      </c>
      <c r="F64" s="345">
        <f>IF($A64="","",IF(OR('Nov 2026'!AH10=TRUE,'Nov 2026'!AH10="x",'Nov 2026'!AH10="X"),1,0))</f>
        <v/>
      </c>
      <c r="G64" s="345">
        <f>IF($A64="","",IF(OR('Nov 2026'!AH11=TRUE,'Nov 2026'!AH11="x",'Nov 2026'!AH11="X"),1,0))</f>
        <v/>
      </c>
      <c r="H64" s="345">
        <f>IF($A64="","",IF(OR('Nov 2026'!AH12=TRUE,'Nov 2026'!AH12="x",'Nov 2026'!AH12="X"),1,0))</f>
        <v/>
      </c>
      <c r="I64" s="345">
        <f>IF($A64="","",IF(OR('Nov 2026'!AH13=TRUE,'Nov 2026'!AH13="x",'Nov 2026'!AH13="X"),1,0))</f>
        <v/>
      </c>
      <c r="J64" s="345">
        <f>IF($A64="","",IF(OR('Nov 2026'!AH14=TRUE,'Nov 2026'!AH14="x",'Nov 2026'!AH14="X"),1,0))</f>
        <v/>
      </c>
      <c r="K64" s="345">
        <f>IF($A64="","",IF(OR('Nov 2026'!AH15=TRUE,'Nov 2026'!AH15="x",'Nov 2026'!AH15="X"),1,0))</f>
        <v/>
      </c>
      <c r="L64" s="345">
        <f>IF($A64="","",IF(OR('Nov 2026'!AH16=TRUE,'Nov 2026'!AH16="x",'Nov 2026'!AH16="X"),1,0))</f>
        <v/>
      </c>
      <c r="M64" s="345">
        <f>IF($A64="","",IF(OR('Nov 2026'!AH17=TRUE,'Nov 2026'!AH17="x",'Nov 2026'!AH17="X"),1,0))</f>
        <v/>
      </c>
      <c r="N64" s="345">
        <f>IF($A64="","",IF(OR('Nov 2026'!AH18=TRUE,'Nov 2026'!AH18="x",'Nov 2026'!AH18="X"),1,0))</f>
        <v/>
      </c>
      <c r="O64" s="345">
        <f>IF($A64="","",IF(OR('Nov 2026'!AH20=TRUE,'Nov 2026'!AH20="x",'Nov 2026'!AH20="X"),1,0))</f>
        <v/>
      </c>
      <c r="P64" s="345">
        <f>IF($A64="","",IF(OR('Nov 2026'!AH21=TRUE,'Nov 2026'!AH21="x",'Nov 2026'!AH21="X"),1,0))</f>
        <v/>
      </c>
      <c r="Q64" s="345">
        <f>IF($A64="","",IF(OR('Nov 2026'!AH22=TRUE,'Nov 2026'!AH22="x",'Nov 2026'!AH22="X"),1,0))</f>
        <v/>
      </c>
      <c r="R64" s="345">
        <f>IF($A64="","",IF(OR('Nov 2026'!AH23=TRUE,'Nov 2026'!AH23="x",'Nov 2026'!AH23="X"),1,0))</f>
        <v/>
      </c>
      <c r="S64" s="345">
        <f>IF($A64="","",IF(OR('Nov 2026'!AH24=TRUE,'Nov 2026'!AH24="x",'Nov 2026'!AH24="X"),1,0))</f>
        <v/>
      </c>
      <c r="T64" s="345">
        <f>IF($A64="","",IF(OR('Nov 2026'!AH25=TRUE,'Nov 2026'!AH25="x",'Nov 2026'!AH25="X"),1,0))</f>
        <v/>
      </c>
      <c r="U64" s="345">
        <f>IF($A64="","",IF(OR('Nov 2026'!AH26=TRUE,'Nov 2026'!AH26="x",'Nov 2026'!AH26="X"),1,0))</f>
        <v/>
      </c>
      <c r="V64" s="345">
        <f>IF($A64="","",IF(OR('Nov 2026'!AH27=TRUE,'Nov 2026'!AH27="x",'Nov 2026'!AH27="X"),1,0))</f>
        <v/>
      </c>
      <c r="W64" s="345">
        <f>IF($A64="","",IF(OR('Nov 2026'!AH28=TRUE,'Nov 2026'!AH28="x",'Nov 2026'!AH28="X"),1,0))</f>
        <v/>
      </c>
      <c r="X64" s="345">
        <f>IF($A64="","",IF(OR('Nov 2026'!AH29=TRUE,'Nov 2026'!AH29="x",'Nov 2026'!AH29="X"),1,0))</f>
        <v/>
      </c>
      <c r="Y64" s="345">
        <f>IF($A64="","",IF(OR('Nov 2026'!AH30=TRUE,'Nov 2026'!AH30="x",'Nov 2026'!AH30="X"),1,0))</f>
        <v/>
      </c>
      <c r="Z64" s="345">
        <f>IF($A64="","",IF(OR('Nov 2026'!AH31=TRUE,'Nov 2026'!AH31="x",'Nov 2026'!AH31="X"),1,0))</f>
        <v/>
      </c>
      <c r="AA64" s="345">
        <f>IF($A64="","",IF(OR('Nov 2026'!AH32=TRUE,'Nov 2026'!AH32="x",'Nov 2026'!AH32="X"),1,0))</f>
        <v/>
      </c>
      <c r="AB64" s="345">
        <f>IF($A64="","",IF(OR('Nov 2026'!AH34=TRUE,'Nov 2026'!AH34="x",'Nov 2026'!AH34="X"),1,0))</f>
        <v/>
      </c>
      <c r="AC64" s="345">
        <f>IF($A64="","",IF(OR('Nov 2026'!AH35=TRUE,'Nov 2026'!AH35="x",'Nov 2026'!AH35="X"),1,0))</f>
        <v/>
      </c>
      <c r="AD64" s="345">
        <f>IF($A64="","",IF(OR('Nov 2026'!AH36=TRUE,'Nov 2026'!AH36="x",'Nov 2026'!AH36="X"),1,0))</f>
        <v/>
      </c>
      <c r="AE64" s="345">
        <f>IF($A64="","",IF(OR('Nov 2026'!AH37=TRUE,'Nov 2026'!AH37="x",'Nov 2026'!AH37="X"),1,0))</f>
        <v/>
      </c>
      <c r="AF64" s="345">
        <f>IF($A64="","",IF('Nov 2026'!AH59="","",'Nov 2026'!AH59))</f>
        <v/>
      </c>
      <c r="AG64" s="345">
        <f>IF($A64="","",IF('Nov 2026'!AH60="","",'Nov 2026'!AH60))</f>
        <v/>
      </c>
      <c r="AH64" s="345">
        <f>IF($A64="","",IF('Nov 2026'!AH61="","",'Nov 2026'!AH61))</f>
        <v/>
      </c>
      <c r="AI64" s="345">
        <f>IF($A64="","",IF('Nov 2026'!AH62="","",'Nov 2026'!AH62))</f>
        <v/>
      </c>
      <c r="AJ64" s="345">
        <f>IF($A64="","",IF('Nov 2026'!AH63="","",'Nov 2026'!AH63))</f>
        <v/>
      </c>
      <c r="AK64" s="345">
        <f>IF($A64="","",IF('Nov 2026'!AH64="","",'Nov 2026'!AH64))</f>
        <v/>
      </c>
      <c r="AL64" s="345">
        <f>IF($A64="","",IF('Nov 2026'!AH65="","",'Nov 2026'!AH65))</f>
        <v/>
      </c>
      <c r="AM64" s="345">
        <f>IF($A64="","",IF('Nov 2026'!AH66="","",'Nov 2026'!AH66))</f>
        <v/>
      </c>
      <c r="AN64" s="345">
        <f>IF($A64="","",IF('Nov 2026'!AH67="","",'Nov 2026'!AH67))</f>
        <v/>
      </c>
      <c r="AO64" s="345">
        <f>IF($A64="",0,IF(AND($A64&gt;=TrackStart,$A64&lt;=TODAY()),1,0))</f>
        <v/>
      </c>
      <c r="AP64" s="345">
        <f>IF($A64="",0,IF(SUM(F64:AE64)+COUNT(AF64:AN64)&gt;0,1,0))</f>
        <v/>
      </c>
      <c r="AQ64" s="345">
        <f>IF($A64="","",INT(($A64-TrackStart)/7)+1)</f>
        <v/>
      </c>
      <c r="AR64" s="345">
        <f>IF($A64="","",IF(AQ64&lt;=1,Steps1,IF(AQ64=2,Steps2,Steps3)))</f>
        <v/>
      </c>
      <c r="AS64" s="345">
        <f>IF($A64="",0,IF(ISNUMBER(SEARCH(TEXT(D64,"0"),WorkDays&amp;"")),1,0))</f>
        <v/>
      </c>
      <c r="AT64" s="345">
        <f>IF($A64="",0,IF(ISNUMBER(SEARCH(TEXT(D64,"0"),StrDays&amp;"")),1,0))</f>
        <v/>
      </c>
      <c r="AU64" s="345">
        <f>IF($A64="",0,IF(ISNUMBER(AK64),IF(AK64&gt;=SleepMin,1,0),N64))</f>
        <v/>
      </c>
      <c r="AV64" s="345">
        <f>IF($A64="",0,MAX(I64,O64,S64,AC64))</f>
        <v/>
      </c>
      <c r="AW64" s="345">
        <f>IF($A64="",0,IF(ISNUMBER(AH64),IF(AH64&gt;=ProtHit,1,0),0))</f>
        <v/>
      </c>
      <c r="AX64" s="345">
        <f>IF($A64="",0,IF(ISNUMBER(AI64),IF(AI64&gt;=WaterHit,1,0),0))</f>
        <v/>
      </c>
      <c r="AY64" s="345">
        <f>IF($A64="",0,IF(ISNUMBER(AG64),IF(AG64&gt;=AR64,1,0),0))</f>
        <v/>
      </c>
      <c r="AZ64" s="345">
        <f>IF($A64="",0,G64)</f>
        <v/>
      </c>
      <c r="BA64" s="345">
        <f>IF($A64="",0,J64)</f>
        <v/>
      </c>
      <c r="BB64" s="345">
        <f>IF($A64="",0,K64)</f>
        <v/>
      </c>
      <c r="BC64" s="345">
        <f>IF($A64="",0,MAX(L64,AE64))</f>
        <v/>
      </c>
      <c r="BD64" s="344">
        <f>IF($A64="","",(AU64+AV64+AW64+AX64+AY64+AZ64+BB64+BC64+IF(AS64=1,BA64,0))/(8+AS64))</f>
        <v/>
      </c>
      <c r="BE64" s="344">
        <f>IF($A64="","",(IF(ISNUMBER(AI64),IF(AI64&gt;=WaterMVD,1,0),0)+AV64+IF(ISNUMBER(AH64),IF(AH64&gt;=ProtMVD,1,0),0)+MAX(H64,AD64)+AZ64+BB64+AU64)/7)</f>
        <v/>
      </c>
      <c r="BF64" s="344">
        <f>IF(AO64=0,"",IF(E64="S","",IF(AND(AP64=0,$A64=TODAY()),"",IF(E64="M",BE64,BD64))))</f>
        <v/>
      </c>
      <c r="BG64" s="344">
        <f>IF(AO64=0,"",IFERROR(AVERAGEIFS(Data!$BF$4:$BF$375,Data!$A$4:$A$375,"&gt;"&amp;($A64-7),Data!$A$4:$A$375,"&lt;="&amp;$A64),""))</f>
        <v/>
      </c>
      <c r="BH64" s="344">
        <f>IF(AO64=0,"",IFERROR(AVERAGEIFS(Data!$BF$4:$BF$375,Data!$A$4:$A$375,"&gt;"&amp;($A64-30),Data!$A$4:$A$375,"&lt;="&amp;$A64),""))</f>
        <v/>
      </c>
      <c r="BI64" s="359">
        <f>IF($A64="","",IFERROR(AVERAGEIFS(Data!$AF$4:$AF$375,Data!$A$4:$A$375,"&gt;"&amp;($A64-7),Data!$A$4:$A$375,"&lt;="&amp;$A64,Data!$AF$4:$AF$375,"&gt;0"),""))</f>
        <v/>
      </c>
      <c r="BJ64" s="345">
        <f>IF($A64="","",F64+G64+H64+I64+J64+K64+L64+M64+N64-IF(AS64=1,0,J64))</f>
        <v/>
      </c>
      <c r="BK64" s="345">
        <f>IF($A64="","",8+AS64)</f>
        <v/>
      </c>
      <c r="BL64" s="345">
        <f>IF(ISNUMBER(BF64),BF64,NA())</f>
        <v/>
      </c>
      <c r="BM64" s="345">
        <f>IF(ISNUMBER(AF64),AF64,NA())</f>
        <v/>
      </c>
      <c r="BN64" s="345">
        <f>IF(ISNUMBER(BI64),BI64,NA())</f>
        <v/>
      </c>
      <c r="BO64" s="345">
        <f>IF(ISNUMBER(AL64),AL64,NA())</f>
        <v/>
      </c>
      <c r="BP64" s="345">
        <f>IF(ISNUMBER(AM64),AM64,NA())</f>
        <v/>
      </c>
      <c r="BQ64" s="345">
        <f>IF(ISNUMBER(AN64),AN64,NA())</f>
        <v/>
      </c>
    </row>
    <row r="65">
      <c r="A65" s="358">
        <f>IF('Nov 2026'!AI7="","",'Nov 2026'!AI7)</f>
        <v/>
      </c>
      <c r="B65" s="345" t="n">
        <v>2</v>
      </c>
      <c r="C65" s="345">
        <f>IF($A65="","",31)</f>
        <v/>
      </c>
      <c r="D65" s="345">
        <f>IF($A65="","",WEEKDAY($A65,2))</f>
        <v/>
      </c>
      <c r="E65" s="345">
        <f>IF($A65="","",UPPER(TRIM('Nov 2026'!AI8)))</f>
        <v/>
      </c>
      <c r="F65" s="345">
        <f>IF($A65="","",IF(OR('Nov 2026'!AI10=TRUE,'Nov 2026'!AI10="x",'Nov 2026'!AI10="X"),1,0))</f>
        <v/>
      </c>
      <c r="G65" s="345">
        <f>IF($A65="","",IF(OR('Nov 2026'!AI11=TRUE,'Nov 2026'!AI11="x",'Nov 2026'!AI11="X"),1,0))</f>
        <v/>
      </c>
      <c r="H65" s="345">
        <f>IF($A65="","",IF(OR('Nov 2026'!AI12=TRUE,'Nov 2026'!AI12="x",'Nov 2026'!AI12="X"),1,0))</f>
        <v/>
      </c>
      <c r="I65" s="345">
        <f>IF($A65="","",IF(OR('Nov 2026'!AI13=TRUE,'Nov 2026'!AI13="x",'Nov 2026'!AI13="X"),1,0))</f>
        <v/>
      </c>
      <c r="J65" s="345">
        <f>IF($A65="","",IF(OR('Nov 2026'!AI14=TRUE,'Nov 2026'!AI14="x",'Nov 2026'!AI14="X"),1,0))</f>
        <v/>
      </c>
      <c r="K65" s="345">
        <f>IF($A65="","",IF(OR('Nov 2026'!AI15=TRUE,'Nov 2026'!AI15="x",'Nov 2026'!AI15="X"),1,0))</f>
        <v/>
      </c>
      <c r="L65" s="345">
        <f>IF($A65="","",IF(OR('Nov 2026'!AI16=TRUE,'Nov 2026'!AI16="x",'Nov 2026'!AI16="X"),1,0))</f>
        <v/>
      </c>
      <c r="M65" s="345">
        <f>IF($A65="","",IF(OR('Nov 2026'!AI17=TRUE,'Nov 2026'!AI17="x",'Nov 2026'!AI17="X"),1,0))</f>
        <v/>
      </c>
      <c r="N65" s="345">
        <f>IF($A65="","",IF(OR('Nov 2026'!AI18=TRUE,'Nov 2026'!AI18="x",'Nov 2026'!AI18="X"),1,0))</f>
        <v/>
      </c>
      <c r="O65" s="345">
        <f>IF($A65="","",IF(OR('Nov 2026'!AI20=TRUE,'Nov 2026'!AI20="x",'Nov 2026'!AI20="X"),1,0))</f>
        <v/>
      </c>
      <c r="P65" s="345">
        <f>IF($A65="","",IF(OR('Nov 2026'!AI21=TRUE,'Nov 2026'!AI21="x",'Nov 2026'!AI21="X"),1,0))</f>
        <v/>
      </c>
      <c r="Q65" s="345">
        <f>IF($A65="","",IF(OR('Nov 2026'!AI22=TRUE,'Nov 2026'!AI22="x",'Nov 2026'!AI22="X"),1,0))</f>
        <v/>
      </c>
      <c r="R65" s="345">
        <f>IF($A65="","",IF(OR('Nov 2026'!AI23=TRUE,'Nov 2026'!AI23="x",'Nov 2026'!AI23="X"),1,0))</f>
        <v/>
      </c>
      <c r="S65" s="345">
        <f>IF($A65="","",IF(OR('Nov 2026'!AI24=TRUE,'Nov 2026'!AI24="x",'Nov 2026'!AI24="X"),1,0))</f>
        <v/>
      </c>
      <c r="T65" s="345">
        <f>IF($A65="","",IF(OR('Nov 2026'!AI25=TRUE,'Nov 2026'!AI25="x",'Nov 2026'!AI25="X"),1,0))</f>
        <v/>
      </c>
      <c r="U65" s="345">
        <f>IF($A65="","",IF(OR('Nov 2026'!AI26=TRUE,'Nov 2026'!AI26="x",'Nov 2026'!AI26="X"),1,0))</f>
        <v/>
      </c>
      <c r="V65" s="345">
        <f>IF($A65="","",IF(OR('Nov 2026'!AI27=TRUE,'Nov 2026'!AI27="x",'Nov 2026'!AI27="X"),1,0))</f>
        <v/>
      </c>
      <c r="W65" s="345">
        <f>IF($A65="","",IF(OR('Nov 2026'!AI28=TRUE,'Nov 2026'!AI28="x",'Nov 2026'!AI28="X"),1,0))</f>
        <v/>
      </c>
      <c r="X65" s="345">
        <f>IF($A65="","",IF(OR('Nov 2026'!AI29=TRUE,'Nov 2026'!AI29="x",'Nov 2026'!AI29="X"),1,0))</f>
        <v/>
      </c>
      <c r="Y65" s="345">
        <f>IF($A65="","",IF(OR('Nov 2026'!AI30=TRUE,'Nov 2026'!AI30="x",'Nov 2026'!AI30="X"),1,0))</f>
        <v/>
      </c>
      <c r="Z65" s="345">
        <f>IF($A65="","",IF(OR('Nov 2026'!AI31=TRUE,'Nov 2026'!AI31="x",'Nov 2026'!AI31="X"),1,0))</f>
        <v/>
      </c>
      <c r="AA65" s="345">
        <f>IF($A65="","",IF(OR('Nov 2026'!AI32=TRUE,'Nov 2026'!AI32="x",'Nov 2026'!AI32="X"),1,0))</f>
        <v/>
      </c>
      <c r="AB65" s="345">
        <f>IF($A65="","",IF(OR('Nov 2026'!AI34=TRUE,'Nov 2026'!AI34="x",'Nov 2026'!AI34="X"),1,0))</f>
        <v/>
      </c>
      <c r="AC65" s="345">
        <f>IF($A65="","",IF(OR('Nov 2026'!AI35=TRUE,'Nov 2026'!AI35="x",'Nov 2026'!AI35="X"),1,0))</f>
        <v/>
      </c>
      <c r="AD65" s="345">
        <f>IF($A65="","",IF(OR('Nov 2026'!AI36=TRUE,'Nov 2026'!AI36="x",'Nov 2026'!AI36="X"),1,0))</f>
        <v/>
      </c>
      <c r="AE65" s="345">
        <f>IF($A65="","",IF(OR('Nov 2026'!AI37=TRUE,'Nov 2026'!AI37="x",'Nov 2026'!AI37="X"),1,0))</f>
        <v/>
      </c>
      <c r="AF65" s="345">
        <f>IF($A65="","",IF('Nov 2026'!AI59="","",'Nov 2026'!AI59))</f>
        <v/>
      </c>
      <c r="AG65" s="345">
        <f>IF($A65="","",IF('Nov 2026'!AI60="","",'Nov 2026'!AI60))</f>
        <v/>
      </c>
      <c r="AH65" s="345">
        <f>IF($A65="","",IF('Nov 2026'!AI61="","",'Nov 2026'!AI61))</f>
        <v/>
      </c>
      <c r="AI65" s="345">
        <f>IF($A65="","",IF('Nov 2026'!AI62="","",'Nov 2026'!AI62))</f>
        <v/>
      </c>
      <c r="AJ65" s="345">
        <f>IF($A65="","",IF('Nov 2026'!AI63="","",'Nov 2026'!AI63))</f>
        <v/>
      </c>
      <c r="AK65" s="345">
        <f>IF($A65="","",IF('Nov 2026'!AI64="","",'Nov 2026'!AI64))</f>
        <v/>
      </c>
      <c r="AL65" s="345">
        <f>IF($A65="","",IF('Nov 2026'!AI65="","",'Nov 2026'!AI65))</f>
        <v/>
      </c>
      <c r="AM65" s="345">
        <f>IF($A65="","",IF('Nov 2026'!AI66="","",'Nov 2026'!AI66))</f>
        <v/>
      </c>
      <c r="AN65" s="345">
        <f>IF($A65="","",IF('Nov 2026'!AI67="","",'Nov 2026'!AI67))</f>
        <v/>
      </c>
      <c r="AO65" s="345">
        <f>IF($A65="",0,IF(AND($A65&gt;=TrackStart,$A65&lt;=TODAY()),1,0))</f>
        <v/>
      </c>
      <c r="AP65" s="345">
        <f>IF($A65="",0,IF(SUM(F65:AE65)+COUNT(AF65:AN65)&gt;0,1,0))</f>
        <v/>
      </c>
      <c r="AQ65" s="345">
        <f>IF($A65="","",INT(($A65-TrackStart)/7)+1)</f>
        <v/>
      </c>
      <c r="AR65" s="345">
        <f>IF($A65="","",IF(AQ65&lt;=1,Steps1,IF(AQ65=2,Steps2,Steps3)))</f>
        <v/>
      </c>
      <c r="AS65" s="345">
        <f>IF($A65="",0,IF(ISNUMBER(SEARCH(TEXT(D65,"0"),WorkDays&amp;"")),1,0))</f>
        <v/>
      </c>
      <c r="AT65" s="345">
        <f>IF($A65="",0,IF(ISNUMBER(SEARCH(TEXT(D65,"0"),StrDays&amp;"")),1,0))</f>
        <v/>
      </c>
      <c r="AU65" s="345">
        <f>IF($A65="",0,IF(ISNUMBER(AK65),IF(AK65&gt;=SleepMin,1,0),N65))</f>
        <v/>
      </c>
      <c r="AV65" s="345">
        <f>IF($A65="",0,MAX(I65,O65,S65,AC65))</f>
        <v/>
      </c>
      <c r="AW65" s="345">
        <f>IF($A65="",0,IF(ISNUMBER(AH65),IF(AH65&gt;=ProtHit,1,0),0))</f>
        <v/>
      </c>
      <c r="AX65" s="345">
        <f>IF($A65="",0,IF(ISNUMBER(AI65),IF(AI65&gt;=WaterHit,1,0),0))</f>
        <v/>
      </c>
      <c r="AY65" s="345">
        <f>IF($A65="",0,IF(ISNUMBER(AG65),IF(AG65&gt;=AR65,1,0),0))</f>
        <v/>
      </c>
      <c r="AZ65" s="345">
        <f>IF($A65="",0,G65)</f>
        <v/>
      </c>
      <c r="BA65" s="345">
        <f>IF($A65="",0,J65)</f>
        <v/>
      </c>
      <c r="BB65" s="345">
        <f>IF($A65="",0,K65)</f>
        <v/>
      </c>
      <c r="BC65" s="345">
        <f>IF($A65="",0,MAX(L65,AE65))</f>
        <v/>
      </c>
      <c r="BD65" s="344">
        <f>IF($A65="","",(AU65+AV65+AW65+AX65+AY65+AZ65+BB65+BC65+IF(AS65=1,BA65,0))/(8+AS65))</f>
        <v/>
      </c>
      <c r="BE65" s="344">
        <f>IF($A65="","",(IF(ISNUMBER(AI65),IF(AI65&gt;=WaterMVD,1,0),0)+AV65+IF(ISNUMBER(AH65),IF(AH65&gt;=ProtMVD,1,0),0)+MAX(H65,AD65)+AZ65+BB65+AU65)/7)</f>
        <v/>
      </c>
      <c r="BF65" s="344">
        <f>IF(AO65=0,"",IF(E65="S","",IF(AND(AP65=0,$A65=TODAY()),"",IF(E65="M",BE65,BD65))))</f>
        <v/>
      </c>
      <c r="BG65" s="344">
        <f>IF(AO65=0,"",IFERROR(AVERAGEIFS(Data!$BF$4:$BF$375,Data!$A$4:$A$375,"&gt;"&amp;($A65-7),Data!$A$4:$A$375,"&lt;="&amp;$A65),""))</f>
        <v/>
      </c>
      <c r="BH65" s="344">
        <f>IF(AO65=0,"",IFERROR(AVERAGEIFS(Data!$BF$4:$BF$375,Data!$A$4:$A$375,"&gt;"&amp;($A65-30),Data!$A$4:$A$375,"&lt;="&amp;$A65),""))</f>
        <v/>
      </c>
      <c r="BI65" s="359">
        <f>IF($A65="","",IFERROR(AVERAGEIFS(Data!$AF$4:$AF$375,Data!$A$4:$A$375,"&gt;"&amp;($A65-7),Data!$A$4:$A$375,"&lt;="&amp;$A65,Data!$AF$4:$AF$375,"&gt;0"),""))</f>
        <v/>
      </c>
      <c r="BJ65" s="345">
        <f>IF($A65="","",F65+G65+H65+I65+J65+K65+L65+M65+N65-IF(AS65=1,0,J65))</f>
        <v/>
      </c>
      <c r="BK65" s="345">
        <f>IF($A65="","",8+AS65)</f>
        <v/>
      </c>
      <c r="BL65" s="345">
        <f>IF(ISNUMBER(BF65),BF65,NA())</f>
        <v/>
      </c>
      <c r="BM65" s="345">
        <f>IF(ISNUMBER(AF65),AF65,NA())</f>
        <v/>
      </c>
      <c r="BN65" s="345">
        <f>IF(ISNUMBER(BI65),BI65,NA())</f>
        <v/>
      </c>
      <c r="BO65" s="345">
        <f>IF(ISNUMBER(AL65),AL65,NA())</f>
        <v/>
      </c>
      <c r="BP65" s="345">
        <f>IF(ISNUMBER(AM65),AM65,NA())</f>
        <v/>
      </c>
      <c r="BQ65" s="345">
        <f>IF(ISNUMBER(AN65),AN65,NA())</f>
        <v/>
      </c>
    </row>
    <row r="66">
      <c r="A66" s="358">
        <f>IF('Dec 2026'!E7="","",'Dec 2026'!E7)</f>
        <v/>
      </c>
      <c r="B66" s="345" t="n">
        <v>3</v>
      </c>
      <c r="C66" s="345">
        <f>IF($A66="","",1)</f>
        <v/>
      </c>
      <c r="D66" s="345">
        <f>IF($A66="","",WEEKDAY($A66,2))</f>
        <v/>
      </c>
      <c r="E66" s="345">
        <f>IF($A66="","",UPPER(TRIM('Dec 2026'!E8)))</f>
        <v/>
      </c>
      <c r="F66" s="345">
        <f>IF($A66="","",IF(OR('Dec 2026'!E10=TRUE,'Dec 2026'!E10="x",'Dec 2026'!E10="X"),1,0))</f>
        <v/>
      </c>
      <c r="G66" s="345">
        <f>IF($A66="","",IF(OR('Dec 2026'!E11=TRUE,'Dec 2026'!E11="x",'Dec 2026'!E11="X"),1,0))</f>
        <v/>
      </c>
      <c r="H66" s="345">
        <f>IF($A66="","",IF(OR('Dec 2026'!E12=TRUE,'Dec 2026'!E12="x",'Dec 2026'!E12="X"),1,0))</f>
        <v/>
      </c>
      <c r="I66" s="345">
        <f>IF($A66="","",IF(OR('Dec 2026'!E13=TRUE,'Dec 2026'!E13="x",'Dec 2026'!E13="X"),1,0))</f>
        <v/>
      </c>
      <c r="J66" s="345">
        <f>IF($A66="","",IF(OR('Dec 2026'!E14=TRUE,'Dec 2026'!E14="x",'Dec 2026'!E14="X"),1,0))</f>
        <v/>
      </c>
      <c r="K66" s="345">
        <f>IF($A66="","",IF(OR('Dec 2026'!E15=TRUE,'Dec 2026'!E15="x",'Dec 2026'!E15="X"),1,0))</f>
        <v/>
      </c>
      <c r="L66" s="345">
        <f>IF($A66="","",IF(OR('Dec 2026'!E16=TRUE,'Dec 2026'!E16="x",'Dec 2026'!E16="X"),1,0))</f>
        <v/>
      </c>
      <c r="M66" s="345">
        <f>IF($A66="","",IF(OR('Dec 2026'!E17=TRUE,'Dec 2026'!E17="x",'Dec 2026'!E17="X"),1,0))</f>
        <v/>
      </c>
      <c r="N66" s="345">
        <f>IF($A66="","",IF(OR('Dec 2026'!E18=TRUE,'Dec 2026'!E18="x",'Dec 2026'!E18="X"),1,0))</f>
        <v/>
      </c>
      <c r="O66" s="345">
        <f>IF($A66="","",IF(OR('Dec 2026'!E20=TRUE,'Dec 2026'!E20="x",'Dec 2026'!E20="X"),1,0))</f>
        <v/>
      </c>
      <c r="P66" s="345">
        <f>IF($A66="","",IF(OR('Dec 2026'!E21=TRUE,'Dec 2026'!E21="x",'Dec 2026'!E21="X"),1,0))</f>
        <v/>
      </c>
      <c r="Q66" s="345">
        <f>IF($A66="","",IF(OR('Dec 2026'!E22=TRUE,'Dec 2026'!E22="x",'Dec 2026'!E22="X"),1,0))</f>
        <v/>
      </c>
      <c r="R66" s="345">
        <f>IF($A66="","",IF(OR('Dec 2026'!E23=TRUE,'Dec 2026'!E23="x",'Dec 2026'!E23="X"),1,0))</f>
        <v/>
      </c>
      <c r="S66" s="345">
        <f>IF($A66="","",IF(OR('Dec 2026'!E24=TRUE,'Dec 2026'!E24="x",'Dec 2026'!E24="X"),1,0))</f>
        <v/>
      </c>
      <c r="T66" s="345">
        <f>IF($A66="","",IF(OR('Dec 2026'!E25=TRUE,'Dec 2026'!E25="x",'Dec 2026'!E25="X"),1,0))</f>
        <v/>
      </c>
      <c r="U66" s="345">
        <f>IF($A66="","",IF(OR('Dec 2026'!E26=TRUE,'Dec 2026'!E26="x",'Dec 2026'!E26="X"),1,0))</f>
        <v/>
      </c>
      <c r="V66" s="345">
        <f>IF($A66="","",IF(OR('Dec 2026'!E27=TRUE,'Dec 2026'!E27="x",'Dec 2026'!E27="X"),1,0))</f>
        <v/>
      </c>
      <c r="W66" s="345">
        <f>IF($A66="","",IF(OR('Dec 2026'!E28=TRUE,'Dec 2026'!E28="x",'Dec 2026'!E28="X"),1,0))</f>
        <v/>
      </c>
      <c r="X66" s="345">
        <f>IF($A66="","",IF(OR('Dec 2026'!E29=TRUE,'Dec 2026'!E29="x",'Dec 2026'!E29="X"),1,0))</f>
        <v/>
      </c>
      <c r="Y66" s="345">
        <f>IF($A66="","",IF(OR('Dec 2026'!E30=TRUE,'Dec 2026'!E30="x",'Dec 2026'!E30="X"),1,0))</f>
        <v/>
      </c>
      <c r="Z66" s="345">
        <f>IF($A66="","",IF(OR('Dec 2026'!E31=TRUE,'Dec 2026'!E31="x",'Dec 2026'!E31="X"),1,0))</f>
        <v/>
      </c>
      <c r="AA66" s="345">
        <f>IF($A66="","",IF(OR('Dec 2026'!E32=TRUE,'Dec 2026'!E32="x",'Dec 2026'!E32="X"),1,0))</f>
        <v/>
      </c>
      <c r="AB66" s="345">
        <f>IF($A66="","",IF(OR('Dec 2026'!E34=TRUE,'Dec 2026'!E34="x",'Dec 2026'!E34="X"),1,0))</f>
        <v/>
      </c>
      <c r="AC66" s="345">
        <f>IF($A66="","",IF(OR('Dec 2026'!E35=TRUE,'Dec 2026'!E35="x",'Dec 2026'!E35="X"),1,0))</f>
        <v/>
      </c>
      <c r="AD66" s="345">
        <f>IF($A66="","",IF(OR('Dec 2026'!E36=TRUE,'Dec 2026'!E36="x",'Dec 2026'!E36="X"),1,0))</f>
        <v/>
      </c>
      <c r="AE66" s="345">
        <f>IF($A66="","",IF(OR('Dec 2026'!E37=TRUE,'Dec 2026'!E37="x",'Dec 2026'!E37="X"),1,0))</f>
        <v/>
      </c>
      <c r="AF66" s="345">
        <f>IF($A66="","",IF('Dec 2026'!E59="","",'Dec 2026'!E59))</f>
        <v/>
      </c>
      <c r="AG66" s="345">
        <f>IF($A66="","",IF('Dec 2026'!E60="","",'Dec 2026'!E60))</f>
        <v/>
      </c>
      <c r="AH66" s="345">
        <f>IF($A66="","",IF('Dec 2026'!E61="","",'Dec 2026'!E61))</f>
        <v/>
      </c>
      <c r="AI66" s="345">
        <f>IF($A66="","",IF('Dec 2026'!E62="","",'Dec 2026'!E62))</f>
        <v/>
      </c>
      <c r="AJ66" s="345">
        <f>IF($A66="","",IF('Dec 2026'!E63="","",'Dec 2026'!E63))</f>
        <v/>
      </c>
      <c r="AK66" s="345">
        <f>IF($A66="","",IF('Dec 2026'!E64="","",'Dec 2026'!E64))</f>
        <v/>
      </c>
      <c r="AL66" s="345">
        <f>IF($A66="","",IF('Dec 2026'!E65="","",'Dec 2026'!E65))</f>
        <v/>
      </c>
      <c r="AM66" s="345">
        <f>IF($A66="","",IF('Dec 2026'!E66="","",'Dec 2026'!E66))</f>
        <v/>
      </c>
      <c r="AN66" s="345">
        <f>IF($A66="","",IF('Dec 2026'!E67="","",'Dec 2026'!E67))</f>
        <v/>
      </c>
      <c r="AO66" s="345">
        <f>IF($A66="",0,IF(AND($A66&gt;=TrackStart,$A66&lt;=TODAY()),1,0))</f>
        <v/>
      </c>
      <c r="AP66" s="345">
        <f>IF($A66="",0,IF(SUM(F66:AE66)+COUNT(AF66:AN66)&gt;0,1,0))</f>
        <v/>
      </c>
      <c r="AQ66" s="345">
        <f>IF($A66="","",INT(($A66-TrackStart)/7)+1)</f>
        <v/>
      </c>
      <c r="AR66" s="345">
        <f>IF($A66="","",IF(AQ66&lt;=1,Steps1,IF(AQ66=2,Steps2,Steps3)))</f>
        <v/>
      </c>
      <c r="AS66" s="345">
        <f>IF($A66="",0,IF(ISNUMBER(SEARCH(TEXT(D66,"0"),WorkDays&amp;"")),1,0))</f>
        <v/>
      </c>
      <c r="AT66" s="345">
        <f>IF($A66="",0,IF(ISNUMBER(SEARCH(TEXT(D66,"0"),StrDays&amp;"")),1,0))</f>
        <v/>
      </c>
      <c r="AU66" s="345">
        <f>IF($A66="",0,IF(ISNUMBER(AK66),IF(AK66&gt;=SleepMin,1,0),N66))</f>
        <v/>
      </c>
      <c r="AV66" s="345">
        <f>IF($A66="",0,MAX(I66,O66,S66,AC66))</f>
        <v/>
      </c>
      <c r="AW66" s="345">
        <f>IF($A66="",0,IF(ISNUMBER(AH66),IF(AH66&gt;=ProtHit,1,0),0))</f>
        <v/>
      </c>
      <c r="AX66" s="345">
        <f>IF($A66="",0,IF(ISNUMBER(AI66),IF(AI66&gt;=WaterHit,1,0),0))</f>
        <v/>
      </c>
      <c r="AY66" s="345">
        <f>IF($A66="",0,IF(ISNUMBER(AG66),IF(AG66&gt;=AR66,1,0),0))</f>
        <v/>
      </c>
      <c r="AZ66" s="345">
        <f>IF($A66="",0,G66)</f>
        <v/>
      </c>
      <c r="BA66" s="345">
        <f>IF($A66="",0,J66)</f>
        <v/>
      </c>
      <c r="BB66" s="345">
        <f>IF($A66="",0,K66)</f>
        <v/>
      </c>
      <c r="BC66" s="345">
        <f>IF($A66="",0,MAX(L66,AE66))</f>
        <v/>
      </c>
      <c r="BD66" s="344">
        <f>IF($A66="","",(AU66+AV66+AW66+AX66+AY66+AZ66+BB66+BC66+IF(AS66=1,BA66,0))/(8+AS66))</f>
        <v/>
      </c>
      <c r="BE66" s="344">
        <f>IF($A66="","",(IF(ISNUMBER(AI66),IF(AI66&gt;=WaterMVD,1,0),0)+AV66+IF(ISNUMBER(AH66),IF(AH66&gt;=ProtMVD,1,0),0)+MAX(H66,AD66)+AZ66+BB66+AU66)/7)</f>
        <v/>
      </c>
      <c r="BF66" s="344">
        <f>IF(AO66=0,"",IF(E66="S","",IF(AND(AP66=0,$A66=TODAY()),"",IF(E66="M",BE66,BD66))))</f>
        <v/>
      </c>
      <c r="BG66" s="344">
        <f>IF(AO66=0,"",IFERROR(AVERAGEIFS(Data!$BF$4:$BF$375,Data!$A$4:$A$375,"&gt;"&amp;($A66-7),Data!$A$4:$A$375,"&lt;="&amp;$A66),""))</f>
        <v/>
      </c>
      <c r="BH66" s="344">
        <f>IF(AO66=0,"",IFERROR(AVERAGEIFS(Data!$BF$4:$BF$375,Data!$A$4:$A$375,"&gt;"&amp;($A66-30),Data!$A$4:$A$375,"&lt;="&amp;$A66),""))</f>
        <v/>
      </c>
      <c r="BI66" s="359">
        <f>IF($A66="","",IFERROR(AVERAGEIFS(Data!$AF$4:$AF$375,Data!$A$4:$A$375,"&gt;"&amp;($A66-7),Data!$A$4:$A$375,"&lt;="&amp;$A66,Data!$AF$4:$AF$375,"&gt;0"),""))</f>
        <v/>
      </c>
      <c r="BJ66" s="345">
        <f>IF($A66="","",F66+G66+H66+I66+J66+K66+L66+M66+N66-IF(AS66=1,0,J66))</f>
        <v/>
      </c>
      <c r="BK66" s="345">
        <f>IF($A66="","",8+AS66)</f>
        <v/>
      </c>
      <c r="BL66" s="345">
        <f>IF(ISNUMBER(BF66),BF66,NA())</f>
        <v/>
      </c>
      <c r="BM66" s="345">
        <f>IF(ISNUMBER(AF66),AF66,NA())</f>
        <v/>
      </c>
      <c r="BN66" s="345">
        <f>IF(ISNUMBER(BI66),BI66,NA())</f>
        <v/>
      </c>
      <c r="BO66" s="345">
        <f>IF(ISNUMBER(AL66),AL66,NA())</f>
        <v/>
      </c>
      <c r="BP66" s="345">
        <f>IF(ISNUMBER(AM66),AM66,NA())</f>
        <v/>
      </c>
      <c r="BQ66" s="345">
        <f>IF(ISNUMBER(AN66),AN66,NA())</f>
        <v/>
      </c>
    </row>
    <row r="67">
      <c r="A67" s="358">
        <f>IF('Dec 2026'!F7="","",'Dec 2026'!F7)</f>
        <v/>
      </c>
      <c r="B67" s="345" t="n">
        <v>3</v>
      </c>
      <c r="C67" s="345">
        <f>IF($A67="","",2)</f>
        <v/>
      </c>
      <c r="D67" s="345">
        <f>IF($A67="","",WEEKDAY($A67,2))</f>
        <v/>
      </c>
      <c r="E67" s="345">
        <f>IF($A67="","",UPPER(TRIM('Dec 2026'!F8)))</f>
        <v/>
      </c>
      <c r="F67" s="345">
        <f>IF($A67="","",IF(OR('Dec 2026'!F10=TRUE,'Dec 2026'!F10="x",'Dec 2026'!F10="X"),1,0))</f>
        <v/>
      </c>
      <c r="G67" s="345">
        <f>IF($A67="","",IF(OR('Dec 2026'!F11=TRUE,'Dec 2026'!F11="x",'Dec 2026'!F11="X"),1,0))</f>
        <v/>
      </c>
      <c r="H67" s="345">
        <f>IF($A67="","",IF(OR('Dec 2026'!F12=TRUE,'Dec 2026'!F12="x",'Dec 2026'!F12="X"),1,0))</f>
        <v/>
      </c>
      <c r="I67" s="345">
        <f>IF($A67="","",IF(OR('Dec 2026'!F13=TRUE,'Dec 2026'!F13="x",'Dec 2026'!F13="X"),1,0))</f>
        <v/>
      </c>
      <c r="J67" s="345">
        <f>IF($A67="","",IF(OR('Dec 2026'!F14=TRUE,'Dec 2026'!F14="x",'Dec 2026'!F14="X"),1,0))</f>
        <v/>
      </c>
      <c r="K67" s="345">
        <f>IF($A67="","",IF(OR('Dec 2026'!F15=TRUE,'Dec 2026'!F15="x",'Dec 2026'!F15="X"),1,0))</f>
        <v/>
      </c>
      <c r="L67" s="345">
        <f>IF($A67="","",IF(OR('Dec 2026'!F16=TRUE,'Dec 2026'!F16="x",'Dec 2026'!F16="X"),1,0))</f>
        <v/>
      </c>
      <c r="M67" s="345">
        <f>IF($A67="","",IF(OR('Dec 2026'!F17=TRUE,'Dec 2026'!F17="x",'Dec 2026'!F17="X"),1,0))</f>
        <v/>
      </c>
      <c r="N67" s="345">
        <f>IF($A67="","",IF(OR('Dec 2026'!F18=TRUE,'Dec 2026'!F18="x",'Dec 2026'!F18="X"),1,0))</f>
        <v/>
      </c>
      <c r="O67" s="345">
        <f>IF($A67="","",IF(OR('Dec 2026'!F20=TRUE,'Dec 2026'!F20="x",'Dec 2026'!F20="X"),1,0))</f>
        <v/>
      </c>
      <c r="P67" s="345">
        <f>IF($A67="","",IF(OR('Dec 2026'!F21=TRUE,'Dec 2026'!F21="x",'Dec 2026'!F21="X"),1,0))</f>
        <v/>
      </c>
      <c r="Q67" s="345">
        <f>IF($A67="","",IF(OR('Dec 2026'!F22=TRUE,'Dec 2026'!F22="x",'Dec 2026'!F22="X"),1,0))</f>
        <v/>
      </c>
      <c r="R67" s="345">
        <f>IF($A67="","",IF(OR('Dec 2026'!F23=TRUE,'Dec 2026'!F23="x",'Dec 2026'!F23="X"),1,0))</f>
        <v/>
      </c>
      <c r="S67" s="345">
        <f>IF($A67="","",IF(OR('Dec 2026'!F24=TRUE,'Dec 2026'!F24="x",'Dec 2026'!F24="X"),1,0))</f>
        <v/>
      </c>
      <c r="T67" s="345">
        <f>IF($A67="","",IF(OR('Dec 2026'!F25=TRUE,'Dec 2026'!F25="x",'Dec 2026'!F25="X"),1,0))</f>
        <v/>
      </c>
      <c r="U67" s="345">
        <f>IF($A67="","",IF(OR('Dec 2026'!F26=TRUE,'Dec 2026'!F26="x",'Dec 2026'!F26="X"),1,0))</f>
        <v/>
      </c>
      <c r="V67" s="345">
        <f>IF($A67="","",IF(OR('Dec 2026'!F27=TRUE,'Dec 2026'!F27="x",'Dec 2026'!F27="X"),1,0))</f>
        <v/>
      </c>
      <c r="W67" s="345">
        <f>IF($A67="","",IF(OR('Dec 2026'!F28=TRUE,'Dec 2026'!F28="x",'Dec 2026'!F28="X"),1,0))</f>
        <v/>
      </c>
      <c r="X67" s="345">
        <f>IF($A67="","",IF(OR('Dec 2026'!F29=TRUE,'Dec 2026'!F29="x",'Dec 2026'!F29="X"),1,0))</f>
        <v/>
      </c>
      <c r="Y67" s="345">
        <f>IF($A67="","",IF(OR('Dec 2026'!F30=TRUE,'Dec 2026'!F30="x",'Dec 2026'!F30="X"),1,0))</f>
        <v/>
      </c>
      <c r="Z67" s="345">
        <f>IF($A67="","",IF(OR('Dec 2026'!F31=TRUE,'Dec 2026'!F31="x",'Dec 2026'!F31="X"),1,0))</f>
        <v/>
      </c>
      <c r="AA67" s="345">
        <f>IF($A67="","",IF(OR('Dec 2026'!F32=TRUE,'Dec 2026'!F32="x",'Dec 2026'!F32="X"),1,0))</f>
        <v/>
      </c>
      <c r="AB67" s="345">
        <f>IF($A67="","",IF(OR('Dec 2026'!F34=TRUE,'Dec 2026'!F34="x",'Dec 2026'!F34="X"),1,0))</f>
        <v/>
      </c>
      <c r="AC67" s="345">
        <f>IF($A67="","",IF(OR('Dec 2026'!F35=TRUE,'Dec 2026'!F35="x",'Dec 2026'!F35="X"),1,0))</f>
        <v/>
      </c>
      <c r="AD67" s="345">
        <f>IF($A67="","",IF(OR('Dec 2026'!F36=TRUE,'Dec 2026'!F36="x",'Dec 2026'!F36="X"),1,0))</f>
        <v/>
      </c>
      <c r="AE67" s="345">
        <f>IF($A67="","",IF(OR('Dec 2026'!F37=TRUE,'Dec 2026'!F37="x",'Dec 2026'!F37="X"),1,0))</f>
        <v/>
      </c>
      <c r="AF67" s="345">
        <f>IF($A67="","",IF('Dec 2026'!F59="","",'Dec 2026'!F59))</f>
        <v/>
      </c>
      <c r="AG67" s="345">
        <f>IF($A67="","",IF('Dec 2026'!F60="","",'Dec 2026'!F60))</f>
        <v/>
      </c>
      <c r="AH67" s="345">
        <f>IF($A67="","",IF('Dec 2026'!F61="","",'Dec 2026'!F61))</f>
        <v/>
      </c>
      <c r="AI67" s="345">
        <f>IF($A67="","",IF('Dec 2026'!F62="","",'Dec 2026'!F62))</f>
        <v/>
      </c>
      <c r="AJ67" s="345">
        <f>IF($A67="","",IF('Dec 2026'!F63="","",'Dec 2026'!F63))</f>
        <v/>
      </c>
      <c r="AK67" s="345">
        <f>IF($A67="","",IF('Dec 2026'!F64="","",'Dec 2026'!F64))</f>
        <v/>
      </c>
      <c r="AL67" s="345">
        <f>IF($A67="","",IF('Dec 2026'!F65="","",'Dec 2026'!F65))</f>
        <v/>
      </c>
      <c r="AM67" s="345">
        <f>IF($A67="","",IF('Dec 2026'!F66="","",'Dec 2026'!F66))</f>
        <v/>
      </c>
      <c r="AN67" s="345">
        <f>IF($A67="","",IF('Dec 2026'!F67="","",'Dec 2026'!F67))</f>
        <v/>
      </c>
      <c r="AO67" s="345">
        <f>IF($A67="",0,IF(AND($A67&gt;=TrackStart,$A67&lt;=TODAY()),1,0))</f>
        <v/>
      </c>
      <c r="AP67" s="345">
        <f>IF($A67="",0,IF(SUM(F67:AE67)+COUNT(AF67:AN67)&gt;0,1,0))</f>
        <v/>
      </c>
      <c r="AQ67" s="345">
        <f>IF($A67="","",INT(($A67-TrackStart)/7)+1)</f>
        <v/>
      </c>
      <c r="AR67" s="345">
        <f>IF($A67="","",IF(AQ67&lt;=1,Steps1,IF(AQ67=2,Steps2,Steps3)))</f>
        <v/>
      </c>
      <c r="AS67" s="345">
        <f>IF($A67="",0,IF(ISNUMBER(SEARCH(TEXT(D67,"0"),WorkDays&amp;"")),1,0))</f>
        <v/>
      </c>
      <c r="AT67" s="345">
        <f>IF($A67="",0,IF(ISNUMBER(SEARCH(TEXT(D67,"0"),StrDays&amp;"")),1,0))</f>
        <v/>
      </c>
      <c r="AU67" s="345">
        <f>IF($A67="",0,IF(ISNUMBER(AK67),IF(AK67&gt;=SleepMin,1,0),N67))</f>
        <v/>
      </c>
      <c r="AV67" s="345">
        <f>IF($A67="",0,MAX(I67,O67,S67,AC67))</f>
        <v/>
      </c>
      <c r="AW67" s="345">
        <f>IF($A67="",0,IF(ISNUMBER(AH67),IF(AH67&gt;=ProtHit,1,0),0))</f>
        <v/>
      </c>
      <c r="AX67" s="345">
        <f>IF($A67="",0,IF(ISNUMBER(AI67),IF(AI67&gt;=WaterHit,1,0),0))</f>
        <v/>
      </c>
      <c r="AY67" s="345">
        <f>IF($A67="",0,IF(ISNUMBER(AG67),IF(AG67&gt;=AR67,1,0),0))</f>
        <v/>
      </c>
      <c r="AZ67" s="345">
        <f>IF($A67="",0,G67)</f>
        <v/>
      </c>
      <c r="BA67" s="345">
        <f>IF($A67="",0,J67)</f>
        <v/>
      </c>
      <c r="BB67" s="345">
        <f>IF($A67="",0,K67)</f>
        <v/>
      </c>
      <c r="BC67" s="345">
        <f>IF($A67="",0,MAX(L67,AE67))</f>
        <v/>
      </c>
      <c r="BD67" s="344">
        <f>IF($A67="","",(AU67+AV67+AW67+AX67+AY67+AZ67+BB67+BC67+IF(AS67=1,BA67,0))/(8+AS67))</f>
        <v/>
      </c>
      <c r="BE67" s="344">
        <f>IF($A67="","",(IF(ISNUMBER(AI67),IF(AI67&gt;=WaterMVD,1,0),0)+AV67+IF(ISNUMBER(AH67),IF(AH67&gt;=ProtMVD,1,0),0)+MAX(H67,AD67)+AZ67+BB67+AU67)/7)</f>
        <v/>
      </c>
      <c r="BF67" s="344">
        <f>IF(AO67=0,"",IF(E67="S","",IF(AND(AP67=0,$A67=TODAY()),"",IF(E67="M",BE67,BD67))))</f>
        <v/>
      </c>
      <c r="BG67" s="344">
        <f>IF(AO67=0,"",IFERROR(AVERAGEIFS(Data!$BF$4:$BF$375,Data!$A$4:$A$375,"&gt;"&amp;($A67-7),Data!$A$4:$A$375,"&lt;="&amp;$A67),""))</f>
        <v/>
      </c>
      <c r="BH67" s="344">
        <f>IF(AO67=0,"",IFERROR(AVERAGEIFS(Data!$BF$4:$BF$375,Data!$A$4:$A$375,"&gt;"&amp;($A67-30),Data!$A$4:$A$375,"&lt;="&amp;$A67),""))</f>
        <v/>
      </c>
      <c r="BI67" s="359">
        <f>IF($A67="","",IFERROR(AVERAGEIFS(Data!$AF$4:$AF$375,Data!$A$4:$A$375,"&gt;"&amp;($A67-7),Data!$A$4:$A$375,"&lt;="&amp;$A67,Data!$AF$4:$AF$375,"&gt;0"),""))</f>
        <v/>
      </c>
      <c r="BJ67" s="345">
        <f>IF($A67="","",F67+G67+H67+I67+J67+K67+L67+M67+N67-IF(AS67=1,0,J67))</f>
        <v/>
      </c>
      <c r="BK67" s="345">
        <f>IF($A67="","",8+AS67)</f>
        <v/>
      </c>
      <c r="BL67" s="345">
        <f>IF(ISNUMBER(BF67),BF67,NA())</f>
        <v/>
      </c>
      <c r="BM67" s="345">
        <f>IF(ISNUMBER(AF67),AF67,NA())</f>
        <v/>
      </c>
      <c r="BN67" s="345">
        <f>IF(ISNUMBER(BI67),BI67,NA())</f>
        <v/>
      </c>
      <c r="BO67" s="345">
        <f>IF(ISNUMBER(AL67),AL67,NA())</f>
        <v/>
      </c>
      <c r="BP67" s="345">
        <f>IF(ISNUMBER(AM67),AM67,NA())</f>
        <v/>
      </c>
      <c r="BQ67" s="345">
        <f>IF(ISNUMBER(AN67),AN67,NA())</f>
        <v/>
      </c>
    </row>
    <row r="68">
      <c r="A68" s="358">
        <f>IF('Dec 2026'!G7="","",'Dec 2026'!G7)</f>
        <v/>
      </c>
      <c r="B68" s="345" t="n">
        <v>3</v>
      </c>
      <c r="C68" s="345">
        <f>IF($A68="","",3)</f>
        <v/>
      </c>
      <c r="D68" s="345">
        <f>IF($A68="","",WEEKDAY($A68,2))</f>
        <v/>
      </c>
      <c r="E68" s="345">
        <f>IF($A68="","",UPPER(TRIM('Dec 2026'!G8)))</f>
        <v/>
      </c>
      <c r="F68" s="345">
        <f>IF($A68="","",IF(OR('Dec 2026'!G10=TRUE,'Dec 2026'!G10="x",'Dec 2026'!G10="X"),1,0))</f>
        <v/>
      </c>
      <c r="G68" s="345">
        <f>IF($A68="","",IF(OR('Dec 2026'!G11=TRUE,'Dec 2026'!G11="x",'Dec 2026'!G11="X"),1,0))</f>
        <v/>
      </c>
      <c r="H68" s="345">
        <f>IF($A68="","",IF(OR('Dec 2026'!G12=TRUE,'Dec 2026'!G12="x",'Dec 2026'!G12="X"),1,0))</f>
        <v/>
      </c>
      <c r="I68" s="345">
        <f>IF($A68="","",IF(OR('Dec 2026'!G13=TRUE,'Dec 2026'!G13="x",'Dec 2026'!G13="X"),1,0))</f>
        <v/>
      </c>
      <c r="J68" s="345">
        <f>IF($A68="","",IF(OR('Dec 2026'!G14=TRUE,'Dec 2026'!G14="x",'Dec 2026'!G14="X"),1,0))</f>
        <v/>
      </c>
      <c r="K68" s="345">
        <f>IF($A68="","",IF(OR('Dec 2026'!G15=TRUE,'Dec 2026'!G15="x",'Dec 2026'!G15="X"),1,0))</f>
        <v/>
      </c>
      <c r="L68" s="345">
        <f>IF($A68="","",IF(OR('Dec 2026'!G16=TRUE,'Dec 2026'!G16="x",'Dec 2026'!G16="X"),1,0))</f>
        <v/>
      </c>
      <c r="M68" s="345">
        <f>IF($A68="","",IF(OR('Dec 2026'!G17=TRUE,'Dec 2026'!G17="x",'Dec 2026'!G17="X"),1,0))</f>
        <v/>
      </c>
      <c r="N68" s="345">
        <f>IF($A68="","",IF(OR('Dec 2026'!G18=TRUE,'Dec 2026'!G18="x",'Dec 2026'!G18="X"),1,0))</f>
        <v/>
      </c>
      <c r="O68" s="345">
        <f>IF($A68="","",IF(OR('Dec 2026'!G20=TRUE,'Dec 2026'!G20="x",'Dec 2026'!G20="X"),1,0))</f>
        <v/>
      </c>
      <c r="P68" s="345">
        <f>IF($A68="","",IF(OR('Dec 2026'!G21=TRUE,'Dec 2026'!G21="x",'Dec 2026'!G21="X"),1,0))</f>
        <v/>
      </c>
      <c r="Q68" s="345">
        <f>IF($A68="","",IF(OR('Dec 2026'!G22=TRUE,'Dec 2026'!G22="x",'Dec 2026'!G22="X"),1,0))</f>
        <v/>
      </c>
      <c r="R68" s="345">
        <f>IF($A68="","",IF(OR('Dec 2026'!G23=TRUE,'Dec 2026'!G23="x",'Dec 2026'!G23="X"),1,0))</f>
        <v/>
      </c>
      <c r="S68" s="345">
        <f>IF($A68="","",IF(OR('Dec 2026'!G24=TRUE,'Dec 2026'!G24="x",'Dec 2026'!G24="X"),1,0))</f>
        <v/>
      </c>
      <c r="T68" s="345">
        <f>IF($A68="","",IF(OR('Dec 2026'!G25=TRUE,'Dec 2026'!G25="x",'Dec 2026'!G25="X"),1,0))</f>
        <v/>
      </c>
      <c r="U68" s="345">
        <f>IF($A68="","",IF(OR('Dec 2026'!G26=TRUE,'Dec 2026'!G26="x",'Dec 2026'!G26="X"),1,0))</f>
        <v/>
      </c>
      <c r="V68" s="345">
        <f>IF($A68="","",IF(OR('Dec 2026'!G27=TRUE,'Dec 2026'!G27="x",'Dec 2026'!G27="X"),1,0))</f>
        <v/>
      </c>
      <c r="W68" s="345">
        <f>IF($A68="","",IF(OR('Dec 2026'!G28=TRUE,'Dec 2026'!G28="x",'Dec 2026'!G28="X"),1,0))</f>
        <v/>
      </c>
      <c r="X68" s="345">
        <f>IF($A68="","",IF(OR('Dec 2026'!G29=TRUE,'Dec 2026'!G29="x",'Dec 2026'!G29="X"),1,0))</f>
        <v/>
      </c>
      <c r="Y68" s="345">
        <f>IF($A68="","",IF(OR('Dec 2026'!G30=TRUE,'Dec 2026'!G30="x",'Dec 2026'!G30="X"),1,0))</f>
        <v/>
      </c>
      <c r="Z68" s="345">
        <f>IF($A68="","",IF(OR('Dec 2026'!G31=TRUE,'Dec 2026'!G31="x",'Dec 2026'!G31="X"),1,0))</f>
        <v/>
      </c>
      <c r="AA68" s="345">
        <f>IF($A68="","",IF(OR('Dec 2026'!G32=TRUE,'Dec 2026'!G32="x",'Dec 2026'!G32="X"),1,0))</f>
        <v/>
      </c>
      <c r="AB68" s="345">
        <f>IF($A68="","",IF(OR('Dec 2026'!G34=TRUE,'Dec 2026'!G34="x",'Dec 2026'!G34="X"),1,0))</f>
        <v/>
      </c>
      <c r="AC68" s="345">
        <f>IF($A68="","",IF(OR('Dec 2026'!G35=TRUE,'Dec 2026'!G35="x",'Dec 2026'!G35="X"),1,0))</f>
        <v/>
      </c>
      <c r="AD68" s="345">
        <f>IF($A68="","",IF(OR('Dec 2026'!G36=TRUE,'Dec 2026'!G36="x",'Dec 2026'!G36="X"),1,0))</f>
        <v/>
      </c>
      <c r="AE68" s="345">
        <f>IF($A68="","",IF(OR('Dec 2026'!G37=TRUE,'Dec 2026'!G37="x",'Dec 2026'!G37="X"),1,0))</f>
        <v/>
      </c>
      <c r="AF68" s="345">
        <f>IF($A68="","",IF('Dec 2026'!G59="","",'Dec 2026'!G59))</f>
        <v/>
      </c>
      <c r="AG68" s="345">
        <f>IF($A68="","",IF('Dec 2026'!G60="","",'Dec 2026'!G60))</f>
        <v/>
      </c>
      <c r="AH68" s="345">
        <f>IF($A68="","",IF('Dec 2026'!G61="","",'Dec 2026'!G61))</f>
        <v/>
      </c>
      <c r="AI68" s="345">
        <f>IF($A68="","",IF('Dec 2026'!G62="","",'Dec 2026'!G62))</f>
        <v/>
      </c>
      <c r="AJ68" s="345">
        <f>IF($A68="","",IF('Dec 2026'!G63="","",'Dec 2026'!G63))</f>
        <v/>
      </c>
      <c r="AK68" s="345">
        <f>IF($A68="","",IF('Dec 2026'!G64="","",'Dec 2026'!G64))</f>
        <v/>
      </c>
      <c r="AL68" s="345">
        <f>IF($A68="","",IF('Dec 2026'!G65="","",'Dec 2026'!G65))</f>
        <v/>
      </c>
      <c r="AM68" s="345">
        <f>IF($A68="","",IF('Dec 2026'!G66="","",'Dec 2026'!G66))</f>
        <v/>
      </c>
      <c r="AN68" s="345">
        <f>IF($A68="","",IF('Dec 2026'!G67="","",'Dec 2026'!G67))</f>
        <v/>
      </c>
      <c r="AO68" s="345">
        <f>IF($A68="",0,IF(AND($A68&gt;=TrackStart,$A68&lt;=TODAY()),1,0))</f>
        <v/>
      </c>
      <c r="AP68" s="345">
        <f>IF($A68="",0,IF(SUM(F68:AE68)+COUNT(AF68:AN68)&gt;0,1,0))</f>
        <v/>
      </c>
      <c r="AQ68" s="345">
        <f>IF($A68="","",INT(($A68-TrackStart)/7)+1)</f>
        <v/>
      </c>
      <c r="AR68" s="345">
        <f>IF($A68="","",IF(AQ68&lt;=1,Steps1,IF(AQ68=2,Steps2,Steps3)))</f>
        <v/>
      </c>
      <c r="AS68" s="345">
        <f>IF($A68="",0,IF(ISNUMBER(SEARCH(TEXT(D68,"0"),WorkDays&amp;"")),1,0))</f>
        <v/>
      </c>
      <c r="AT68" s="345">
        <f>IF($A68="",0,IF(ISNUMBER(SEARCH(TEXT(D68,"0"),StrDays&amp;"")),1,0))</f>
        <v/>
      </c>
      <c r="AU68" s="345">
        <f>IF($A68="",0,IF(ISNUMBER(AK68),IF(AK68&gt;=SleepMin,1,0),N68))</f>
        <v/>
      </c>
      <c r="AV68" s="345">
        <f>IF($A68="",0,MAX(I68,O68,S68,AC68))</f>
        <v/>
      </c>
      <c r="AW68" s="345">
        <f>IF($A68="",0,IF(ISNUMBER(AH68),IF(AH68&gt;=ProtHit,1,0),0))</f>
        <v/>
      </c>
      <c r="AX68" s="345">
        <f>IF($A68="",0,IF(ISNUMBER(AI68),IF(AI68&gt;=WaterHit,1,0),0))</f>
        <v/>
      </c>
      <c r="AY68" s="345">
        <f>IF($A68="",0,IF(ISNUMBER(AG68),IF(AG68&gt;=AR68,1,0),0))</f>
        <v/>
      </c>
      <c r="AZ68" s="345">
        <f>IF($A68="",0,G68)</f>
        <v/>
      </c>
      <c r="BA68" s="345">
        <f>IF($A68="",0,J68)</f>
        <v/>
      </c>
      <c r="BB68" s="345">
        <f>IF($A68="",0,K68)</f>
        <v/>
      </c>
      <c r="BC68" s="345">
        <f>IF($A68="",0,MAX(L68,AE68))</f>
        <v/>
      </c>
      <c r="BD68" s="344">
        <f>IF($A68="","",(AU68+AV68+AW68+AX68+AY68+AZ68+BB68+BC68+IF(AS68=1,BA68,0))/(8+AS68))</f>
        <v/>
      </c>
      <c r="BE68" s="344">
        <f>IF($A68="","",(IF(ISNUMBER(AI68),IF(AI68&gt;=WaterMVD,1,0),0)+AV68+IF(ISNUMBER(AH68),IF(AH68&gt;=ProtMVD,1,0),0)+MAX(H68,AD68)+AZ68+BB68+AU68)/7)</f>
        <v/>
      </c>
      <c r="BF68" s="344">
        <f>IF(AO68=0,"",IF(E68="S","",IF(AND(AP68=0,$A68=TODAY()),"",IF(E68="M",BE68,BD68))))</f>
        <v/>
      </c>
      <c r="BG68" s="344">
        <f>IF(AO68=0,"",IFERROR(AVERAGEIFS(Data!$BF$4:$BF$375,Data!$A$4:$A$375,"&gt;"&amp;($A68-7),Data!$A$4:$A$375,"&lt;="&amp;$A68),""))</f>
        <v/>
      </c>
      <c r="BH68" s="344">
        <f>IF(AO68=0,"",IFERROR(AVERAGEIFS(Data!$BF$4:$BF$375,Data!$A$4:$A$375,"&gt;"&amp;($A68-30),Data!$A$4:$A$375,"&lt;="&amp;$A68),""))</f>
        <v/>
      </c>
      <c r="BI68" s="359">
        <f>IF($A68="","",IFERROR(AVERAGEIFS(Data!$AF$4:$AF$375,Data!$A$4:$A$375,"&gt;"&amp;($A68-7),Data!$A$4:$A$375,"&lt;="&amp;$A68,Data!$AF$4:$AF$375,"&gt;0"),""))</f>
        <v/>
      </c>
      <c r="BJ68" s="345">
        <f>IF($A68="","",F68+G68+H68+I68+J68+K68+L68+M68+N68-IF(AS68=1,0,J68))</f>
        <v/>
      </c>
      <c r="BK68" s="345">
        <f>IF($A68="","",8+AS68)</f>
        <v/>
      </c>
      <c r="BL68" s="345">
        <f>IF(ISNUMBER(BF68),BF68,NA())</f>
        <v/>
      </c>
      <c r="BM68" s="345">
        <f>IF(ISNUMBER(AF68),AF68,NA())</f>
        <v/>
      </c>
      <c r="BN68" s="345">
        <f>IF(ISNUMBER(BI68),BI68,NA())</f>
        <v/>
      </c>
      <c r="BO68" s="345">
        <f>IF(ISNUMBER(AL68),AL68,NA())</f>
        <v/>
      </c>
      <c r="BP68" s="345">
        <f>IF(ISNUMBER(AM68),AM68,NA())</f>
        <v/>
      </c>
      <c r="BQ68" s="345">
        <f>IF(ISNUMBER(AN68),AN68,NA())</f>
        <v/>
      </c>
    </row>
    <row r="69">
      <c r="A69" s="358">
        <f>IF('Dec 2026'!H7="","",'Dec 2026'!H7)</f>
        <v/>
      </c>
      <c r="B69" s="345" t="n">
        <v>3</v>
      </c>
      <c r="C69" s="345">
        <f>IF($A69="","",4)</f>
        <v/>
      </c>
      <c r="D69" s="345">
        <f>IF($A69="","",WEEKDAY($A69,2))</f>
        <v/>
      </c>
      <c r="E69" s="345">
        <f>IF($A69="","",UPPER(TRIM('Dec 2026'!H8)))</f>
        <v/>
      </c>
      <c r="F69" s="345">
        <f>IF($A69="","",IF(OR('Dec 2026'!H10=TRUE,'Dec 2026'!H10="x",'Dec 2026'!H10="X"),1,0))</f>
        <v/>
      </c>
      <c r="G69" s="345">
        <f>IF($A69="","",IF(OR('Dec 2026'!H11=TRUE,'Dec 2026'!H11="x",'Dec 2026'!H11="X"),1,0))</f>
        <v/>
      </c>
      <c r="H69" s="345">
        <f>IF($A69="","",IF(OR('Dec 2026'!H12=TRUE,'Dec 2026'!H12="x",'Dec 2026'!H12="X"),1,0))</f>
        <v/>
      </c>
      <c r="I69" s="345">
        <f>IF($A69="","",IF(OR('Dec 2026'!H13=TRUE,'Dec 2026'!H13="x",'Dec 2026'!H13="X"),1,0))</f>
        <v/>
      </c>
      <c r="J69" s="345">
        <f>IF($A69="","",IF(OR('Dec 2026'!H14=TRUE,'Dec 2026'!H14="x",'Dec 2026'!H14="X"),1,0))</f>
        <v/>
      </c>
      <c r="K69" s="345">
        <f>IF($A69="","",IF(OR('Dec 2026'!H15=TRUE,'Dec 2026'!H15="x",'Dec 2026'!H15="X"),1,0))</f>
        <v/>
      </c>
      <c r="L69" s="345">
        <f>IF($A69="","",IF(OR('Dec 2026'!H16=TRUE,'Dec 2026'!H16="x",'Dec 2026'!H16="X"),1,0))</f>
        <v/>
      </c>
      <c r="M69" s="345">
        <f>IF($A69="","",IF(OR('Dec 2026'!H17=TRUE,'Dec 2026'!H17="x",'Dec 2026'!H17="X"),1,0))</f>
        <v/>
      </c>
      <c r="N69" s="345">
        <f>IF($A69="","",IF(OR('Dec 2026'!H18=TRUE,'Dec 2026'!H18="x",'Dec 2026'!H18="X"),1,0))</f>
        <v/>
      </c>
      <c r="O69" s="345">
        <f>IF($A69="","",IF(OR('Dec 2026'!H20=TRUE,'Dec 2026'!H20="x",'Dec 2026'!H20="X"),1,0))</f>
        <v/>
      </c>
      <c r="P69" s="345">
        <f>IF($A69="","",IF(OR('Dec 2026'!H21=TRUE,'Dec 2026'!H21="x",'Dec 2026'!H21="X"),1,0))</f>
        <v/>
      </c>
      <c r="Q69" s="345">
        <f>IF($A69="","",IF(OR('Dec 2026'!H22=TRUE,'Dec 2026'!H22="x",'Dec 2026'!H22="X"),1,0))</f>
        <v/>
      </c>
      <c r="R69" s="345">
        <f>IF($A69="","",IF(OR('Dec 2026'!H23=TRUE,'Dec 2026'!H23="x",'Dec 2026'!H23="X"),1,0))</f>
        <v/>
      </c>
      <c r="S69" s="345">
        <f>IF($A69="","",IF(OR('Dec 2026'!H24=TRUE,'Dec 2026'!H24="x",'Dec 2026'!H24="X"),1,0))</f>
        <v/>
      </c>
      <c r="T69" s="345">
        <f>IF($A69="","",IF(OR('Dec 2026'!H25=TRUE,'Dec 2026'!H25="x",'Dec 2026'!H25="X"),1,0))</f>
        <v/>
      </c>
      <c r="U69" s="345">
        <f>IF($A69="","",IF(OR('Dec 2026'!H26=TRUE,'Dec 2026'!H26="x",'Dec 2026'!H26="X"),1,0))</f>
        <v/>
      </c>
      <c r="V69" s="345">
        <f>IF($A69="","",IF(OR('Dec 2026'!H27=TRUE,'Dec 2026'!H27="x",'Dec 2026'!H27="X"),1,0))</f>
        <v/>
      </c>
      <c r="W69" s="345">
        <f>IF($A69="","",IF(OR('Dec 2026'!H28=TRUE,'Dec 2026'!H28="x",'Dec 2026'!H28="X"),1,0))</f>
        <v/>
      </c>
      <c r="X69" s="345">
        <f>IF($A69="","",IF(OR('Dec 2026'!H29=TRUE,'Dec 2026'!H29="x",'Dec 2026'!H29="X"),1,0))</f>
        <v/>
      </c>
      <c r="Y69" s="345">
        <f>IF($A69="","",IF(OR('Dec 2026'!H30=TRUE,'Dec 2026'!H30="x",'Dec 2026'!H30="X"),1,0))</f>
        <v/>
      </c>
      <c r="Z69" s="345">
        <f>IF($A69="","",IF(OR('Dec 2026'!H31=TRUE,'Dec 2026'!H31="x",'Dec 2026'!H31="X"),1,0))</f>
        <v/>
      </c>
      <c r="AA69" s="345">
        <f>IF($A69="","",IF(OR('Dec 2026'!H32=TRUE,'Dec 2026'!H32="x",'Dec 2026'!H32="X"),1,0))</f>
        <v/>
      </c>
      <c r="AB69" s="345">
        <f>IF($A69="","",IF(OR('Dec 2026'!H34=TRUE,'Dec 2026'!H34="x",'Dec 2026'!H34="X"),1,0))</f>
        <v/>
      </c>
      <c r="AC69" s="345">
        <f>IF($A69="","",IF(OR('Dec 2026'!H35=TRUE,'Dec 2026'!H35="x",'Dec 2026'!H35="X"),1,0))</f>
        <v/>
      </c>
      <c r="AD69" s="345">
        <f>IF($A69="","",IF(OR('Dec 2026'!H36=TRUE,'Dec 2026'!H36="x",'Dec 2026'!H36="X"),1,0))</f>
        <v/>
      </c>
      <c r="AE69" s="345">
        <f>IF($A69="","",IF(OR('Dec 2026'!H37=TRUE,'Dec 2026'!H37="x",'Dec 2026'!H37="X"),1,0))</f>
        <v/>
      </c>
      <c r="AF69" s="345">
        <f>IF($A69="","",IF('Dec 2026'!H59="","",'Dec 2026'!H59))</f>
        <v/>
      </c>
      <c r="AG69" s="345">
        <f>IF($A69="","",IF('Dec 2026'!H60="","",'Dec 2026'!H60))</f>
        <v/>
      </c>
      <c r="AH69" s="345">
        <f>IF($A69="","",IF('Dec 2026'!H61="","",'Dec 2026'!H61))</f>
        <v/>
      </c>
      <c r="AI69" s="345">
        <f>IF($A69="","",IF('Dec 2026'!H62="","",'Dec 2026'!H62))</f>
        <v/>
      </c>
      <c r="AJ69" s="345">
        <f>IF($A69="","",IF('Dec 2026'!H63="","",'Dec 2026'!H63))</f>
        <v/>
      </c>
      <c r="AK69" s="345">
        <f>IF($A69="","",IF('Dec 2026'!H64="","",'Dec 2026'!H64))</f>
        <v/>
      </c>
      <c r="AL69" s="345">
        <f>IF($A69="","",IF('Dec 2026'!H65="","",'Dec 2026'!H65))</f>
        <v/>
      </c>
      <c r="AM69" s="345">
        <f>IF($A69="","",IF('Dec 2026'!H66="","",'Dec 2026'!H66))</f>
        <v/>
      </c>
      <c r="AN69" s="345">
        <f>IF($A69="","",IF('Dec 2026'!H67="","",'Dec 2026'!H67))</f>
        <v/>
      </c>
      <c r="AO69" s="345">
        <f>IF($A69="",0,IF(AND($A69&gt;=TrackStart,$A69&lt;=TODAY()),1,0))</f>
        <v/>
      </c>
      <c r="AP69" s="345">
        <f>IF($A69="",0,IF(SUM(F69:AE69)+COUNT(AF69:AN69)&gt;0,1,0))</f>
        <v/>
      </c>
      <c r="AQ69" s="345">
        <f>IF($A69="","",INT(($A69-TrackStart)/7)+1)</f>
        <v/>
      </c>
      <c r="AR69" s="345">
        <f>IF($A69="","",IF(AQ69&lt;=1,Steps1,IF(AQ69=2,Steps2,Steps3)))</f>
        <v/>
      </c>
      <c r="AS69" s="345">
        <f>IF($A69="",0,IF(ISNUMBER(SEARCH(TEXT(D69,"0"),WorkDays&amp;"")),1,0))</f>
        <v/>
      </c>
      <c r="AT69" s="345">
        <f>IF($A69="",0,IF(ISNUMBER(SEARCH(TEXT(D69,"0"),StrDays&amp;"")),1,0))</f>
        <v/>
      </c>
      <c r="AU69" s="345">
        <f>IF($A69="",0,IF(ISNUMBER(AK69),IF(AK69&gt;=SleepMin,1,0),N69))</f>
        <v/>
      </c>
      <c r="AV69" s="345">
        <f>IF($A69="",0,MAX(I69,O69,S69,AC69))</f>
        <v/>
      </c>
      <c r="AW69" s="345">
        <f>IF($A69="",0,IF(ISNUMBER(AH69),IF(AH69&gt;=ProtHit,1,0),0))</f>
        <v/>
      </c>
      <c r="AX69" s="345">
        <f>IF($A69="",0,IF(ISNUMBER(AI69),IF(AI69&gt;=WaterHit,1,0),0))</f>
        <v/>
      </c>
      <c r="AY69" s="345">
        <f>IF($A69="",0,IF(ISNUMBER(AG69),IF(AG69&gt;=AR69,1,0),0))</f>
        <v/>
      </c>
      <c r="AZ69" s="345">
        <f>IF($A69="",0,G69)</f>
        <v/>
      </c>
      <c r="BA69" s="345">
        <f>IF($A69="",0,J69)</f>
        <v/>
      </c>
      <c r="BB69" s="345">
        <f>IF($A69="",0,K69)</f>
        <v/>
      </c>
      <c r="BC69" s="345">
        <f>IF($A69="",0,MAX(L69,AE69))</f>
        <v/>
      </c>
      <c r="BD69" s="344">
        <f>IF($A69="","",(AU69+AV69+AW69+AX69+AY69+AZ69+BB69+BC69+IF(AS69=1,BA69,0))/(8+AS69))</f>
        <v/>
      </c>
      <c r="BE69" s="344">
        <f>IF($A69="","",(IF(ISNUMBER(AI69),IF(AI69&gt;=WaterMVD,1,0),0)+AV69+IF(ISNUMBER(AH69),IF(AH69&gt;=ProtMVD,1,0),0)+MAX(H69,AD69)+AZ69+BB69+AU69)/7)</f>
        <v/>
      </c>
      <c r="BF69" s="344">
        <f>IF(AO69=0,"",IF(E69="S","",IF(AND(AP69=0,$A69=TODAY()),"",IF(E69="M",BE69,BD69))))</f>
        <v/>
      </c>
      <c r="BG69" s="344">
        <f>IF(AO69=0,"",IFERROR(AVERAGEIFS(Data!$BF$4:$BF$375,Data!$A$4:$A$375,"&gt;"&amp;($A69-7),Data!$A$4:$A$375,"&lt;="&amp;$A69),""))</f>
        <v/>
      </c>
      <c r="BH69" s="344">
        <f>IF(AO69=0,"",IFERROR(AVERAGEIFS(Data!$BF$4:$BF$375,Data!$A$4:$A$375,"&gt;"&amp;($A69-30),Data!$A$4:$A$375,"&lt;="&amp;$A69),""))</f>
        <v/>
      </c>
      <c r="BI69" s="359">
        <f>IF($A69="","",IFERROR(AVERAGEIFS(Data!$AF$4:$AF$375,Data!$A$4:$A$375,"&gt;"&amp;($A69-7),Data!$A$4:$A$375,"&lt;="&amp;$A69,Data!$AF$4:$AF$375,"&gt;0"),""))</f>
        <v/>
      </c>
      <c r="BJ69" s="345">
        <f>IF($A69="","",F69+G69+H69+I69+J69+K69+L69+M69+N69-IF(AS69=1,0,J69))</f>
        <v/>
      </c>
      <c r="BK69" s="345">
        <f>IF($A69="","",8+AS69)</f>
        <v/>
      </c>
      <c r="BL69" s="345">
        <f>IF(ISNUMBER(BF69),BF69,NA())</f>
        <v/>
      </c>
      <c r="BM69" s="345">
        <f>IF(ISNUMBER(AF69),AF69,NA())</f>
        <v/>
      </c>
      <c r="BN69" s="345">
        <f>IF(ISNUMBER(BI69),BI69,NA())</f>
        <v/>
      </c>
      <c r="BO69" s="345">
        <f>IF(ISNUMBER(AL69),AL69,NA())</f>
        <v/>
      </c>
      <c r="BP69" s="345">
        <f>IF(ISNUMBER(AM69),AM69,NA())</f>
        <v/>
      </c>
      <c r="BQ69" s="345">
        <f>IF(ISNUMBER(AN69),AN69,NA())</f>
        <v/>
      </c>
    </row>
    <row r="70">
      <c r="A70" s="358">
        <f>IF('Dec 2026'!I7="","",'Dec 2026'!I7)</f>
        <v/>
      </c>
      <c r="B70" s="345" t="n">
        <v>3</v>
      </c>
      <c r="C70" s="345">
        <f>IF($A70="","",5)</f>
        <v/>
      </c>
      <c r="D70" s="345">
        <f>IF($A70="","",WEEKDAY($A70,2))</f>
        <v/>
      </c>
      <c r="E70" s="345">
        <f>IF($A70="","",UPPER(TRIM('Dec 2026'!I8)))</f>
        <v/>
      </c>
      <c r="F70" s="345">
        <f>IF($A70="","",IF(OR('Dec 2026'!I10=TRUE,'Dec 2026'!I10="x",'Dec 2026'!I10="X"),1,0))</f>
        <v/>
      </c>
      <c r="G70" s="345">
        <f>IF($A70="","",IF(OR('Dec 2026'!I11=TRUE,'Dec 2026'!I11="x",'Dec 2026'!I11="X"),1,0))</f>
        <v/>
      </c>
      <c r="H70" s="345">
        <f>IF($A70="","",IF(OR('Dec 2026'!I12=TRUE,'Dec 2026'!I12="x",'Dec 2026'!I12="X"),1,0))</f>
        <v/>
      </c>
      <c r="I70" s="345">
        <f>IF($A70="","",IF(OR('Dec 2026'!I13=TRUE,'Dec 2026'!I13="x",'Dec 2026'!I13="X"),1,0))</f>
        <v/>
      </c>
      <c r="J70" s="345">
        <f>IF($A70="","",IF(OR('Dec 2026'!I14=TRUE,'Dec 2026'!I14="x",'Dec 2026'!I14="X"),1,0))</f>
        <v/>
      </c>
      <c r="K70" s="345">
        <f>IF($A70="","",IF(OR('Dec 2026'!I15=TRUE,'Dec 2026'!I15="x",'Dec 2026'!I15="X"),1,0))</f>
        <v/>
      </c>
      <c r="L70" s="345">
        <f>IF($A70="","",IF(OR('Dec 2026'!I16=TRUE,'Dec 2026'!I16="x",'Dec 2026'!I16="X"),1,0))</f>
        <v/>
      </c>
      <c r="M70" s="345">
        <f>IF($A70="","",IF(OR('Dec 2026'!I17=TRUE,'Dec 2026'!I17="x",'Dec 2026'!I17="X"),1,0))</f>
        <v/>
      </c>
      <c r="N70" s="345">
        <f>IF($A70="","",IF(OR('Dec 2026'!I18=TRUE,'Dec 2026'!I18="x",'Dec 2026'!I18="X"),1,0))</f>
        <v/>
      </c>
      <c r="O70" s="345">
        <f>IF($A70="","",IF(OR('Dec 2026'!I20=TRUE,'Dec 2026'!I20="x",'Dec 2026'!I20="X"),1,0))</f>
        <v/>
      </c>
      <c r="P70" s="345">
        <f>IF($A70="","",IF(OR('Dec 2026'!I21=TRUE,'Dec 2026'!I21="x",'Dec 2026'!I21="X"),1,0))</f>
        <v/>
      </c>
      <c r="Q70" s="345">
        <f>IF($A70="","",IF(OR('Dec 2026'!I22=TRUE,'Dec 2026'!I22="x",'Dec 2026'!I22="X"),1,0))</f>
        <v/>
      </c>
      <c r="R70" s="345">
        <f>IF($A70="","",IF(OR('Dec 2026'!I23=TRUE,'Dec 2026'!I23="x",'Dec 2026'!I23="X"),1,0))</f>
        <v/>
      </c>
      <c r="S70" s="345">
        <f>IF($A70="","",IF(OR('Dec 2026'!I24=TRUE,'Dec 2026'!I24="x",'Dec 2026'!I24="X"),1,0))</f>
        <v/>
      </c>
      <c r="T70" s="345">
        <f>IF($A70="","",IF(OR('Dec 2026'!I25=TRUE,'Dec 2026'!I25="x",'Dec 2026'!I25="X"),1,0))</f>
        <v/>
      </c>
      <c r="U70" s="345">
        <f>IF($A70="","",IF(OR('Dec 2026'!I26=TRUE,'Dec 2026'!I26="x",'Dec 2026'!I26="X"),1,0))</f>
        <v/>
      </c>
      <c r="V70" s="345">
        <f>IF($A70="","",IF(OR('Dec 2026'!I27=TRUE,'Dec 2026'!I27="x",'Dec 2026'!I27="X"),1,0))</f>
        <v/>
      </c>
      <c r="W70" s="345">
        <f>IF($A70="","",IF(OR('Dec 2026'!I28=TRUE,'Dec 2026'!I28="x",'Dec 2026'!I28="X"),1,0))</f>
        <v/>
      </c>
      <c r="X70" s="345">
        <f>IF($A70="","",IF(OR('Dec 2026'!I29=TRUE,'Dec 2026'!I29="x",'Dec 2026'!I29="X"),1,0))</f>
        <v/>
      </c>
      <c r="Y70" s="345">
        <f>IF($A70="","",IF(OR('Dec 2026'!I30=TRUE,'Dec 2026'!I30="x",'Dec 2026'!I30="X"),1,0))</f>
        <v/>
      </c>
      <c r="Z70" s="345">
        <f>IF($A70="","",IF(OR('Dec 2026'!I31=TRUE,'Dec 2026'!I31="x",'Dec 2026'!I31="X"),1,0))</f>
        <v/>
      </c>
      <c r="AA70" s="345">
        <f>IF($A70="","",IF(OR('Dec 2026'!I32=TRUE,'Dec 2026'!I32="x",'Dec 2026'!I32="X"),1,0))</f>
        <v/>
      </c>
      <c r="AB70" s="345">
        <f>IF($A70="","",IF(OR('Dec 2026'!I34=TRUE,'Dec 2026'!I34="x",'Dec 2026'!I34="X"),1,0))</f>
        <v/>
      </c>
      <c r="AC70" s="345">
        <f>IF($A70="","",IF(OR('Dec 2026'!I35=TRUE,'Dec 2026'!I35="x",'Dec 2026'!I35="X"),1,0))</f>
        <v/>
      </c>
      <c r="AD70" s="345">
        <f>IF($A70="","",IF(OR('Dec 2026'!I36=TRUE,'Dec 2026'!I36="x",'Dec 2026'!I36="X"),1,0))</f>
        <v/>
      </c>
      <c r="AE70" s="345">
        <f>IF($A70="","",IF(OR('Dec 2026'!I37=TRUE,'Dec 2026'!I37="x",'Dec 2026'!I37="X"),1,0))</f>
        <v/>
      </c>
      <c r="AF70" s="345">
        <f>IF($A70="","",IF('Dec 2026'!I59="","",'Dec 2026'!I59))</f>
        <v/>
      </c>
      <c r="AG70" s="345">
        <f>IF($A70="","",IF('Dec 2026'!I60="","",'Dec 2026'!I60))</f>
        <v/>
      </c>
      <c r="AH70" s="345">
        <f>IF($A70="","",IF('Dec 2026'!I61="","",'Dec 2026'!I61))</f>
        <v/>
      </c>
      <c r="AI70" s="345">
        <f>IF($A70="","",IF('Dec 2026'!I62="","",'Dec 2026'!I62))</f>
        <v/>
      </c>
      <c r="AJ70" s="345">
        <f>IF($A70="","",IF('Dec 2026'!I63="","",'Dec 2026'!I63))</f>
        <v/>
      </c>
      <c r="AK70" s="345">
        <f>IF($A70="","",IF('Dec 2026'!I64="","",'Dec 2026'!I64))</f>
        <v/>
      </c>
      <c r="AL70" s="345">
        <f>IF($A70="","",IF('Dec 2026'!I65="","",'Dec 2026'!I65))</f>
        <v/>
      </c>
      <c r="AM70" s="345">
        <f>IF($A70="","",IF('Dec 2026'!I66="","",'Dec 2026'!I66))</f>
        <v/>
      </c>
      <c r="AN70" s="345">
        <f>IF($A70="","",IF('Dec 2026'!I67="","",'Dec 2026'!I67))</f>
        <v/>
      </c>
      <c r="AO70" s="345">
        <f>IF($A70="",0,IF(AND($A70&gt;=TrackStart,$A70&lt;=TODAY()),1,0))</f>
        <v/>
      </c>
      <c r="AP70" s="345">
        <f>IF($A70="",0,IF(SUM(F70:AE70)+COUNT(AF70:AN70)&gt;0,1,0))</f>
        <v/>
      </c>
      <c r="AQ70" s="345">
        <f>IF($A70="","",INT(($A70-TrackStart)/7)+1)</f>
        <v/>
      </c>
      <c r="AR70" s="345">
        <f>IF($A70="","",IF(AQ70&lt;=1,Steps1,IF(AQ70=2,Steps2,Steps3)))</f>
        <v/>
      </c>
      <c r="AS70" s="345">
        <f>IF($A70="",0,IF(ISNUMBER(SEARCH(TEXT(D70,"0"),WorkDays&amp;"")),1,0))</f>
        <v/>
      </c>
      <c r="AT70" s="345">
        <f>IF($A70="",0,IF(ISNUMBER(SEARCH(TEXT(D70,"0"),StrDays&amp;"")),1,0))</f>
        <v/>
      </c>
      <c r="AU70" s="345">
        <f>IF($A70="",0,IF(ISNUMBER(AK70),IF(AK70&gt;=SleepMin,1,0),N70))</f>
        <v/>
      </c>
      <c r="AV70" s="345">
        <f>IF($A70="",0,MAX(I70,O70,S70,AC70))</f>
        <v/>
      </c>
      <c r="AW70" s="345">
        <f>IF($A70="",0,IF(ISNUMBER(AH70),IF(AH70&gt;=ProtHit,1,0),0))</f>
        <v/>
      </c>
      <c r="AX70" s="345">
        <f>IF($A70="",0,IF(ISNUMBER(AI70),IF(AI70&gt;=WaterHit,1,0),0))</f>
        <v/>
      </c>
      <c r="AY70" s="345">
        <f>IF($A70="",0,IF(ISNUMBER(AG70),IF(AG70&gt;=AR70,1,0),0))</f>
        <v/>
      </c>
      <c r="AZ70" s="345">
        <f>IF($A70="",0,G70)</f>
        <v/>
      </c>
      <c r="BA70" s="345">
        <f>IF($A70="",0,J70)</f>
        <v/>
      </c>
      <c r="BB70" s="345">
        <f>IF($A70="",0,K70)</f>
        <v/>
      </c>
      <c r="BC70" s="345">
        <f>IF($A70="",0,MAX(L70,AE70))</f>
        <v/>
      </c>
      <c r="BD70" s="344">
        <f>IF($A70="","",(AU70+AV70+AW70+AX70+AY70+AZ70+BB70+BC70+IF(AS70=1,BA70,0))/(8+AS70))</f>
        <v/>
      </c>
      <c r="BE70" s="344">
        <f>IF($A70="","",(IF(ISNUMBER(AI70),IF(AI70&gt;=WaterMVD,1,0),0)+AV70+IF(ISNUMBER(AH70),IF(AH70&gt;=ProtMVD,1,0),0)+MAX(H70,AD70)+AZ70+BB70+AU70)/7)</f>
        <v/>
      </c>
      <c r="BF70" s="344">
        <f>IF(AO70=0,"",IF(E70="S","",IF(AND(AP70=0,$A70=TODAY()),"",IF(E70="M",BE70,BD70))))</f>
        <v/>
      </c>
      <c r="BG70" s="344">
        <f>IF(AO70=0,"",IFERROR(AVERAGEIFS(Data!$BF$4:$BF$375,Data!$A$4:$A$375,"&gt;"&amp;($A70-7),Data!$A$4:$A$375,"&lt;="&amp;$A70),""))</f>
        <v/>
      </c>
      <c r="BH70" s="344">
        <f>IF(AO70=0,"",IFERROR(AVERAGEIFS(Data!$BF$4:$BF$375,Data!$A$4:$A$375,"&gt;"&amp;($A70-30),Data!$A$4:$A$375,"&lt;="&amp;$A70),""))</f>
        <v/>
      </c>
      <c r="BI70" s="359">
        <f>IF($A70="","",IFERROR(AVERAGEIFS(Data!$AF$4:$AF$375,Data!$A$4:$A$375,"&gt;"&amp;($A70-7),Data!$A$4:$A$375,"&lt;="&amp;$A70,Data!$AF$4:$AF$375,"&gt;0"),""))</f>
        <v/>
      </c>
      <c r="BJ70" s="345">
        <f>IF($A70="","",F70+G70+H70+I70+J70+K70+L70+M70+N70-IF(AS70=1,0,J70))</f>
        <v/>
      </c>
      <c r="BK70" s="345">
        <f>IF($A70="","",8+AS70)</f>
        <v/>
      </c>
      <c r="BL70" s="345">
        <f>IF(ISNUMBER(BF70),BF70,NA())</f>
        <v/>
      </c>
      <c r="BM70" s="345">
        <f>IF(ISNUMBER(AF70),AF70,NA())</f>
        <v/>
      </c>
      <c r="BN70" s="345">
        <f>IF(ISNUMBER(BI70),BI70,NA())</f>
        <v/>
      </c>
      <c r="BO70" s="345">
        <f>IF(ISNUMBER(AL70),AL70,NA())</f>
        <v/>
      </c>
      <c r="BP70" s="345">
        <f>IF(ISNUMBER(AM70),AM70,NA())</f>
        <v/>
      </c>
      <c r="BQ70" s="345">
        <f>IF(ISNUMBER(AN70),AN70,NA())</f>
        <v/>
      </c>
    </row>
    <row r="71">
      <c r="A71" s="358">
        <f>IF('Dec 2026'!J7="","",'Dec 2026'!J7)</f>
        <v/>
      </c>
      <c r="B71" s="345" t="n">
        <v>3</v>
      </c>
      <c r="C71" s="345">
        <f>IF($A71="","",6)</f>
        <v/>
      </c>
      <c r="D71" s="345">
        <f>IF($A71="","",WEEKDAY($A71,2))</f>
        <v/>
      </c>
      <c r="E71" s="345">
        <f>IF($A71="","",UPPER(TRIM('Dec 2026'!J8)))</f>
        <v/>
      </c>
      <c r="F71" s="345">
        <f>IF($A71="","",IF(OR('Dec 2026'!J10=TRUE,'Dec 2026'!J10="x",'Dec 2026'!J10="X"),1,0))</f>
        <v/>
      </c>
      <c r="G71" s="345">
        <f>IF($A71="","",IF(OR('Dec 2026'!J11=TRUE,'Dec 2026'!J11="x",'Dec 2026'!J11="X"),1,0))</f>
        <v/>
      </c>
      <c r="H71" s="345">
        <f>IF($A71="","",IF(OR('Dec 2026'!J12=TRUE,'Dec 2026'!J12="x",'Dec 2026'!J12="X"),1,0))</f>
        <v/>
      </c>
      <c r="I71" s="345">
        <f>IF($A71="","",IF(OR('Dec 2026'!J13=TRUE,'Dec 2026'!J13="x",'Dec 2026'!J13="X"),1,0))</f>
        <v/>
      </c>
      <c r="J71" s="345">
        <f>IF($A71="","",IF(OR('Dec 2026'!J14=TRUE,'Dec 2026'!J14="x",'Dec 2026'!J14="X"),1,0))</f>
        <v/>
      </c>
      <c r="K71" s="345">
        <f>IF($A71="","",IF(OR('Dec 2026'!J15=TRUE,'Dec 2026'!J15="x",'Dec 2026'!J15="X"),1,0))</f>
        <v/>
      </c>
      <c r="L71" s="345">
        <f>IF($A71="","",IF(OR('Dec 2026'!J16=TRUE,'Dec 2026'!J16="x",'Dec 2026'!J16="X"),1,0))</f>
        <v/>
      </c>
      <c r="M71" s="345">
        <f>IF($A71="","",IF(OR('Dec 2026'!J17=TRUE,'Dec 2026'!J17="x",'Dec 2026'!J17="X"),1,0))</f>
        <v/>
      </c>
      <c r="N71" s="345">
        <f>IF($A71="","",IF(OR('Dec 2026'!J18=TRUE,'Dec 2026'!J18="x",'Dec 2026'!J18="X"),1,0))</f>
        <v/>
      </c>
      <c r="O71" s="345">
        <f>IF($A71="","",IF(OR('Dec 2026'!J20=TRUE,'Dec 2026'!J20="x",'Dec 2026'!J20="X"),1,0))</f>
        <v/>
      </c>
      <c r="P71" s="345">
        <f>IF($A71="","",IF(OR('Dec 2026'!J21=TRUE,'Dec 2026'!J21="x",'Dec 2026'!J21="X"),1,0))</f>
        <v/>
      </c>
      <c r="Q71" s="345">
        <f>IF($A71="","",IF(OR('Dec 2026'!J22=TRUE,'Dec 2026'!J22="x",'Dec 2026'!J22="X"),1,0))</f>
        <v/>
      </c>
      <c r="R71" s="345">
        <f>IF($A71="","",IF(OR('Dec 2026'!J23=TRUE,'Dec 2026'!J23="x",'Dec 2026'!J23="X"),1,0))</f>
        <v/>
      </c>
      <c r="S71" s="345">
        <f>IF($A71="","",IF(OR('Dec 2026'!J24=TRUE,'Dec 2026'!J24="x",'Dec 2026'!J24="X"),1,0))</f>
        <v/>
      </c>
      <c r="T71" s="345">
        <f>IF($A71="","",IF(OR('Dec 2026'!J25=TRUE,'Dec 2026'!J25="x",'Dec 2026'!J25="X"),1,0))</f>
        <v/>
      </c>
      <c r="U71" s="345">
        <f>IF($A71="","",IF(OR('Dec 2026'!J26=TRUE,'Dec 2026'!J26="x",'Dec 2026'!J26="X"),1,0))</f>
        <v/>
      </c>
      <c r="V71" s="345">
        <f>IF($A71="","",IF(OR('Dec 2026'!J27=TRUE,'Dec 2026'!J27="x",'Dec 2026'!J27="X"),1,0))</f>
        <v/>
      </c>
      <c r="W71" s="345">
        <f>IF($A71="","",IF(OR('Dec 2026'!J28=TRUE,'Dec 2026'!J28="x",'Dec 2026'!J28="X"),1,0))</f>
        <v/>
      </c>
      <c r="X71" s="345">
        <f>IF($A71="","",IF(OR('Dec 2026'!J29=TRUE,'Dec 2026'!J29="x",'Dec 2026'!J29="X"),1,0))</f>
        <v/>
      </c>
      <c r="Y71" s="345">
        <f>IF($A71="","",IF(OR('Dec 2026'!J30=TRUE,'Dec 2026'!J30="x",'Dec 2026'!J30="X"),1,0))</f>
        <v/>
      </c>
      <c r="Z71" s="345">
        <f>IF($A71="","",IF(OR('Dec 2026'!J31=TRUE,'Dec 2026'!J31="x",'Dec 2026'!J31="X"),1,0))</f>
        <v/>
      </c>
      <c r="AA71" s="345">
        <f>IF($A71="","",IF(OR('Dec 2026'!J32=TRUE,'Dec 2026'!J32="x",'Dec 2026'!J32="X"),1,0))</f>
        <v/>
      </c>
      <c r="AB71" s="345">
        <f>IF($A71="","",IF(OR('Dec 2026'!J34=TRUE,'Dec 2026'!J34="x",'Dec 2026'!J34="X"),1,0))</f>
        <v/>
      </c>
      <c r="AC71" s="345">
        <f>IF($A71="","",IF(OR('Dec 2026'!J35=TRUE,'Dec 2026'!J35="x",'Dec 2026'!J35="X"),1,0))</f>
        <v/>
      </c>
      <c r="AD71" s="345">
        <f>IF($A71="","",IF(OR('Dec 2026'!J36=TRUE,'Dec 2026'!J36="x",'Dec 2026'!J36="X"),1,0))</f>
        <v/>
      </c>
      <c r="AE71" s="345">
        <f>IF($A71="","",IF(OR('Dec 2026'!J37=TRUE,'Dec 2026'!J37="x",'Dec 2026'!J37="X"),1,0))</f>
        <v/>
      </c>
      <c r="AF71" s="345">
        <f>IF($A71="","",IF('Dec 2026'!J59="","",'Dec 2026'!J59))</f>
        <v/>
      </c>
      <c r="AG71" s="345">
        <f>IF($A71="","",IF('Dec 2026'!J60="","",'Dec 2026'!J60))</f>
        <v/>
      </c>
      <c r="AH71" s="345">
        <f>IF($A71="","",IF('Dec 2026'!J61="","",'Dec 2026'!J61))</f>
        <v/>
      </c>
      <c r="AI71" s="345">
        <f>IF($A71="","",IF('Dec 2026'!J62="","",'Dec 2026'!J62))</f>
        <v/>
      </c>
      <c r="AJ71" s="345">
        <f>IF($A71="","",IF('Dec 2026'!J63="","",'Dec 2026'!J63))</f>
        <v/>
      </c>
      <c r="AK71" s="345">
        <f>IF($A71="","",IF('Dec 2026'!J64="","",'Dec 2026'!J64))</f>
        <v/>
      </c>
      <c r="AL71" s="345">
        <f>IF($A71="","",IF('Dec 2026'!J65="","",'Dec 2026'!J65))</f>
        <v/>
      </c>
      <c r="AM71" s="345">
        <f>IF($A71="","",IF('Dec 2026'!J66="","",'Dec 2026'!J66))</f>
        <v/>
      </c>
      <c r="AN71" s="345">
        <f>IF($A71="","",IF('Dec 2026'!J67="","",'Dec 2026'!J67))</f>
        <v/>
      </c>
      <c r="AO71" s="345">
        <f>IF($A71="",0,IF(AND($A71&gt;=TrackStart,$A71&lt;=TODAY()),1,0))</f>
        <v/>
      </c>
      <c r="AP71" s="345">
        <f>IF($A71="",0,IF(SUM(F71:AE71)+COUNT(AF71:AN71)&gt;0,1,0))</f>
        <v/>
      </c>
      <c r="AQ71" s="345">
        <f>IF($A71="","",INT(($A71-TrackStart)/7)+1)</f>
        <v/>
      </c>
      <c r="AR71" s="345">
        <f>IF($A71="","",IF(AQ71&lt;=1,Steps1,IF(AQ71=2,Steps2,Steps3)))</f>
        <v/>
      </c>
      <c r="AS71" s="345">
        <f>IF($A71="",0,IF(ISNUMBER(SEARCH(TEXT(D71,"0"),WorkDays&amp;"")),1,0))</f>
        <v/>
      </c>
      <c r="AT71" s="345">
        <f>IF($A71="",0,IF(ISNUMBER(SEARCH(TEXT(D71,"0"),StrDays&amp;"")),1,0))</f>
        <v/>
      </c>
      <c r="AU71" s="345">
        <f>IF($A71="",0,IF(ISNUMBER(AK71),IF(AK71&gt;=SleepMin,1,0),N71))</f>
        <v/>
      </c>
      <c r="AV71" s="345">
        <f>IF($A71="",0,MAX(I71,O71,S71,AC71))</f>
        <v/>
      </c>
      <c r="AW71" s="345">
        <f>IF($A71="",0,IF(ISNUMBER(AH71),IF(AH71&gt;=ProtHit,1,0),0))</f>
        <v/>
      </c>
      <c r="AX71" s="345">
        <f>IF($A71="",0,IF(ISNUMBER(AI71),IF(AI71&gt;=WaterHit,1,0),0))</f>
        <v/>
      </c>
      <c r="AY71" s="345">
        <f>IF($A71="",0,IF(ISNUMBER(AG71),IF(AG71&gt;=AR71,1,0),0))</f>
        <v/>
      </c>
      <c r="AZ71" s="345">
        <f>IF($A71="",0,G71)</f>
        <v/>
      </c>
      <c r="BA71" s="345">
        <f>IF($A71="",0,J71)</f>
        <v/>
      </c>
      <c r="BB71" s="345">
        <f>IF($A71="",0,K71)</f>
        <v/>
      </c>
      <c r="BC71" s="345">
        <f>IF($A71="",0,MAX(L71,AE71))</f>
        <v/>
      </c>
      <c r="BD71" s="344">
        <f>IF($A71="","",(AU71+AV71+AW71+AX71+AY71+AZ71+BB71+BC71+IF(AS71=1,BA71,0))/(8+AS71))</f>
        <v/>
      </c>
      <c r="BE71" s="344">
        <f>IF($A71="","",(IF(ISNUMBER(AI71),IF(AI71&gt;=WaterMVD,1,0),0)+AV71+IF(ISNUMBER(AH71),IF(AH71&gt;=ProtMVD,1,0),0)+MAX(H71,AD71)+AZ71+BB71+AU71)/7)</f>
        <v/>
      </c>
      <c r="BF71" s="344">
        <f>IF(AO71=0,"",IF(E71="S","",IF(AND(AP71=0,$A71=TODAY()),"",IF(E71="M",BE71,BD71))))</f>
        <v/>
      </c>
      <c r="BG71" s="344">
        <f>IF(AO71=0,"",IFERROR(AVERAGEIFS(Data!$BF$4:$BF$375,Data!$A$4:$A$375,"&gt;"&amp;($A71-7),Data!$A$4:$A$375,"&lt;="&amp;$A71),""))</f>
        <v/>
      </c>
      <c r="BH71" s="344">
        <f>IF(AO71=0,"",IFERROR(AVERAGEIFS(Data!$BF$4:$BF$375,Data!$A$4:$A$375,"&gt;"&amp;($A71-30),Data!$A$4:$A$375,"&lt;="&amp;$A71),""))</f>
        <v/>
      </c>
      <c r="BI71" s="359">
        <f>IF($A71="","",IFERROR(AVERAGEIFS(Data!$AF$4:$AF$375,Data!$A$4:$A$375,"&gt;"&amp;($A71-7),Data!$A$4:$A$375,"&lt;="&amp;$A71,Data!$AF$4:$AF$375,"&gt;0"),""))</f>
        <v/>
      </c>
      <c r="BJ71" s="345">
        <f>IF($A71="","",F71+G71+H71+I71+J71+K71+L71+M71+N71-IF(AS71=1,0,J71))</f>
        <v/>
      </c>
      <c r="BK71" s="345">
        <f>IF($A71="","",8+AS71)</f>
        <v/>
      </c>
      <c r="BL71" s="345">
        <f>IF(ISNUMBER(BF71),BF71,NA())</f>
        <v/>
      </c>
      <c r="BM71" s="345">
        <f>IF(ISNUMBER(AF71),AF71,NA())</f>
        <v/>
      </c>
      <c r="BN71" s="345">
        <f>IF(ISNUMBER(BI71),BI71,NA())</f>
        <v/>
      </c>
      <c r="BO71" s="345">
        <f>IF(ISNUMBER(AL71),AL71,NA())</f>
        <v/>
      </c>
      <c r="BP71" s="345">
        <f>IF(ISNUMBER(AM71),AM71,NA())</f>
        <v/>
      </c>
      <c r="BQ71" s="345">
        <f>IF(ISNUMBER(AN71),AN71,NA())</f>
        <v/>
      </c>
    </row>
    <row r="72">
      <c r="A72" s="358">
        <f>IF('Dec 2026'!K7="","",'Dec 2026'!K7)</f>
        <v/>
      </c>
      <c r="B72" s="345" t="n">
        <v>3</v>
      </c>
      <c r="C72" s="345">
        <f>IF($A72="","",7)</f>
        <v/>
      </c>
      <c r="D72" s="345">
        <f>IF($A72="","",WEEKDAY($A72,2))</f>
        <v/>
      </c>
      <c r="E72" s="345">
        <f>IF($A72="","",UPPER(TRIM('Dec 2026'!K8)))</f>
        <v/>
      </c>
      <c r="F72" s="345">
        <f>IF($A72="","",IF(OR('Dec 2026'!K10=TRUE,'Dec 2026'!K10="x",'Dec 2026'!K10="X"),1,0))</f>
        <v/>
      </c>
      <c r="G72" s="345">
        <f>IF($A72="","",IF(OR('Dec 2026'!K11=TRUE,'Dec 2026'!K11="x",'Dec 2026'!K11="X"),1,0))</f>
        <v/>
      </c>
      <c r="H72" s="345">
        <f>IF($A72="","",IF(OR('Dec 2026'!K12=TRUE,'Dec 2026'!K12="x",'Dec 2026'!K12="X"),1,0))</f>
        <v/>
      </c>
      <c r="I72" s="345">
        <f>IF($A72="","",IF(OR('Dec 2026'!K13=TRUE,'Dec 2026'!K13="x",'Dec 2026'!K13="X"),1,0))</f>
        <v/>
      </c>
      <c r="J72" s="345">
        <f>IF($A72="","",IF(OR('Dec 2026'!K14=TRUE,'Dec 2026'!K14="x",'Dec 2026'!K14="X"),1,0))</f>
        <v/>
      </c>
      <c r="K72" s="345">
        <f>IF($A72="","",IF(OR('Dec 2026'!K15=TRUE,'Dec 2026'!K15="x",'Dec 2026'!K15="X"),1,0))</f>
        <v/>
      </c>
      <c r="L72" s="345">
        <f>IF($A72="","",IF(OR('Dec 2026'!K16=TRUE,'Dec 2026'!K16="x",'Dec 2026'!K16="X"),1,0))</f>
        <v/>
      </c>
      <c r="M72" s="345">
        <f>IF($A72="","",IF(OR('Dec 2026'!K17=TRUE,'Dec 2026'!K17="x",'Dec 2026'!K17="X"),1,0))</f>
        <v/>
      </c>
      <c r="N72" s="345">
        <f>IF($A72="","",IF(OR('Dec 2026'!K18=TRUE,'Dec 2026'!K18="x",'Dec 2026'!K18="X"),1,0))</f>
        <v/>
      </c>
      <c r="O72" s="345">
        <f>IF($A72="","",IF(OR('Dec 2026'!K20=TRUE,'Dec 2026'!K20="x",'Dec 2026'!K20="X"),1,0))</f>
        <v/>
      </c>
      <c r="P72" s="345">
        <f>IF($A72="","",IF(OR('Dec 2026'!K21=TRUE,'Dec 2026'!K21="x",'Dec 2026'!K21="X"),1,0))</f>
        <v/>
      </c>
      <c r="Q72" s="345">
        <f>IF($A72="","",IF(OR('Dec 2026'!K22=TRUE,'Dec 2026'!K22="x",'Dec 2026'!K22="X"),1,0))</f>
        <v/>
      </c>
      <c r="R72" s="345">
        <f>IF($A72="","",IF(OR('Dec 2026'!K23=TRUE,'Dec 2026'!K23="x",'Dec 2026'!K23="X"),1,0))</f>
        <v/>
      </c>
      <c r="S72" s="345">
        <f>IF($A72="","",IF(OR('Dec 2026'!K24=TRUE,'Dec 2026'!K24="x",'Dec 2026'!K24="X"),1,0))</f>
        <v/>
      </c>
      <c r="T72" s="345">
        <f>IF($A72="","",IF(OR('Dec 2026'!K25=TRUE,'Dec 2026'!K25="x",'Dec 2026'!K25="X"),1,0))</f>
        <v/>
      </c>
      <c r="U72" s="345">
        <f>IF($A72="","",IF(OR('Dec 2026'!K26=TRUE,'Dec 2026'!K26="x",'Dec 2026'!K26="X"),1,0))</f>
        <v/>
      </c>
      <c r="V72" s="345">
        <f>IF($A72="","",IF(OR('Dec 2026'!K27=TRUE,'Dec 2026'!K27="x",'Dec 2026'!K27="X"),1,0))</f>
        <v/>
      </c>
      <c r="W72" s="345">
        <f>IF($A72="","",IF(OR('Dec 2026'!K28=TRUE,'Dec 2026'!K28="x",'Dec 2026'!K28="X"),1,0))</f>
        <v/>
      </c>
      <c r="X72" s="345">
        <f>IF($A72="","",IF(OR('Dec 2026'!K29=TRUE,'Dec 2026'!K29="x",'Dec 2026'!K29="X"),1,0))</f>
        <v/>
      </c>
      <c r="Y72" s="345">
        <f>IF($A72="","",IF(OR('Dec 2026'!K30=TRUE,'Dec 2026'!K30="x",'Dec 2026'!K30="X"),1,0))</f>
        <v/>
      </c>
      <c r="Z72" s="345">
        <f>IF($A72="","",IF(OR('Dec 2026'!K31=TRUE,'Dec 2026'!K31="x",'Dec 2026'!K31="X"),1,0))</f>
        <v/>
      </c>
      <c r="AA72" s="345">
        <f>IF($A72="","",IF(OR('Dec 2026'!K32=TRUE,'Dec 2026'!K32="x",'Dec 2026'!K32="X"),1,0))</f>
        <v/>
      </c>
      <c r="AB72" s="345">
        <f>IF($A72="","",IF(OR('Dec 2026'!K34=TRUE,'Dec 2026'!K34="x",'Dec 2026'!K34="X"),1,0))</f>
        <v/>
      </c>
      <c r="AC72" s="345">
        <f>IF($A72="","",IF(OR('Dec 2026'!K35=TRUE,'Dec 2026'!K35="x",'Dec 2026'!K35="X"),1,0))</f>
        <v/>
      </c>
      <c r="AD72" s="345">
        <f>IF($A72="","",IF(OR('Dec 2026'!K36=TRUE,'Dec 2026'!K36="x",'Dec 2026'!K36="X"),1,0))</f>
        <v/>
      </c>
      <c r="AE72" s="345">
        <f>IF($A72="","",IF(OR('Dec 2026'!K37=TRUE,'Dec 2026'!K37="x",'Dec 2026'!K37="X"),1,0))</f>
        <v/>
      </c>
      <c r="AF72" s="345">
        <f>IF($A72="","",IF('Dec 2026'!K59="","",'Dec 2026'!K59))</f>
        <v/>
      </c>
      <c r="AG72" s="345">
        <f>IF($A72="","",IF('Dec 2026'!K60="","",'Dec 2026'!K60))</f>
        <v/>
      </c>
      <c r="AH72" s="345">
        <f>IF($A72="","",IF('Dec 2026'!K61="","",'Dec 2026'!K61))</f>
        <v/>
      </c>
      <c r="AI72" s="345">
        <f>IF($A72="","",IF('Dec 2026'!K62="","",'Dec 2026'!K62))</f>
        <v/>
      </c>
      <c r="AJ72" s="345">
        <f>IF($A72="","",IF('Dec 2026'!K63="","",'Dec 2026'!K63))</f>
        <v/>
      </c>
      <c r="AK72" s="345">
        <f>IF($A72="","",IF('Dec 2026'!K64="","",'Dec 2026'!K64))</f>
        <v/>
      </c>
      <c r="AL72" s="345">
        <f>IF($A72="","",IF('Dec 2026'!K65="","",'Dec 2026'!K65))</f>
        <v/>
      </c>
      <c r="AM72" s="345">
        <f>IF($A72="","",IF('Dec 2026'!K66="","",'Dec 2026'!K66))</f>
        <v/>
      </c>
      <c r="AN72" s="345">
        <f>IF($A72="","",IF('Dec 2026'!K67="","",'Dec 2026'!K67))</f>
        <v/>
      </c>
      <c r="AO72" s="345">
        <f>IF($A72="",0,IF(AND($A72&gt;=TrackStart,$A72&lt;=TODAY()),1,0))</f>
        <v/>
      </c>
      <c r="AP72" s="345">
        <f>IF($A72="",0,IF(SUM(F72:AE72)+COUNT(AF72:AN72)&gt;0,1,0))</f>
        <v/>
      </c>
      <c r="AQ72" s="345">
        <f>IF($A72="","",INT(($A72-TrackStart)/7)+1)</f>
        <v/>
      </c>
      <c r="AR72" s="345">
        <f>IF($A72="","",IF(AQ72&lt;=1,Steps1,IF(AQ72=2,Steps2,Steps3)))</f>
        <v/>
      </c>
      <c r="AS72" s="345">
        <f>IF($A72="",0,IF(ISNUMBER(SEARCH(TEXT(D72,"0"),WorkDays&amp;"")),1,0))</f>
        <v/>
      </c>
      <c r="AT72" s="345">
        <f>IF($A72="",0,IF(ISNUMBER(SEARCH(TEXT(D72,"0"),StrDays&amp;"")),1,0))</f>
        <v/>
      </c>
      <c r="AU72" s="345">
        <f>IF($A72="",0,IF(ISNUMBER(AK72),IF(AK72&gt;=SleepMin,1,0),N72))</f>
        <v/>
      </c>
      <c r="AV72" s="345">
        <f>IF($A72="",0,MAX(I72,O72,S72,AC72))</f>
        <v/>
      </c>
      <c r="AW72" s="345">
        <f>IF($A72="",0,IF(ISNUMBER(AH72),IF(AH72&gt;=ProtHit,1,0),0))</f>
        <v/>
      </c>
      <c r="AX72" s="345">
        <f>IF($A72="",0,IF(ISNUMBER(AI72),IF(AI72&gt;=WaterHit,1,0),0))</f>
        <v/>
      </c>
      <c r="AY72" s="345">
        <f>IF($A72="",0,IF(ISNUMBER(AG72),IF(AG72&gt;=AR72,1,0),0))</f>
        <v/>
      </c>
      <c r="AZ72" s="345">
        <f>IF($A72="",0,G72)</f>
        <v/>
      </c>
      <c r="BA72" s="345">
        <f>IF($A72="",0,J72)</f>
        <v/>
      </c>
      <c r="BB72" s="345">
        <f>IF($A72="",0,K72)</f>
        <v/>
      </c>
      <c r="BC72" s="345">
        <f>IF($A72="",0,MAX(L72,AE72))</f>
        <v/>
      </c>
      <c r="BD72" s="344">
        <f>IF($A72="","",(AU72+AV72+AW72+AX72+AY72+AZ72+BB72+BC72+IF(AS72=1,BA72,0))/(8+AS72))</f>
        <v/>
      </c>
      <c r="BE72" s="344">
        <f>IF($A72="","",(IF(ISNUMBER(AI72),IF(AI72&gt;=WaterMVD,1,0),0)+AV72+IF(ISNUMBER(AH72),IF(AH72&gt;=ProtMVD,1,0),0)+MAX(H72,AD72)+AZ72+BB72+AU72)/7)</f>
        <v/>
      </c>
      <c r="BF72" s="344">
        <f>IF(AO72=0,"",IF(E72="S","",IF(AND(AP72=0,$A72=TODAY()),"",IF(E72="M",BE72,BD72))))</f>
        <v/>
      </c>
      <c r="BG72" s="344">
        <f>IF(AO72=0,"",IFERROR(AVERAGEIFS(Data!$BF$4:$BF$375,Data!$A$4:$A$375,"&gt;"&amp;($A72-7),Data!$A$4:$A$375,"&lt;="&amp;$A72),""))</f>
        <v/>
      </c>
      <c r="BH72" s="344">
        <f>IF(AO72=0,"",IFERROR(AVERAGEIFS(Data!$BF$4:$BF$375,Data!$A$4:$A$375,"&gt;"&amp;($A72-30),Data!$A$4:$A$375,"&lt;="&amp;$A72),""))</f>
        <v/>
      </c>
      <c r="BI72" s="359">
        <f>IF($A72="","",IFERROR(AVERAGEIFS(Data!$AF$4:$AF$375,Data!$A$4:$A$375,"&gt;"&amp;($A72-7),Data!$A$4:$A$375,"&lt;="&amp;$A72,Data!$AF$4:$AF$375,"&gt;0"),""))</f>
        <v/>
      </c>
      <c r="BJ72" s="345">
        <f>IF($A72="","",F72+G72+H72+I72+J72+K72+L72+M72+N72-IF(AS72=1,0,J72))</f>
        <v/>
      </c>
      <c r="BK72" s="345">
        <f>IF($A72="","",8+AS72)</f>
        <v/>
      </c>
      <c r="BL72" s="345">
        <f>IF(ISNUMBER(BF72),BF72,NA())</f>
        <v/>
      </c>
      <c r="BM72" s="345">
        <f>IF(ISNUMBER(AF72),AF72,NA())</f>
        <v/>
      </c>
      <c r="BN72" s="345">
        <f>IF(ISNUMBER(BI72),BI72,NA())</f>
        <v/>
      </c>
      <c r="BO72" s="345">
        <f>IF(ISNUMBER(AL72),AL72,NA())</f>
        <v/>
      </c>
      <c r="BP72" s="345">
        <f>IF(ISNUMBER(AM72),AM72,NA())</f>
        <v/>
      </c>
      <c r="BQ72" s="345">
        <f>IF(ISNUMBER(AN72),AN72,NA())</f>
        <v/>
      </c>
    </row>
    <row r="73">
      <c r="A73" s="358">
        <f>IF('Dec 2026'!L7="","",'Dec 2026'!L7)</f>
        <v/>
      </c>
      <c r="B73" s="345" t="n">
        <v>3</v>
      </c>
      <c r="C73" s="345">
        <f>IF($A73="","",8)</f>
        <v/>
      </c>
      <c r="D73" s="345">
        <f>IF($A73="","",WEEKDAY($A73,2))</f>
        <v/>
      </c>
      <c r="E73" s="345">
        <f>IF($A73="","",UPPER(TRIM('Dec 2026'!L8)))</f>
        <v/>
      </c>
      <c r="F73" s="345">
        <f>IF($A73="","",IF(OR('Dec 2026'!L10=TRUE,'Dec 2026'!L10="x",'Dec 2026'!L10="X"),1,0))</f>
        <v/>
      </c>
      <c r="G73" s="345">
        <f>IF($A73="","",IF(OR('Dec 2026'!L11=TRUE,'Dec 2026'!L11="x",'Dec 2026'!L11="X"),1,0))</f>
        <v/>
      </c>
      <c r="H73" s="345">
        <f>IF($A73="","",IF(OR('Dec 2026'!L12=TRUE,'Dec 2026'!L12="x",'Dec 2026'!L12="X"),1,0))</f>
        <v/>
      </c>
      <c r="I73" s="345">
        <f>IF($A73="","",IF(OR('Dec 2026'!L13=TRUE,'Dec 2026'!L13="x",'Dec 2026'!L13="X"),1,0))</f>
        <v/>
      </c>
      <c r="J73" s="345">
        <f>IF($A73="","",IF(OR('Dec 2026'!L14=TRUE,'Dec 2026'!L14="x",'Dec 2026'!L14="X"),1,0))</f>
        <v/>
      </c>
      <c r="K73" s="345">
        <f>IF($A73="","",IF(OR('Dec 2026'!L15=TRUE,'Dec 2026'!L15="x",'Dec 2026'!L15="X"),1,0))</f>
        <v/>
      </c>
      <c r="L73" s="345">
        <f>IF($A73="","",IF(OR('Dec 2026'!L16=TRUE,'Dec 2026'!L16="x",'Dec 2026'!L16="X"),1,0))</f>
        <v/>
      </c>
      <c r="M73" s="345">
        <f>IF($A73="","",IF(OR('Dec 2026'!L17=TRUE,'Dec 2026'!L17="x",'Dec 2026'!L17="X"),1,0))</f>
        <v/>
      </c>
      <c r="N73" s="345">
        <f>IF($A73="","",IF(OR('Dec 2026'!L18=TRUE,'Dec 2026'!L18="x",'Dec 2026'!L18="X"),1,0))</f>
        <v/>
      </c>
      <c r="O73" s="345">
        <f>IF($A73="","",IF(OR('Dec 2026'!L20=TRUE,'Dec 2026'!L20="x",'Dec 2026'!L20="X"),1,0))</f>
        <v/>
      </c>
      <c r="P73" s="345">
        <f>IF($A73="","",IF(OR('Dec 2026'!L21=TRUE,'Dec 2026'!L21="x",'Dec 2026'!L21="X"),1,0))</f>
        <v/>
      </c>
      <c r="Q73" s="345">
        <f>IF($A73="","",IF(OR('Dec 2026'!L22=TRUE,'Dec 2026'!L22="x",'Dec 2026'!L22="X"),1,0))</f>
        <v/>
      </c>
      <c r="R73" s="345">
        <f>IF($A73="","",IF(OR('Dec 2026'!L23=TRUE,'Dec 2026'!L23="x",'Dec 2026'!L23="X"),1,0))</f>
        <v/>
      </c>
      <c r="S73" s="345">
        <f>IF($A73="","",IF(OR('Dec 2026'!L24=TRUE,'Dec 2026'!L24="x",'Dec 2026'!L24="X"),1,0))</f>
        <v/>
      </c>
      <c r="T73" s="345">
        <f>IF($A73="","",IF(OR('Dec 2026'!L25=TRUE,'Dec 2026'!L25="x",'Dec 2026'!L25="X"),1,0))</f>
        <v/>
      </c>
      <c r="U73" s="345">
        <f>IF($A73="","",IF(OR('Dec 2026'!L26=TRUE,'Dec 2026'!L26="x",'Dec 2026'!L26="X"),1,0))</f>
        <v/>
      </c>
      <c r="V73" s="345">
        <f>IF($A73="","",IF(OR('Dec 2026'!L27=TRUE,'Dec 2026'!L27="x",'Dec 2026'!L27="X"),1,0))</f>
        <v/>
      </c>
      <c r="W73" s="345">
        <f>IF($A73="","",IF(OR('Dec 2026'!L28=TRUE,'Dec 2026'!L28="x",'Dec 2026'!L28="X"),1,0))</f>
        <v/>
      </c>
      <c r="X73" s="345">
        <f>IF($A73="","",IF(OR('Dec 2026'!L29=TRUE,'Dec 2026'!L29="x",'Dec 2026'!L29="X"),1,0))</f>
        <v/>
      </c>
      <c r="Y73" s="345">
        <f>IF($A73="","",IF(OR('Dec 2026'!L30=TRUE,'Dec 2026'!L30="x",'Dec 2026'!L30="X"),1,0))</f>
        <v/>
      </c>
      <c r="Z73" s="345">
        <f>IF($A73="","",IF(OR('Dec 2026'!L31=TRUE,'Dec 2026'!L31="x",'Dec 2026'!L31="X"),1,0))</f>
        <v/>
      </c>
      <c r="AA73" s="345">
        <f>IF($A73="","",IF(OR('Dec 2026'!L32=TRUE,'Dec 2026'!L32="x",'Dec 2026'!L32="X"),1,0))</f>
        <v/>
      </c>
      <c r="AB73" s="345">
        <f>IF($A73="","",IF(OR('Dec 2026'!L34=TRUE,'Dec 2026'!L34="x",'Dec 2026'!L34="X"),1,0))</f>
        <v/>
      </c>
      <c r="AC73" s="345">
        <f>IF($A73="","",IF(OR('Dec 2026'!L35=TRUE,'Dec 2026'!L35="x",'Dec 2026'!L35="X"),1,0))</f>
        <v/>
      </c>
      <c r="AD73" s="345">
        <f>IF($A73="","",IF(OR('Dec 2026'!L36=TRUE,'Dec 2026'!L36="x",'Dec 2026'!L36="X"),1,0))</f>
        <v/>
      </c>
      <c r="AE73" s="345">
        <f>IF($A73="","",IF(OR('Dec 2026'!L37=TRUE,'Dec 2026'!L37="x",'Dec 2026'!L37="X"),1,0))</f>
        <v/>
      </c>
      <c r="AF73" s="345">
        <f>IF($A73="","",IF('Dec 2026'!L59="","",'Dec 2026'!L59))</f>
        <v/>
      </c>
      <c r="AG73" s="345">
        <f>IF($A73="","",IF('Dec 2026'!L60="","",'Dec 2026'!L60))</f>
        <v/>
      </c>
      <c r="AH73" s="345">
        <f>IF($A73="","",IF('Dec 2026'!L61="","",'Dec 2026'!L61))</f>
        <v/>
      </c>
      <c r="AI73" s="345">
        <f>IF($A73="","",IF('Dec 2026'!L62="","",'Dec 2026'!L62))</f>
        <v/>
      </c>
      <c r="AJ73" s="345">
        <f>IF($A73="","",IF('Dec 2026'!L63="","",'Dec 2026'!L63))</f>
        <v/>
      </c>
      <c r="AK73" s="345">
        <f>IF($A73="","",IF('Dec 2026'!L64="","",'Dec 2026'!L64))</f>
        <v/>
      </c>
      <c r="AL73" s="345">
        <f>IF($A73="","",IF('Dec 2026'!L65="","",'Dec 2026'!L65))</f>
        <v/>
      </c>
      <c r="AM73" s="345">
        <f>IF($A73="","",IF('Dec 2026'!L66="","",'Dec 2026'!L66))</f>
        <v/>
      </c>
      <c r="AN73" s="345">
        <f>IF($A73="","",IF('Dec 2026'!L67="","",'Dec 2026'!L67))</f>
        <v/>
      </c>
      <c r="AO73" s="345">
        <f>IF($A73="",0,IF(AND($A73&gt;=TrackStart,$A73&lt;=TODAY()),1,0))</f>
        <v/>
      </c>
      <c r="AP73" s="345">
        <f>IF($A73="",0,IF(SUM(F73:AE73)+COUNT(AF73:AN73)&gt;0,1,0))</f>
        <v/>
      </c>
      <c r="AQ73" s="345">
        <f>IF($A73="","",INT(($A73-TrackStart)/7)+1)</f>
        <v/>
      </c>
      <c r="AR73" s="345">
        <f>IF($A73="","",IF(AQ73&lt;=1,Steps1,IF(AQ73=2,Steps2,Steps3)))</f>
        <v/>
      </c>
      <c r="AS73" s="345">
        <f>IF($A73="",0,IF(ISNUMBER(SEARCH(TEXT(D73,"0"),WorkDays&amp;"")),1,0))</f>
        <v/>
      </c>
      <c r="AT73" s="345">
        <f>IF($A73="",0,IF(ISNUMBER(SEARCH(TEXT(D73,"0"),StrDays&amp;"")),1,0))</f>
        <v/>
      </c>
      <c r="AU73" s="345">
        <f>IF($A73="",0,IF(ISNUMBER(AK73),IF(AK73&gt;=SleepMin,1,0),N73))</f>
        <v/>
      </c>
      <c r="AV73" s="345">
        <f>IF($A73="",0,MAX(I73,O73,S73,AC73))</f>
        <v/>
      </c>
      <c r="AW73" s="345">
        <f>IF($A73="",0,IF(ISNUMBER(AH73),IF(AH73&gt;=ProtHit,1,0),0))</f>
        <v/>
      </c>
      <c r="AX73" s="345">
        <f>IF($A73="",0,IF(ISNUMBER(AI73),IF(AI73&gt;=WaterHit,1,0),0))</f>
        <v/>
      </c>
      <c r="AY73" s="345">
        <f>IF($A73="",0,IF(ISNUMBER(AG73),IF(AG73&gt;=AR73,1,0),0))</f>
        <v/>
      </c>
      <c r="AZ73" s="345">
        <f>IF($A73="",0,G73)</f>
        <v/>
      </c>
      <c r="BA73" s="345">
        <f>IF($A73="",0,J73)</f>
        <v/>
      </c>
      <c r="BB73" s="345">
        <f>IF($A73="",0,K73)</f>
        <v/>
      </c>
      <c r="BC73" s="345">
        <f>IF($A73="",0,MAX(L73,AE73))</f>
        <v/>
      </c>
      <c r="BD73" s="344">
        <f>IF($A73="","",(AU73+AV73+AW73+AX73+AY73+AZ73+BB73+BC73+IF(AS73=1,BA73,0))/(8+AS73))</f>
        <v/>
      </c>
      <c r="BE73" s="344">
        <f>IF($A73="","",(IF(ISNUMBER(AI73),IF(AI73&gt;=WaterMVD,1,0),0)+AV73+IF(ISNUMBER(AH73),IF(AH73&gt;=ProtMVD,1,0),0)+MAX(H73,AD73)+AZ73+BB73+AU73)/7)</f>
        <v/>
      </c>
      <c r="BF73" s="344">
        <f>IF(AO73=0,"",IF(E73="S","",IF(AND(AP73=0,$A73=TODAY()),"",IF(E73="M",BE73,BD73))))</f>
        <v/>
      </c>
      <c r="BG73" s="344">
        <f>IF(AO73=0,"",IFERROR(AVERAGEIFS(Data!$BF$4:$BF$375,Data!$A$4:$A$375,"&gt;"&amp;($A73-7),Data!$A$4:$A$375,"&lt;="&amp;$A73),""))</f>
        <v/>
      </c>
      <c r="BH73" s="344">
        <f>IF(AO73=0,"",IFERROR(AVERAGEIFS(Data!$BF$4:$BF$375,Data!$A$4:$A$375,"&gt;"&amp;($A73-30),Data!$A$4:$A$375,"&lt;="&amp;$A73),""))</f>
        <v/>
      </c>
      <c r="BI73" s="359">
        <f>IF($A73="","",IFERROR(AVERAGEIFS(Data!$AF$4:$AF$375,Data!$A$4:$A$375,"&gt;"&amp;($A73-7),Data!$A$4:$A$375,"&lt;="&amp;$A73,Data!$AF$4:$AF$375,"&gt;0"),""))</f>
        <v/>
      </c>
      <c r="BJ73" s="345">
        <f>IF($A73="","",F73+G73+H73+I73+J73+K73+L73+M73+N73-IF(AS73=1,0,J73))</f>
        <v/>
      </c>
      <c r="BK73" s="345">
        <f>IF($A73="","",8+AS73)</f>
        <v/>
      </c>
      <c r="BL73" s="345">
        <f>IF(ISNUMBER(BF73),BF73,NA())</f>
        <v/>
      </c>
      <c r="BM73" s="345">
        <f>IF(ISNUMBER(AF73),AF73,NA())</f>
        <v/>
      </c>
      <c r="BN73" s="345">
        <f>IF(ISNUMBER(BI73),BI73,NA())</f>
        <v/>
      </c>
      <c r="BO73" s="345">
        <f>IF(ISNUMBER(AL73),AL73,NA())</f>
        <v/>
      </c>
      <c r="BP73" s="345">
        <f>IF(ISNUMBER(AM73),AM73,NA())</f>
        <v/>
      </c>
      <c r="BQ73" s="345">
        <f>IF(ISNUMBER(AN73),AN73,NA())</f>
        <v/>
      </c>
    </row>
    <row r="74">
      <c r="A74" s="358">
        <f>IF('Dec 2026'!M7="","",'Dec 2026'!M7)</f>
        <v/>
      </c>
      <c r="B74" s="345" t="n">
        <v>3</v>
      </c>
      <c r="C74" s="345">
        <f>IF($A74="","",9)</f>
        <v/>
      </c>
      <c r="D74" s="345">
        <f>IF($A74="","",WEEKDAY($A74,2))</f>
        <v/>
      </c>
      <c r="E74" s="345">
        <f>IF($A74="","",UPPER(TRIM('Dec 2026'!M8)))</f>
        <v/>
      </c>
      <c r="F74" s="345">
        <f>IF($A74="","",IF(OR('Dec 2026'!M10=TRUE,'Dec 2026'!M10="x",'Dec 2026'!M10="X"),1,0))</f>
        <v/>
      </c>
      <c r="G74" s="345">
        <f>IF($A74="","",IF(OR('Dec 2026'!M11=TRUE,'Dec 2026'!M11="x",'Dec 2026'!M11="X"),1,0))</f>
        <v/>
      </c>
      <c r="H74" s="345">
        <f>IF($A74="","",IF(OR('Dec 2026'!M12=TRUE,'Dec 2026'!M12="x",'Dec 2026'!M12="X"),1,0))</f>
        <v/>
      </c>
      <c r="I74" s="345">
        <f>IF($A74="","",IF(OR('Dec 2026'!M13=TRUE,'Dec 2026'!M13="x",'Dec 2026'!M13="X"),1,0))</f>
        <v/>
      </c>
      <c r="J74" s="345">
        <f>IF($A74="","",IF(OR('Dec 2026'!M14=TRUE,'Dec 2026'!M14="x",'Dec 2026'!M14="X"),1,0))</f>
        <v/>
      </c>
      <c r="K74" s="345">
        <f>IF($A74="","",IF(OR('Dec 2026'!M15=TRUE,'Dec 2026'!M15="x",'Dec 2026'!M15="X"),1,0))</f>
        <v/>
      </c>
      <c r="L74" s="345">
        <f>IF($A74="","",IF(OR('Dec 2026'!M16=TRUE,'Dec 2026'!M16="x",'Dec 2026'!M16="X"),1,0))</f>
        <v/>
      </c>
      <c r="M74" s="345">
        <f>IF($A74="","",IF(OR('Dec 2026'!M17=TRUE,'Dec 2026'!M17="x",'Dec 2026'!M17="X"),1,0))</f>
        <v/>
      </c>
      <c r="N74" s="345">
        <f>IF($A74="","",IF(OR('Dec 2026'!M18=TRUE,'Dec 2026'!M18="x",'Dec 2026'!M18="X"),1,0))</f>
        <v/>
      </c>
      <c r="O74" s="345">
        <f>IF($A74="","",IF(OR('Dec 2026'!M20=TRUE,'Dec 2026'!M20="x",'Dec 2026'!M20="X"),1,0))</f>
        <v/>
      </c>
      <c r="P74" s="345">
        <f>IF($A74="","",IF(OR('Dec 2026'!M21=TRUE,'Dec 2026'!M21="x",'Dec 2026'!M21="X"),1,0))</f>
        <v/>
      </c>
      <c r="Q74" s="345">
        <f>IF($A74="","",IF(OR('Dec 2026'!M22=TRUE,'Dec 2026'!M22="x",'Dec 2026'!M22="X"),1,0))</f>
        <v/>
      </c>
      <c r="R74" s="345">
        <f>IF($A74="","",IF(OR('Dec 2026'!M23=TRUE,'Dec 2026'!M23="x",'Dec 2026'!M23="X"),1,0))</f>
        <v/>
      </c>
      <c r="S74" s="345">
        <f>IF($A74="","",IF(OR('Dec 2026'!M24=TRUE,'Dec 2026'!M24="x",'Dec 2026'!M24="X"),1,0))</f>
        <v/>
      </c>
      <c r="T74" s="345">
        <f>IF($A74="","",IF(OR('Dec 2026'!M25=TRUE,'Dec 2026'!M25="x",'Dec 2026'!M25="X"),1,0))</f>
        <v/>
      </c>
      <c r="U74" s="345">
        <f>IF($A74="","",IF(OR('Dec 2026'!M26=TRUE,'Dec 2026'!M26="x",'Dec 2026'!M26="X"),1,0))</f>
        <v/>
      </c>
      <c r="V74" s="345">
        <f>IF($A74="","",IF(OR('Dec 2026'!M27=TRUE,'Dec 2026'!M27="x",'Dec 2026'!M27="X"),1,0))</f>
        <v/>
      </c>
      <c r="W74" s="345">
        <f>IF($A74="","",IF(OR('Dec 2026'!M28=TRUE,'Dec 2026'!M28="x",'Dec 2026'!M28="X"),1,0))</f>
        <v/>
      </c>
      <c r="X74" s="345">
        <f>IF($A74="","",IF(OR('Dec 2026'!M29=TRUE,'Dec 2026'!M29="x",'Dec 2026'!M29="X"),1,0))</f>
        <v/>
      </c>
      <c r="Y74" s="345">
        <f>IF($A74="","",IF(OR('Dec 2026'!M30=TRUE,'Dec 2026'!M30="x",'Dec 2026'!M30="X"),1,0))</f>
        <v/>
      </c>
      <c r="Z74" s="345">
        <f>IF($A74="","",IF(OR('Dec 2026'!M31=TRUE,'Dec 2026'!M31="x",'Dec 2026'!M31="X"),1,0))</f>
        <v/>
      </c>
      <c r="AA74" s="345">
        <f>IF($A74="","",IF(OR('Dec 2026'!M32=TRUE,'Dec 2026'!M32="x",'Dec 2026'!M32="X"),1,0))</f>
        <v/>
      </c>
      <c r="AB74" s="345">
        <f>IF($A74="","",IF(OR('Dec 2026'!M34=TRUE,'Dec 2026'!M34="x",'Dec 2026'!M34="X"),1,0))</f>
        <v/>
      </c>
      <c r="AC74" s="345">
        <f>IF($A74="","",IF(OR('Dec 2026'!M35=TRUE,'Dec 2026'!M35="x",'Dec 2026'!M35="X"),1,0))</f>
        <v/>
      </c>
      <c r="AD74" s="345">
        <f>IF($A74="","",IF(OR('Dec 2026'!M36=TRUE,'Dec 2026'!M36="x",'Dec 2026'!M36="X"),1,0))</f>
        <v/>
      </c>
      <c r="AE74" s="345">
        <f>IF($A74="","",IF(OR('Dec 2026'!M37=TRUE,'Dec 2026'!M37="x",'Dec 2026'!M37="X"),1,0))</f>
        <v/>
      </c>
      <c r="AF74" s="345">
        <f>IF($A74="","",IF('Dec 2026'!M59="","",'Dec 2026'!M59))</f>
        <v/>
      </c>
      <c r="AG74" s="345">
        <f>IF($A74="","",IF('Dec 2026'!M60="","",'Dec 2026'!M60))</f>
        <v/>
      </c>
      <c r="AH74" s="345">
        <f>IF($A74="","",IF('Dec 2026'!M61="","",'Dec 2026'!M61))</f>
        <v/>
      </c>
      <c r="AI74" s="345">
        <f>IF($A74="","",IF('Dec 2026'!M62="","",'Dec 2026'!M62))</f>
        <v/>
      </c>
      <c r="AJ74" s="345">
        <f>IF($A74="","",IF('Dec 2026'!M63="","",'Dec 2026'!M63))</f>
        <v/>
      </c>
      <c r="AK74" s="345">
        <f>IF($A74="","",IF('Dec 2026'!M64="","",'Dec 2026'!M64))</f>
        <v/>
      </c>
      <c r="AL74" s="345">
        <f>IF($A74="","",IF('Dec 2026'!M65="","",'Dec 2026'!M65))</f>
        <v/>
      </c>
      <c r="AM74" s="345">
        <f>IF($A74="","",IF('Dec 2026'!M66="","",'Dec 2026'!M66))</f>
        <v/>
      </c>
      <c r="AN74" s="345">
        <f>IF($A74="","",IF('Dec 2026'!M67="","",'Dec 2026'!M67))</f>
        <v/>
      </c>
      <c r="AO74" s="345">
        <f>IF($A74="",0,IF(AND($A74&gt;=TrackStart,$A74&lt;=TODAY()),1,0))</f>
        <v/>
      </c>
      <c r="AP74" s="345">
        <f>IF($A74="",0,IF(SUM(F74:AE74)+COUNT(AF74:AN74)&gt;0,1,0))</f>
        <v/>
      </c>
      <c r="AQ74" s="345">
        <f>IF($A74="","",INT(($A74-TrackStart)/7)+1)</f>
        <v/>
      </c>
      <c r="AR74" s="345">
        <f>IF($A74="","",IF(AQ74&lt;=1,Steps1,IF(AQ74=2,Steps2,Steps3)))</f>
        <v/>
      </c>
      <c r="AS74" s="345">
        <f>IF($A74="",0,IF(ISNUMBER(SEARCH(TEXT(D74,"0"),WorkDays&amp;"")),1,0))</f>
        <v/>
      </c>
      <c r="AT74" s="345">
        <f>IF($A74="",0,IF(ISNUMBER(SEARCH(TEXT(D74,"0"),StrDays&amp;"")),1,0))</f>
        <v/>
      </c>
      <c r="AU74" s="345">
        <f>IF($A74="",0,IF(ISNUMBER(AK74),IF(AK74&gt;=SleepMin,1,0),N74))</f>
        <v/>
      </c>
      <c r="AV74" s="345">
        <f>IF($A74="",0,MAX(I74,O74,S74,AC74))</f>
        <v/>
      </c>
      <c r="AW74" s="345">
        <f>IF($A74="",0,IF(ISNUMBER(AH74),IF(AH74&gt;=ProtHit,1,0),0))</f>
        <v/>
      </c>
      <c r="AX74" s="345">
        <f>IF($A74="",0,IF(ISNUMBER(AI74),IF(AI74&gt;=WaterHit,1,0),0))</f>
        <v/>
      </c>
      <c r="AY74" s="345">
        <f>IF($A74="",0,IF(ISNUMBER(AG74),IF(AG74&gt;=AR74,1,0),0))</f>
        <v/>
      </c>
      <c r="AZ74" s="345">
        <f>IF($A74="",0,G74)</f>
        <v/>
      </c>
      <c r="BA74" s="345">
        <f>IF($A74="",0,J74)</f>
        <v/>
      </c>
      <c r="BB74" s="345">
        <f>IF($A74="",0,K74)</f>
        <v/>
      </c>
      <c r="BC74" s="345">
        <f>IF($A74="",0,MAX(L74,AE74))</f>
        <v/>
      </c>
      <c r="BD74" s="344">
        <f>IF($A74="","",(AU74+AV74+AW74+AX74+AY74+AZ74+BB74+BC74+IF(AS74=1,BA74,0))/(8+AS74))</f>
        <v/>
      </c>
      <c r="BE74" s="344">
        <f>IF($A74="","",(IF(ISNUMBER(AI74),IF(AI74&gt;=WaterMVD,1,0),0)+AV74+IF(ISNUMBER(AH74),IF(AH74&gt;=ProtMVD,1,0),0)+MAX(H74,AD74)+AZ74+BB74+AU74)/7)</f>
        <v/>
      </c>
      <c r="BF74" s="344">
        <f>IF(AO74=0,"",IF(E74="S","",IF(AND(AP74=0,$A74=TODAY()),"",IF(E74="M",BE74,BD74))))</f>
        <v/>
      </c>
      <c r="BG74" s="344">
        <f>IF(AO74=0,"",IFERROR(AVERAGEIFS(Data!$BF$4:$BF$375,Data!$A$4:$A$375,"&gt;"&amp;($A74-7),Data!$A$4:$A$375,"&lt;="&amp;$A74),""))</f>
        <v/>
      </c>
      <c r="BH74" s="344">
        <f>IF(AO74=0,"",IFERROR(AVERAGEIFS(Data!$BF$4:$BF$375,Data!$A$4:$A$375,"&gt;"&amp;($A74-30),Data!$A$4:$A$375,"&lt;="&amp;$A74),""))</f>
        <v/>
      </c>
      <c r="BI74" s="359">
        <f>IF($A74="","",IFERROR(AVERAGEIFS(Data!$AF$4:$AF$375,Data!$A$4:$A$375,"&gt;"&amp;($A74-7),Data!$A$4:$A$375,"&lt;="&amp;$A74,Data!$AF$4:$AF$375,"&gt;0"),""))</f>
        <v/>
      </c>
      <c r="BJ74" s="345">
        <f>IF($A74="","",F74+G74+H74+I74+J74+K74+L74+M74+N74-IF(AS74=1,0,J74))</f>
        <v/>
      </c>
      <c r="BK74" s="345">
        <f>IF($A74="","",8+AS74)</f>
        <v/>
      </c>
      <c r="BL74" s="345">
        <f>IF(ISNUMBER(BF74),BF74,NA())</f>
        <v/>
      </c>
      <c r="BM74" s="345">
        <f>IF(ISNUMBER(AF74),AF74,NA())</f>
        <v/>
      </c>
      <c r="BN74" s="345">
        <f>IF(ISNUMBER(BI74),BI74,NA())</f>
        <v/>
      </c>
      <c r="BO74" s="345">
        <f>IF(ISNUMBER(AL74),AL74,NA())</f>
        <v/>
      </c>
      <c r="BP74" s="345">
        <f>IF(ISNUMBER(AM74),AM74,NA())</f>
        <v/>
      </c>
      <c r="BQ74" s="345">
        <f>IF(ISNUMBER(AN74),AN74,NA())</f>
        <v/>
      </c>
    </row>
    <row r="75">
      <c r="A75" s="358">
        <f>IF('Dec 2026'!N7="","",'Dec 2026'!N7)</f>
        <v/>
      </c>
      <c r="B75" s="345" t="n">
        <v>3</v>
      </c>
      <c r="C75" s="345">
        <f>IF($A75="","",10)</f>
        <v/>
      </c>
      <c r="D75" s="345">
        <f>IF($A75="","",WEEKDAY($A75,2))</f>
        <v/>
      </c>
      <c r="E75" s="345">
        <f>IF($A75="","",UPPER(TRIM('Dec 2026'!N8)))</f>
        <v/>
      </c>
      <c r="F75" s="345">
        <f>IF($A75="","",IF(OR('Dec 2026'!N10=TRUE,'Dec 2026'!N10="x",'Dec 2026'!N10="X"),1,0))</f>
        <v/>
      </c>
      <c r="G75" s="345">
        <f>IF($A75="","",IF(OR('Dec 2026'!N11=TRUE,'Dec 2026'!N11="x",'Dec 2026'!N11="X"),1,0))</f>
        <v/>
      </c>
      <c r="H75" s="345">
        <f>IF($A75="","",IF(OR('Dec 2026'!N12=TRUE,'Dec 2026'!N12="x",'Dec 2026'!N12="X"),1,0))</f>
        <v/>
      </c>
      <c r="I75" s="345">
        <f>IF($A75="","",IF(OR('Dec 2026'!N13=TRUE,'Dec 2026'!N13="x",'Dec 2026'!N13="X"),1,0))</f>
        <v/>
      </c>
      <c r="J75" s="345">
        <f>IF($A75="","",IF(OR('Dec 2026'!N14=TRUE,'Dec 2026'!N14="x",'Dec 2026'!N14="X"),1,0))</f>
        <v/>
      </c>
      <c r="K75" s="345">
        <f>IF($A75="","",IF(OR('Dec 2026'!N15=TRUE,'Dec 2026'!N15="x",'Dec 2026'!N15="X"),1,0))</f>
        <v/>
      </c>
      <c r="L75" s="345">
        <f>IF($A75="","",IF(OR('Dec 2026'!N16=TRUE,'Dec 2026'!N16="x",'Dec 2026'!N16="X"),1,0))</f>
        <v/>
      </c>
      <c r="M75" s="345">
        <f>IF($A75="","",IF(OR('Dec 2026'!N17=TRUE,'Dec 2026'!N17="x",'Dec 2026'!N17="X"),1,0))</f>
        <v/>
      </c>
      <c r="N75" s="345">
        <f>IF($A75="","",IF(OR('Dec 2026'!N18=TRUE,'Dec 2026'!N18="x",'Dec 2026'!N18="X"),1,0))</f>
        <v/>
      </c>
      <c r="O75" s="345">
        <f>IF($A75="","",IF(OR('Dec 2026'!N20=TRUE,'Dec 2026'!N20="x",'Dec 2026'!N20="X"),1,0))</f>
        <v/>
      </c>
      <c r="P75" s="345">
        <f>IF($A75="","",IF(OR('Dec 2026'!N21=TRUE,'Dec 2026'!N21="x",'Dec 2026'!N21="X"),1,0))</f>
        <v/>
      </c>
      <c r="Q75" s="345">
        <f>IF($A75="","",IF(OR('Dec 2026'!N22=TRUE,'Dec 2026'!N22="x",'Dec 2026'!N22="X"),1,0))</f>
        <v/>
      </c>
      <c r="R75" s="345">
        <f>IF($A75="","",IF(OR('Dec 2026'!N23=TRUE,'Dec 2026'!N23="x",'Dec 2026'!N23="X"),1,0))</f>
        <v/>
      </c>
      <c r="S75" s="345">
        <f>IF($A75="","",IF(OR('Dec 2026'!N24=TRUE,'Dec 2026'!N24="x",'Dec 2026'!N24="X"),1,0))</f>
        <v/>
      </c>
      <c r="T75" s="345">
        <f>IF($A75="","",IF(OR('Dec 2026'!N25=TRUE,'Dec 2026'!N25="x",'Dec 2026'!N25="X"),1,0))</f>
        <v/>
      </c>
      <c r="U75" s="345">
        <f>IF($A75="","",IF(OR('Dec 2026'!N26=TRUE,'Dec 2026'!N26="x",'Dec 2026'!N26="X"),1,0))</f>
        <v/>
      </c>
      <c r="V75" s="345">
        <f>IF($A75="","",IF(OR('Dec 2026'!N27=TRUE,'Dec 2026'!N27="x",'Dec 2026'!N27="X"),1,0))</f>
        <v/>
      </c>
      <c r="W75" s="345">
        <f>IF($A75="","",IF(OR('Dec 2026'!N28=TRUE,'Dec 2026'!N28="x",'Dec 2026'!N28="X"),1,0))</f>
        <v/>
      </c>
      <c r="X75" s="345">
        <f>IF($A75="","",IF(OR('Dec 2026'!N29=TRUE,'Dec 2026'!N29="x",'Dec 2026'!N29="X"),1,0))</f>
        <v/>
      </c>
      <c r="Y75" s="345">
        <f>IF($A75="","",IF(OR('Dec 2026'!N30=TRUE,'Dec 2026'!N30="x",'Dec 2026'!N30="X"),1,0))</f>
        <v/>
      </c>
      <c r="Z75" s="345">
        <f>IF($A75="","",IF(OR('Dec 2026'!N31=TRUE,'Dec 2026'!N31="x",'Dec 2026'!N31="X"),1,0))</f>
        <v/>
      </c>
      <c r="AA75" s="345">
        <f>IF($A75="","",IF(OR('Dec 2026'!N32=TRUE,'Dec 2026'!N32="x",'Dec 2026'!N32="X"),1,0))</f>
        <v/>
      </c>
      <c r="AB75" s="345">
        <f>IF($A75="","",IF(OR('Dec 2026'!N34=TRUE,'Dec 2026'!N34="x",'Dec 2026'!N34="X"),1,0))</f>
        <v/>
      </c>
      <c r="AC75" s="345">
        <f>IF($A75="","",IF(OR('Dec 2026'!N35=TRUE,'Dec 2026'!N35="x",'Dec 2026'!N35="X"),1,0))</f>
        <v/>
      </c>
      <c r="AD75" s="345">
        <f>IF($A75="","",IF(OR('Dec 2026'!N36=TRUE,'Dec 2026'!N36="x",'Dec 2026'!N36="X"),1,0))</f>
        <v/>
      </c>
      <c r="AE75" s="345">
        <f>IF($A75="","",IF(OR('Dec 2026'!N37=TRUE,'Dec 2026'!N37="x",'Dec 2026'!N37="X"),1,0))</f>
        <v/>
      </c>
      <c r="AF75" s="345">
        <f>IF($A75="","",IF('Dec 2026'!N59="","",'Dec 2026'!N59))</f>
        <v/>
      </c>
      <c r="AG75" s="345">
        <f>IF($A75="","",IF('Dec 2026'!N60="","",'Dec 2026'!N60))</f>
        <v/>
      </c>
      <c r="AH75" s="345">
        <f>IF($A75="","",IF('Dec 2026'!N61="","",'Dec 2026'!N61))</f>
        <v/>
      </c>
      <c r="AI75" s="345">
        <f>IF($A75="","",IF('Dec 2026'!N62="","",'Dec 2026'!N62))</f>
        <v/>
      </c>
      <c r="AJ75" s="345">
        <f>IF($A75="","",IF('Dec 2026'!N63="","",'Dec 2026'!N63))</f>
        <v/>
      </c>
      <c r="AK75" s="345">
        <f>IF($A75="","",IF('Dec 2026'!N64="","",'Dec 2026'!N64))</f>
        <v/>
      </c>
      <c r="AL75" s="345">
        <f>IF($A75="","",IF('Dec 2026'!N65="","",'Dec 2026'!N65))</f>
        <v/>
      </c>
      <c r="AM75" s="345">
        <f>IF($A75="","",IF('Dec 2026'!N66="","",'Dec 2026'!N66))</f>
        <v/>
      </c>
      <c r="AN75" s="345">
        <f>IF($A75="","",IF('Dec 2026'!N67="","",'Dec 2026'!N67))</f>
        <v/>
      </c>
      <c r="AO75" s="345">
        <f>IF($A75="",0,IF(AND($A75&gt;=TrackStart,$A75&lt;=TODAY()),1,0))</f>
        <v/>
      </c>
      <c r="AP75" s="345">
        <f>IF($A75="",0,IF(SUM(F75:AE75)+COUNT(AF75:AN75)&gt;0,1,0))</f>
        <v/>
      </c>
      <c r="AQ75" s="345">
        <f>IF($A75="","",INT(($A75-TrackStart)/7)+1)</f>
        <v/>
      </c>
      <c r="AR75" s="345">
        <f>IF($A75="","",IF(AQ75&lt;=1,Steps1,IF(AQ75=2,Steps2,Steps3)))</f>
        <v/>
      </c>
      <c r="AS75" s="345">
        <f>IF($A75="",0,IF(ISNUMBER(SEARCH(TEXT(D75,"0"),WorkDays&amp;"")),1,0))</f>
        <v/>
      </c>
      <c r="AT75" s="345">
        <f>IF($A75="",0,IF(ISNUMBER(SEARCH(TEXT(D75,"0"),StrDays&amp;"")),1,0))</f>
        <v/>
      </c>
      <c r="AU75" s="345">
        <f>IF($A75="",0,IF(ISNUMBER(AK75),IF(AK75&gt;=SleepMin,1,0),N75))</f>
        <v/>
      </c>
      <c r="AV75" s="345">
        <f>IF($A75="",0,MAX(I75,O75,S75,AC75))</f>
        <v/>
      </c>
      <c r="AW75" s="345">
        <f>IF($A75="",0,IF(ISNUMBER(AH75),IF(AH75&gt;=ProtHit,1,0),0))</f>
        <v/>
      </c>
      <c r="AX75" s="345">
        <f>IF($A75="",0,IF(ISNUMBER(AI75),IF(AI75&gt;=WaterHit,1,0),0))</f>
        <v/>
      </c>
      <c r="AY75" s="345">
        <f>IF($A75="",0,IF(ISNUMBER(AG75),IF(AG75&gt;=AR75,1,0),0))</f>
        <v/>
      </c>
      <c r="AZ75" s="345">
        <f>IF($A75="",0,G75)</f>
        <v/>
      </c>
      <c r="BA75" s="345">
        <f>IF($A75="",0,J75)</f>
        <v/>
      </c>
      <c r="BB75" s="345">
        <f>IF($A75="",0,K75)</f>
        <v/>
      </c>
      <c r="BC75" s="345">
        <f>IF($A75="",0,MAX(L75,AE75))</f>
        <v/>
      </c>
      <c r="BD75" s="344">
        <f>IF($A75="","",(AU75+AV75+AW75+AX75+AY75+AZ75+BB75+BC75+IF(AS75=1,BA75,0))/(8+AS75))</f>
        <v/>
      </c>
      <c r="BE75" s="344">
        <f>IF($A75="","",(IF(ISNUMBER(AI75),IF(AI75&gt;=WaterMVD,1,0),0)+AV75+IF(ISNUMBER(AH75),IF(AH75&gt;=ProtMVD,1,0),0)+MAX(H75,AD75)+AZ75+BB75+AU75)/7)</f>
        <v/>
      </c>
      <c r="BF75" s="344">
        <f>IF(AO75=0,"",IF(E75="S","",IF(AND(AP75=0,$A75=TODAY()),"",IF(E75="M",BE75,BD75))))</f>
        <v/>
      </c>
      <c r="BG75" s="344">
        <f>IF(AO75=0,"",IFERROR(AVERAGEIFS(Data!$BF$4:$BF$375,Data!$A$4:$A$375,"&gt;"&amp;($A75-7),Data!$A$4:$A$375,"&lt;="&amp;$A75),""))</f>
        <v/>
      </c>
      <c r="BH75" s="344">
        <f>IF(AO75=0,"",IFERROR(AVERAGEIFS(Data!$BF$4:$BF$375,Data!$A$4:$A$375,"&gt;"&amp;($A75-30),Data!$A$4:$A$375,"&lt;="&amp;$A75),""))</f>
        <v/>
      </c>
      <c r="BI75" s="359">
        <f>IF($A75="","",IFERROR(AVERAGEIFS(Data!$AF$4:$AF$375,Data!$A$4:$A$375,"&gt;"&amp;($A75-7),Data!$A$4:$A$375,"&lt;="&amp;$A75,Data!$AF$4:$AF$375,"&gt;0"),""))</f>
        <v/>
      </c>
      <c r="BJ75" s="345">
        <f>IF($A75="","",F75+G75+H75+I75+J75+K75+L75+M75+N75-IF(AS75=1,0,J75))</f>
        <v/>
      </c>
      <c r="BK75" s="345">
        <f>IF($A75="","",8+AS75)</f>
        <v/>
      </c>
      <c r="BL75" s="345">
        <f>IF(ISNUMBER(BF75),BF75,NA())</f>
        <v/>
      </c>
      <c r="BM75" s="345">
        <f>IF(ISNUMBER(AF75),AF75,NA())</f>
        <v/>
      </c>
      <c r="BN75" s="345">
        <f>IF(ISNUMBER(BI75),BI75,NA())</f>
        <v/>
      </c>
      <c r="BO75" s="345">
        <f>IF(ISNUMBER(AL75),AL75,NA())</f>
        <v/>
      </c>
      <c r="BP75" s="345">
        <f>IF(ISNUMBER(AM75),AM75,NA())</f>
        <v/>
      </c>
      <c r="BQ75" s="345">
        <f>IF(ISNUMBER(AN75),AN75,NA())</f>
        <v/>
      </c>
    </row>
    <row r="76">
      <c r="A76" s="358">
        <f>IF('Dec 2026'!O7="","",'Dec 2026'!O7)</f>
        <v/>
      </c>
      <c r="B76" s="345" t="n">
        <v>3</v>
      </c>
      <c r="C76" s="345">
        <f>IF($A76="","",11)</f>
        <v/>
      </c>
      <c r="D76" s="345">
        <f>IF($A76="","",WEEKDAY($A76,2))</f>
        <v/>
      </c>
      <c r="E76" s="345">
        <f>IF($A76="","",UPPER(TRIM('Dec 2026'!O8)))</f>
        <v/>
      </c>
      <c r="F76" s="345">
        <f>IF($A76="","",IF(OR('Dec 2026'!O10=TRUE,'Dec 2026'!O10="x",'Dec 2026'!O10="X"),1,0))</f>
        <v/>
      </c>
      <c r="G76" s="345">
        <f>IF($A76="","",IF(OR('Dec 2026'!O11=TRUE,'Dec 2026'!O11="x",'Dec 2026'!O11="X"),1,0))</f>
        <v/>
      </c>
      <c r="H76" s="345">
        <f>IF($A76="","",IF(OR('Dec 2026'!O12=TRUE,'Dec 2026'!O12="x",'Dec 2026'!O12="X"),1,0))</f>
        <v/>
      </c>
      <c r="I76" s="345">
        <f>IF($A76="","",IF(OR('Dec 2026'!O13=TRUE,'Dec 2026'!O13="x",'Dec 2026'!O13="X"),1,0))</f>
        <v/>
      </c>
      <c r="J76" s="345">
        <f>IF($A76="","",IF(OR('Dec 2026'!O14=TRUE,'Dec 2026'!O14="x",'Dec 2026'!O14="X"),1,0))</f>
        <v/>
      </c>
      <c r="K76" s="345">
        <f>IF($A76="","",IF(OR('Dec 2026'!O15=TRUE,'Dec 2026'!O15="x",'Dec 2026'!O15="X"),1,0))</f>
        <v/>
      </c>
      <c r="L76" s="345">
        <f>IF($A76="","",IF(OR('Dec 2026'!O16=TRUE,'Dec 2026'!O16="x",'Dec 2026'!O16="X"),1,0))</f>
        <v/>
      </c>
      <c r="M76" s="345">
        <f>IF($A76="","",IF(OR('Dec 2026'!O17=TRUE,'Dec 2026'!O17="x",'Dec 2026'!O17="X"),1,0))</f>
        <v/>
      </c>
      <c r="N76" s="345">
        <f>IF($A76="","",IF(OR('Dec 2026'!O18=TRUE,'Dec 2026'!O18="x",'Dec 2026'!O18="X"),1,0))</f>
        <v/>
      </c>
      <c r="O76" s="345">
        <f>IF($A76="","",IF(OR('Dec 2026'!O20=TRUE,'Dec 2026'!O20="x",'Dec 2026'!O20="X"),1,0))</f>
        <v/>
      </c>
      <c r="P76" s="345">
        <f>IF($A76="","",IF(OR('Dec 2026'!O21=TRUE,'Dec 2026'!O21="x",'Dec 2026'!O21="X"),1,0))</f>
        <v/>
      </c>
      <c r="Q76" s="345">
        <f>IF($A76="","",IF(OR('Dec 2026'!O22=TRUE,'Dec 2026'!O22="x",'Dec 2026'!O22="X"),1,0))</f>
        <v/>
      </c>
      <c r="R76" s="345">
        <f>IF($A76="","",IF(OR('Dec 2026'!O23=TRUE,'Dec 2026'!O23="x",'Dec 2026'!O23="X"),1,0))</f>
        <v/>
      </c>
      <c r="S76" s="345">
        <f>IF($A76="","",IF(OR('Dec 2026'!O24=TRUE,'Dec 2026'!O24="x",'Dec 2026'!O24="X"),1,0))</f>
        <v/>
      </c>
      <c r="T76" s="345">
        <f>IF($A76="","",IF(OR('Dec 2026'!O25=TRUE,'Dec 2026'!O25="x",'Dec 2026'!O25="X"),1,0))</f>
        <v/>
      </c>
      <c r="U76" s="345">
        <f>IF($A76="","",IF(OR('Dec 2026'!O26=TRUE,'Dec 2026'!O26="x",'Dec 2026'!O26="X"),1,0))</f>
        <v/>
      </c>
      <c r="V76" s="345">
        <f>IF($A76="","",IF(OR('Dec 2026'!O27=TRUE,'Dec 2026'!O27="x",'Dec 2026'!O27="X"),1,0))</f>
        <v/>
      </c>
      <c r="W76" s="345">
        <f>IF($A76="","",IF(OR('Dec 2026'!O28=TRUE,'Dec 2026'!O28="x",'Dec 2026'!O28="X"),1,0))</f>
        <v/>
      </c>
      <c r="X76" s="345">
        <f>IF($A76="","",IF(OR('Dec 2026'!O29=TRUE,'Dec 2026'!O29="x",'Dec 2026'!O29="X"),1,0))</f>
        <v/>
      </c>
      <c r="Y76" s="345">
        <f>IF($A76="","",IF(OR('Dec 2026'!O30=TRUE,'Dec 2026'!O30="x",'Dec 2026'!O30="X"),1,0))</f>
        <v/>
      </c>
      <c r="Z76" s="345">
        <f>IF($A76="","",IF(OR('Dec 2026'!O31=TRUE,'Dec 2026'!O31="x",'Dec 2026'!O31="X"),1,0))</f>
        <v/>
      </c>
      <c r="AA76" s="345">
        <f>IF($A76="","",IF(OR('Dec 2026'!O32=TRUE,'Dec 2026'!O32="x",'Dec 2026'!O32="X"),1,0))</f>
        <v/>
      </c>
      <c r="AB76" s="345">
        <f>IF($A76="","",IF(OR('Dec 2026'!O34=TRUE,'Dec 2026'!O34="x",'Dec 2026'!O34="X"),1,0))</f>
        <v/>
      </c>
      <c r="AC76" s="345">
        <f>IF($A76="","",IF(OR('Dec 2026'!O35=TRUE,'Dec 2026'!O35="x",'Dec 2026'!O35="X"),1,0))</f>
        <v/>
      </c>
      <c r="AD76" s="345">
        <f>IF($A76="","",IF(OR('Dec 2026'!O36=TRUE,'Dec 2026'!O36="x",'Dec 2026'!O36="X"),1,0))</f>
        <v/>
      </c>
      <c r="AE76" s="345">
        <f>IF($A76="","",IF(OR('Dec 2026'!O37=TRUE,'Dec 2026'!O37="x",'Dec 2026'!O37="X"),1,0))</f>
        <v/>
      </c>
      <c r="AF76" s="345">
        <f>IF($A76="","",IF('Dec 2026'!O59="","",'Dec 2026'!O59))</f>
        <v/>
      </c>
      <c r="AG76" s="345">
        <f>IF($A76="","",IF('Dec 2026'!O60="","",'Dec 2026'!O60))</f>
        <v/>
      </c>
      <c r="AH76" s="345">
        <f>IF($A76="","",IF('Dec 2026'!O61="","",'Dec 2026'!O61))</f>
        <v/>
      </c>
      <c r="AI76" s="345">
        <f>IF($A76="","",IF('Dec 2026'!O62="","",'Dec 2026'!O62))</f>
        <v/>
      </c>
      <c r="AJ76" s="345">
        <f>IF($A76="","",IF('Dec 2026'!O63="","",'Dec 2026'!O63))</f>
        <v/>
      </c>
      <c r="AK76" s="345">
        <f>IF($A76="","",IF('Dec 2026'!O64="","",'Dec 2026'!O64))</f>
        <v/>
      </c>
      <c r="AL76" s="345">
        <f>IF($A76="","",IF('Dec 2026'!O65="","",'Dec 2026'!O65))</f>
        <v/>
      </c>
      <c r="AM76" s="345">
        <f>IF($A76="","",IF('Dec 2026'!O66="","",'Dec 2026'!O66))</f>
        <v/>
      </c>
      <c r="AN76" s="345">
        <f>IF($A76="","",IF('Dec 2026'!O67="","",'Dec 2026'!O67))</f>
        <v/>
      </c>
      <c r="AO76" s="345">
        <f>IF($A76="",0,IF(AND($A76&gt;=TrackStart,$A76&lt;=TODAY()),1,0))</f>
        <v/>
      </c>
      <c r="AP76" s="345">
        <f>IF($A76="",0,IF(SUM(F76:AE76)+COUNT(AF76:AN76)&gt;0,1,0))</f>
        <v/>
      </c>
      <c r="AQ76" s="345">
        <f>IF($A76="","",INT(($A76-TrackStart)/7)+1)</f>
        <v/>
      </c>
      <c r="AR76" s="345">
        <f>IF($A76="","",IF(AQ76&lt;=1,Steps1,IF(AQ76=2,Steps2,Steps3)))</f>
        <v/>
      </c>
      <c r="AS76" s="345">
        <f>IF($A76="",0,IF(ISNUMBER(SEARCH(TEXT(D76,"0"),WorkDays&amp;"")),1,0))</f>
        <v/>
      </c>
      <c r="AT76" s="345">
        <f>IF($A76="",0,IF(ISNUMBER(SEARCH(TEXT(D76,"0"),StrDays&amp;"")),1,0))</f>
        <v/>
      </c>
      <c r="AU76" s="345">
        <f>IF($A76="",0,IF(ISNUMBER(AK76),IF(AK76&gt;=SleepMin,1,0),N76))</f>
        <v/>
      </c>
      <c r="AV76" s="345">
        <f>IF($A76="",0,MAX(I76,O76,S76,AC76))</f>
        <v/>
      </c>
      <c r="AW76" s="345">
        <f>IF($A76="",0,IF(ISNUMBER(AH76),IF(AH76&gt;=ProtHit,1,0),0))</f>
        <v/>
      </c>
      <c r="AX76" s="345">
        <f>IF($A76="",0,IF(ISNUMBER(AI76),IF(AI76&gt;=WaterHit,1,0),0))</f>
        <v/>
      </c>
      <c r="AY76" s="345">
        <f>IF($A76="",0,IF(ISNUMBER(AG76),IF(AG76&gt;=AR76,1,0),0))</f>
        <v/>
      </c>
      <c r="AZ76" s="345">
        <f>IF($A76="",0,G76)</f>
        <v/>
      </c>
      <c r="BA76" s="345">
        <f>IF($A76="",0,J76)</f>
        <v/>
      </c>
      <c r="BB76" s="345">
        <f>IF($A76="",0,K76)</f>
        <v/>
      </c>
      <c r="BC76" s="345">
        <f>IF($A76="",0,MAX(L76,AE76))</f>
        <v/>
      </c>
      <c r="BD76" s="344">
        <f>IF($A76="","",(AU76+AV76+AW76+AX76+AY76+AZ76+BB76+BC76+IF(AS76=1,BA76,0))/(8+AS76))</f>
        <v/>
      </c>
      <c r="BE76" s="344">
        <f>IF($A76="","",(IF(ISNUMBER(AI76),IF(AI76&gt;=WaterMVD,1,0),0)+AV76+IF(ISNUMBER(AH76),IF(AH76&gt;=ProtMVD,1,0),0)+MAX(H76,AD76)+AZ76+BB76+AU76)/7)</f>
        <v/>
      </c>
      <c r="BF76" s="344">
        <f>IF(AO76=0,"",IF(E76="S","",IF(AND(AP76=0,$A76=TODAY()),"",IF(E76="M",BE76,BD76))))</f>
        <v/>
      </c>
      <c r="BG76" s="344">
        <f>IF(AO76=0,"",IFERROR(AVERAGEIFS(Data!$BF$4:$BF$375,Data!$A$4:$A$375,"&gt;"&amp;($A76-7),Data!$A$4:$A$375,"&lt;="&amp;$A76),""))</f>
        <v/>
      </c>
      <c r="BH76" s="344">
        <f>IF(AO76=0,"",IFERROR(AVERAGEIFS(Data!$BF$4:$BF$375,Data!$A$4:$A$375,"&gt;"&amp;($A76-30),Data!$A$4:$A$375,"&lt;="&amp;$A76),""))</f>
        <v/>
      </c>
      <c r="BI76" s="359">
        <f>IF($A76="","",IFERROR(AVERAGEIFS(Data!$AF$4:$AF$375,Data!$A$4:$A$375,"&gt;"&amp;($A76-7),Data!$A$4:$A$375,"&lt;="&amp;$A76,Data!$AF$4:$AF$375,"&gt;0"),""))</f>
        <v/>
      </c>
      <c r="BJ76" s="345">
        <f>IF($A76="","",F76+G76+H76+I76+J76+K76+L76+M76+N76-IF(AS76=1,0,J76))</f>
        <v/>
      </c>
      <c r="BK76" s="345">
        <f>IF($A76="","",8+AS76)</f>
        <v/>
      </c>
      <c r="BL76" s="345">
        <f>IF(ISNUMBER(BF76),BF76,NA())</f>
        <v/>
      </c>
      <c r="BM76" s="345">
        <f>IF(ISNUMBER(AF76),AF76,NA())</f>
        <v/>
      </c>
      <c r="BN76" s="345">
        <f>IF(ISNUMBER(BI76),BI76,NA())</f>
        <v/>
      </c>
      <c r="BO76" s="345">
        <f>IF(ISNUMBER(AL76),AL76,NA())</f>
        <v/>
      </c>
      <c r="BP76" s="345">
        <f>IF(ISNUMBER(AM76),AM76,NA())</f>
        <v/>
      </c>
      <c r="BQ76" s="345">
        <f>IF(ISNUMBER(AN76),AN76,NA())</f>
        <v/>
      </c>
    </row>
    <row r="77">
      <c r="A77" s="358">
        <f>IF('Dec 2026'!P7="","",'Dec 2026'!P7)</f>
        <v/>
      </c>
      <c r="B77" s="345" t="n">
        <v>3</v>
      </c>
      <c r="C77" s="345">
        <f>IF($A77="","",12)</f>
        <v/>
      </c>
      <c r="D77" s="345">
        <f>IF($A77="","",WEEKDAY($A77,2))</f>
        <v/>
      </c>
      <c r="E77" s="345">
        <f>IF($A77="","",UPPER(TRIM('Dec 2026'!P8)))</f>
        <v/>
      </c>
      <c r="F77" s="345">
        <f>IF($A77="","",IF(OR('Dec 2026'!P10=TRUE,'Dec 2026'!P10="x",'Dec 2026'!P10="X"),1,0))</f>
        <v/>
      </c>
      <c r="G77" s="345">
        <f>IF($A77="","",IF(OR('Dec 2026'!P11=TRUE,'Dec 2026'!P11="x",'Dec 2026'!P11="X"),1,0))</f>
        <v/>
      </c>
      <c r="H77" s="345">
        <f>IF($A77="","",IF(OR('Dec 2026'!P12=TRUE,'Dec 2026'!P12="x",'Dec 2026'!P12="X"),1,0))</f>
        <v/>
      </c>
      <c r="I77" s="345">
        <f>IF($A77="","",IF(OR('Dec 2026'!P13=TRUE,'Dec 2026'!P13="x",'Dec 2026'!P13="X"),1,0))</f>
        <v/>
      </c>
      <c r="J77" s="345">
        <f>IF($A77="","",IF(OR('Dec 2026'!P14=TRUE,'Dec 2026'!P14="x",'Dec 2026'!P14="X"),1,0))</f>
        <v/>
      </c>
      <c r="K77" s="345">
        <f>IF($A77="","",IF(OR('Dec 2026'!P15=TRUE,'Dec 2026'!P15="x",'Dec 2026'!P15="X"),1,0))</f>
        <v/>
      </c>
      <c r="L77" s="345">
        <f>IF($A77="","",IF(OR('Dec 2026'!P16=TRUE,'Dec 2026'!P16="x",'Dec 2026'!P16="X"),1,0))</f>
        <v/>
      </c>
      <c r="M77" s="345">
        <f>IF($A77="","",IF(OR('Dec 2026'!P17=TRUE,'Dec 2026'!P17="x",'Dec 2026'!P17="X"),1,0))</f>
        <v/>
      </c>
      <c r="N77" s="345">
        <f>IF($A77="","",IF(OR('Dec 2026'!P18=TRUE,'Dec 2026'!P18="x",'Dec 2026'!P18="X"),1,0))</f>
        <v/>
      </c>
      <c r="O77" s="345">
        <f>IF($A77="","",IF(OR('Dec 2026'!P20=TRUE,'Dec 2026'!P20="x",'Dec 2026'!P20="X"),1,0))</f>
        <v/>
      </c>
      <c r="P77" s="345">
        <f>IF($A77="","",IF(OR('Dec 2026'!P21=TRUE,'Dec 2026'!P21="x",'Dec 2026'!P21="X"),1,0))</f>
        <v/>
      </c>
      <c r="Q77" s="345">
        <f>IF($A77="","",IF(OR('Dec 2026'!P22=TRUE,'Dec 2026'!P22="x",'Dec 2026'!P22="X"),1,0))</f>
        <v/>
      </c>
      <c r="R77" s="345">
        <f>IF($A77="","",IF(OR('Dec 2026'!P23=TRUE,'Dec 2026'!P23="x",'Dec 2026'!P23="X"),1,0))</f>
        <v/>
      </c>
      <c r="S77" s="345">
        <f>IF($A77="","",IF(OR('Dec 2026'!P24=TRUE,'Dec 2026'!P24="x",'Dec 2026'!P24="X"),1,0))</f>
        <v/>
      </c>
      <c r="T77" s="345">
        <f>IF($A77="","",IF(OR('Dec 2026'!P25=TRUE,'Dec 2026'!P25="x",'Dec 2026'!P25="X"),1,0))</f>
        <v/>
      </c>
      <c r="U77" s="345">
        <f>IF($A77="","",IF(OR('Dec 2026'!P26=TRUE,'Dec 2026'!P26="x",'Dec 2026'!P26="X"),1,0))</f>
        <v/>
      </c>
      <c r="V77" s="345">
        <f>IF($A77="","",IF(OR('Dec 2026'!P27=TRUE,'Dec 2026'!P27="x",'Dec 2026'!P27="X"),1,0))</f>
        <v/>
      </c>
      <c r="W77" s="345">
        <f>IF($A77="","",IF(OR('Dec 2026'!P28=TRUE,'Dec 2026'!P28="x",'Dec 2026'!P28="X"),1,0))</f>
        <v/>
      </c>
      <c r="X77" s="345">
        <f>IF($A77="","",IF(OR('Dec 2026'!P29=TRUE,'Dec 2026'!P29="x",'Dec 2026'!P29="X"),1,0))</f>
        <v/>
      </c>
      <c r="Y77" s="345">
        <f>IF($A77="","",IF(OR('Dec 2026'!P30=TRUE,'Dec 2026'!P30="x",'Dec 2026'!P30="X"),1,0))</f>
        <v/>
      </c>
      <c r="Z77" s="345">
        <f>IF($A77="","",IF(OR('Dec 2026'!P31=TRUE,'Dec 2026'!P31="x",'Dec 2026'!P31="X"),1,0))</f>
        <v/>
      </c>
      <c r="AA77" s="345">
        <f>IF($A77="","",IF(OR('Dec 2026'!P32=TRUE,'Dec 2026'!P32="x",'Dec 2026'!P32="X"),1,0))</f>
        <v/>
      </c>
      <c r="AB77" s="345">
        <f>IF($A77="","",IF(OR('Dec 2026'!P34=TRUE,'Dec 2026'!P34="x",'Dec 2026'!P34="X"),1,0))</f>
        <v/>
      </c>
      <c r="AC77" s="345">
        <f>IF($A77="","",IF(OR('Dec 2026'!P35=TRUE,'Dec 2026'!P35="x",'Dec 2026'!P35="X"),1,0))</f>
        <v/>
      </c>
      <c r="AD77" s="345">
        <f>IF($A77="","",IF(OR('Dec 2026'!P36=TRUE,'Dec 2026'!P36="x",'Dec 2026'!P36="X"),1,0))</f>
        <v/>
      </c>
      <c r="AE77" s="345">
        <f>IF($A77="","",IF(OR('Dec 2026'!P37=TRUE,'Dec 2026'!P37="x",'Dec 2026'!P37="X"),1,0))</f>
        <v/>
      </c>
      <c r="AF77" s="345">
        <f>IF($A77="","",IF('Dec 2026'!P59="","",'Dec 2026'!P59))</f>
        <v/>
      </c>
      <c r="AG77" s="345">
        <f>IF($A77="","",IF('Dec 2026'!P60="","",'Dec 2026'!P60))</f>
        <v/>
      </c>
      <c r="AH77" s="345">
        <f>IF($A77="","",IF('Dec 2026'!P61="","",'Dec 2026'!P61))</f>
        <v/>
      </c>
      <c r="AI77" s="345">
        <f>IF($A77="","",IF('Dec 2026'!P62="","",'Dec 2026'!P62))</f>
        <v/>
      </c>
      <c r="AJ77" s="345">
        <f>IF($A77="","",IF('Dec 2026'!P63="","",'Dec 2026'!P63))</f>
        <v/>
      </c>
      <c r="AK77" s="345">
        <f>IF($A77="","",IF('Dec 2026'!P64="","",'Dec 2026'!P64))</f>
        <v/>
      </c>
      <c r="AL77" s="345">
        <f>IF($A77="","",IF('Dec 2026'!P65="","",'Dec 2026'!P65))</f>
        <v/>
      </c>
      <c r="AM77" s="345">
        <f>IF($A77="","",IF('Dec 2026'!P66="","",'Dec 2026'!P66))</f>
        <v/>
      </c>
      <c r="AN77" s="345">
        <f>IF($A77="","",IF('Dec 2026'!P67="","",'Dec 2026'!P67))</f>
        <v/>
      </c>
      <c r="AO77" s="345">
        <f>IF($A77="",0,IF(AND($A77&gt;=TrackStart,$A77&lt;=TODAY()),1,0))</f>
        <v/>
      </c>
      <c r="AP77" s="345">
        <f>IF($A77="",0,IF(SUM(F77:AE77)+COUNT(AF77:AN77)&gt;0,1,0))</f>
        <v/>
      </c>
      <c r="AQ77" s="345">
        <f>IF($A77="","",INT(($A77-TrackStart)/7)+1)</f>
        <v/>
      </c>
      <c r="AR77" s="345">
        <f>IF($A77="","",IF(AQ77&lt;=1,Steps1,IF(AQ77=2,Steps2,Steps3)))</f>
        <v/>
      </c>
      <c r="AS77" s="345">
        <f>IF($A77="",0,IF(ISNUMBER(SEARCH(TEXT(D77,"0"),WorkDays&amp;"")),1,0))</f>
        <v/>
      </c>
      <c r="AT77" s="345">
        <f>IF($A77="",0,IF(ISNUMBER(SEARCH(TEXT(D77,"0"),StrDays&amp;"")),1,0))</f>
        <v/>
      </c>
      <c r="AU77" s="345">
        <f>IF($A77="",0,IF(ISNUMBER(AK77),IF(AK77&gt;=SleepMin,1,0),N77))</f>
        <v/>
      </c>
      <c r="AV77" s="345">
        <f>IF($A77="",0,MAX(I77,O77,S77,AC77))</f>
        <v/>
      </c>
      <c r="AW77" s="345">
        <f>IF($A77="",0,IF(ISNUMBER(AH77),IF(AH77&gt;=ProtHit,1,0),0))</f>
        <v/>
      </c>
      <c r="AX77" s="345">
        <f>IF($A77="",0,IF(ISNUMBER(AI77),IF(AI77&gt;=WaterHit,1,0),0))</f>
        <v/>
      </c>
      <c r="AY77" s="345">
        <f>IF($A77="",0,IF(ISNUMBER(AG77),IF(AG77&gt;=AR77,1,0),0))</f>
        <v/>
      </c>
      <c r="AZ77" s="345">
        <f>IF($A77="",0,G77)</f>
        <v/>
      </c>
      <c r="BA77" s="345">
        <f>IF($A77="",0,J77)</f>
        <v/>
      </c>
      <c r="BB77" s="345">
        <f>IF($A77="",0,K77)</f>
        <v/>
      </c>
      <c r="BC77" s="345">
        <f>IF($A77="",0,MAX(L77,AE77))</f>
        <v/>
      </c>
      <c r="BD77" s="344">
        <f>IF($A77="","",(AU77+AV77+AW77+AX77+AY77+AZ77+BB77+BC77+IF(AS77=1,BA77,0))/(8+AS77))</f>
        <v/>
      </c>
      <c r="BE77" s="344">
        <f>IF($A77="","",(IF(ISNUMBER(AI77),IF(AI77&gt;=WaterMVD,1,0),0)+AV77+IF(ISNUMBER(AH77),IF(AH77&gt;=ProtMVD,1,0),0)+MAX(H77,AD77)+AZ77+BB77+AU77)/7)</f>
        <v/>
      </c>
      <c r="BF77" s="344">
        <f>IF(AO77=0,"",IF(E77="S","",IF(AND(AP77=0,$A77=TODAY()),"",IF(E77="M",BE77,BD77))))</f>
        <v/>
      </c>
      <c r="BG77" s="344">
        <f>IF(AO77=0,"",IFERROR(AVERAGEIFS(Data!$BF$4:$BF$375,Data!$A$4:$A$375,"&gt;"&amp;($A77-7),Data!$A$4:$A$375,"&lt;="&amp;$A77),""))</f>
        <v/>
      </c>
      <c r="BH77" s="344">
        <f>IF(AO77=0,"",IFERROR(AVERAGEIFS(Data!$BF$4:$BF$375,Data!$A$4:$A$375,"&gt;"&amp;($A77-30),Data!$A$4:$A$375,"&lt;="&amp;$A77),""))</f>
        <v/>
      </c>
      <c r="BI77" s="359">
        <f>IF($A77="","",IFERROR(AVERAGEIFS(Data!$AF$4:$AF$375,Data!$A$4:$A$375,"&gt;"&amp;($A77-7),Data!$A$4:$A$375,"&lt;="&amp;$A77,Data!$AF$4:$AF$375,"&gt;0"),""))</f>
        <v/>
      </c>
      <c r="BJ77" s="345">
        <f>IF($A77="","",F77+G77+H77+I77+J77+K77+L77+M77+N77-IF(AS77=1,0,J77))</f>
        <v/>
      </c>
      <c r="BK77" s="345">
        <f>IF($A77="","",8+AS77)</f>
        <v/>
      </c>
      <c r="BL77" s="345">
        <f>IF(ISNUMBER(BF77),BF77,NA())</f>
        <v/>
      </c>
      <c r="BM77" s="345">
        <f>IF(ISNUMBER(AF77),AF77,NA())</f>
        <v/>
      </c>
      <c r="BN77" s="345">
        <f>IF(ISNUMBER(BI77),BI77,NA())</f>
        <v/>
      </c>
      <c r="BO77" s="345">
        <f>IF(ISNUMBER(AL77),AL77,NA())</f>
        <v/>
      </c>
      <c r="BP77" s="345">
        <f>IF(ISNUMBER(AM77),AM77,NA())</f>
        <v/>
      </c>
      <c r="BQ77" s="345">
        <f>IF(ISNUMBER(AN77),AN77,NA())</f>
        <v/>
      </c>
    </row>
    <row r="78">
      <c r="A78" s="358">
        <f>IF('Dec 2026'!Q7="","",'Dec 2026'!Q7)</f>
        <v/>
      </c>
      <c r="B78" s="345" t="n">
        <v>3</v>
      </c>
      <c r="C78" s="345">
        <f>IF($A78="","",13)</f>
        <v/>
      </c>
      <c r="D78" s="345">
        <f>IF($A78="","",WEEKDAY($A78,2))</f>
        <v/>
      </c>
      <c r="E78" s="345">
        <f>IF($A78="","",UPPER(TRIM('Dec 2026'!Q8)))</f>
        <v/>
      </c>
      <c r="F78" s="345">
        <f>IF($A78="","",IF(OR('Dec 2026'!Q10=TRUE,'Dec 2026'!Q10="x",'Dec 2026'!Q10="X"),1,0))</f>
        <v/>
      </c>
      <c r="G78" s="345">
        <f>IF($A78="","",IF(OR('Dec 2026'!Q11=TRUE,'Dec 2026'!Q11="x",'Dec 2026'!Q11="X"),1,0))</f>
        <v/>
      </c>
      <c r="H78" s="345">
        <f>IF($A78="","",IF(OR('Dec 2026'!Q12=TRUE,'Dec 2026'!Q12="x",'Dec 2026'!Q12="X"),1,0))</f>
        <v/>
      </c>
      <c r="I78" s="345">
        <f>IF($A78="","",IF(OR('Dec 2026'!Q13=TRUE,'Dec 2026'!Q13="x",'Dec 2026'!Q13="X"),1,0))</f>
        <v/>
      </c>
      <c r="J78" s="345">
        <f>IF($A78="","",IF(OR('Dec 2026'!Q14=TRUE,'Dec 2026'!Q14="x",'Dec 2026'!Q14="X"),1,0))</f>
        <v/>
      </c>
      <c r="K78" s="345">
        <f>IF($A78="","",IF(OR('Dec 2026'!Q15=TRUE,'Dec 2026'!Q15="x",'Dec 2026'!Q15="X"),1,0))</f>
        <v/>
      </c>
      <c r="L78" s="345">
        <f>IF($A78="","",IF(OR('Dec 2026'!Q16=TRUE,'Dec 2026'!Q16="x",'Dec 2026'!Q16="X"),1,0))</f>
        <v/>
      </c>
      <c r="M78" s="345">
        <f>IF($A78="","",IF(OR('Dec 2026'!Q17=TRUE,'Dec 2026'!Q17="x",'Dec 2026'!Q17="X"),1,0))</f>
        <v/>
      </c>
      <c r="N78" s="345">
        <f>IF($A78="","",IF(OR('Dec 2026'!Q18=TRUE,'Dec 2026'!Q18="x",'Dec 2026'!Q18="X"),1,0))</f>
        <v/>
      </c>
      <c r="O78" s="345">
        <f>IF($A78="","",IF(OR('Dec 2026'!Q20=TRUE,'Dec 2026'!Q20="x",'Dec 2026'!Q20="X"),1,0))</f>
        <v/>
      </c>
      <c r="P78" s="345">
        <f>IF($A78="","",IF(OR('Dec 2026'!Q21=TRUE,'Dec 2026'!Q21="x",'Dec 2026'!Q21="X"),1,0))</f>
        <v/>
      </c>
      <c r="Q78" s="345">
        <f>IF($A78="","",IF(OR('Dec 2026'!Q22=TRUE,'Dec 2026'!Q22="x",'Dec 2026'!Q22="X"),1,0))</f>
        <v/>
      </c>
      <c r="R78" s="345">
        <f>IF($A78="","",IF(OR('Dec 2026'!Q23=TRUE,'Dec 2026'!Q23="x",'Dec 2026'!Q23="X"),1,0))</f>
        <v/>
      </c>
      <c r="S78" s="345">
        <f>IF($A78="","",IF(OR('Dec 2026'!Q24=TRUE,'Dec 2026'!Q24="x",'Dec 2026'!Q24="X"),1,0))</f>
        <v/>
      </c>
      <c r="T78" s="345">
        <f>IF($A78="","",IF(OR('Dec 2026'!Q25=TRUE,'Dec 2026'!Q25="x",'Dec 2026'!Q25="X"),1,0))</f>
        <v/>
      </c>
      <c r="U78" s="345">
        <f>IF($A78="","",IF(OR('Dec 2026'!Q26=TRUE,'Dec 2026'!Q26="x",'Dec 2026'!Q26="X"),1,0))</f>
        <v/>
      </c>
      <c r="V78" s="345">
        <f>IF($A78="","",IF(OR('Dec 2026'!Q27=TRUE,'Dec 2026'!Q27="x",'Dec 2026'!Q27="X"),1,0))</f>
        <v/>
      </c>
      <c r="W78" s="345">
        <f>IF($A78="","",IF(OR('Dec 2026'!Q28=TRUE,'Dec 2026'!Q28="x",'Dec 2026'!Q28="X"),1,0))</f>
        <v/>
      </c>
      <c r="X78" s="345">
        <f>IF($A78="","",IF(OR('Dec 2026'!Q29=TRUE,'Dec 2026'!Q29="x",'Dec 2026'!Q29="X"),1,0))</f>
        <v/>
      </c>
      <c r="Y78" s="345">
        <f>IF($A78="","",IF(OR('Dec 2026'!Q30=TRUE,'Dec 2026'!Q30="x",'Dec 2026'!Q30="X"),1,0))</f>
        <v/>
      </c>
      <c r="Z78" s="345">
        <f>IF($A78="","",IF(OR('Dec 2026'!Q31=TRUE,'Dec 2026'!Q31="x",'Dec 2026'!Q31="X"),1,0))</f>
        <v/>
      </c>
      <c r="AA78" s="345">
        <f>IF($A78="","",IF(OR('Dec 2026'!Q32=TRUE,'Dec 2026'!Q32="x",'Dec 2026'!Q32="X"),1,0))</f>
        <v/>
      </c>
      <c r="AB78" s="345">
        <f>IF($A78="","",IF(OR('Dec 2026'!Q34=TRUE,'Dec 2026'!Q34="x",'Dec 2026'!Q34="X"),1,0))</f>
        <v/>
      </c>
      <c r="AC78" s="345">
        <f>IF($A78="","",IF(OR('Dec 2026'!Q35=TRUE,'Dec 2026'!Q35="x",'Dec 2026'!Q35="X"),1,0))</f>
        <v/>
      </c>
      <c r="AD78" s="345">
        <f>IF($A78="","",IF(OR('Dec 2026'!Q36=TRUE,'Dec 2026'!Q36="x",'Dec 2026'!Q36="X"),1,0))</f>
        <v/>
      </c>
      <c r="AE78" s="345">
        <f>IF($A78="","",IF(OR('Dec 2026'!Q37=TRUE,'Dec 2026'!Q37="x",'Dec 2026'!Q37="X"),1,0))</f>
        <v/>
      </c>
      <c r="AF78" s="345">
        <f>IF($A78="","",IF('Dec 2026'!Q59="","",'Dec 2026'!Q59))</f>
        <v/>
      </c>
      <c r="AG78" s="345">
        <f>IF($A78="","",IF('Dec 2026'!Q60="","",'Dec 2026'!Q60))</f>
        <v/>
      </c>
      <c r="AH78" s="345">
        <f>IF($A78="","",IF('Dec 2026'!Q61="","",'Dec 2026'!Q61))</f>
        <v/>
      </c>
      <c r="AI78" s="345">
        <f>IF($A78="","",IF('Dec 2026'!Q62="","",'Dec 2026'!Q62))</f>
        <v/>
      </c>
      <c r="AJ78" s="345">
        <f>IF($A78="","",IF('Dec 2026'!Q63="","",'Dec 2026'!Q63))</f>
        <v/>
      </c>
      <c r="AK78" s="345">
        <f>IF($A78="","",IF('Dec 2026'!Q64="","",'Dec 2026'!Q64))</f>
        <v/>
      </c>
      <c r="AL78" s="345">
        <f>IF($A78="","",IF('Dec 2026'!Q65="","",'Dec 2026'!Q65))</f>
        <v/>
      </c>
      <c r="AM78" s="345">
        <f>IF($A78="","",IF('Dec 2026'!Q66="","",'Dec 2026'!Q66))</f>
        <v/>
      </c>
      <c r="AN78" s="345">
        <f>IF($A78="","",IF('Dec 2026'!Q67="","",'Dec 2026'!Q67))</f>
        <v/>
      </c>
      <c r="AO78" s="345">
        <f>IF($A78="",0,IF(AND($A78&gt;=TrackStart,$A78&lt;=TODAY()),1,0))</f>
        <v/>
      </c>
      <c r="AP78" s="345">
        <f>IF($A78="",0,IF(SUM(F78:AE78)+COUNT(AF78:AN78)&gt;0,1,0))</f>
        <v/>
      </c>
      <c r="AQ78" s="345">
        <f>IF($A78="","",INT(($A78-TrackStart)/7)+1)</f>
        <v/>
      </c>
      <c r="AR78" s="345">
        <f>IF($A78="","",IF(AQ78&lt;=1,Steps1,IF(AQ78=2,Steps2,Steps3)))</f>
        <v/>
      </c>
      <c r="AS78" s="345">
        <f>IF($A78="",0,IF(ISNUMBER(SEARCH(TEXT(D78,"0"),WorkDays&amp;"")),1,0))</f>
        <v/>
      </c>
      <c r="AT78" s="345">
        <f>IF($A78="",0,IF(ISNUMBER(SEARCH(TEXT(D78,"0"),StrDays&amp;"")),1,0))</f>
        <v/>
      </c>
      <c r="AU78" s="345">
        <f>IF($A78="",0,IF(ISNUMBER(AK78),IF(AK78&gt;=SleepMin,1,0),N78))</f>
        <v/>
      </c>
      <c r="AV78" s="345">
        <f>IF($A78="",0,MAX(I78,O78,S78,AC78))</f>
        <v/>
      </c>
      <c r="AW78" s="345">
        <f>IF($A78="",0,IF(ISNUMBER(AH78),IF(AH78&gt;=ProtHit,1,0),0))</f>
        <v/>
      </c>
      <c r="AX78" s="345">
        <f>IF($A78="",0,IF(ISNUMBER(AI78),IF(AI78&gt;=WaterHit,1,0),0))</f>
        <v/>
      </c>
      <c r="AY78" s="345">
        <f>IF($A78="",0,IF(ISNUMBER(AG78),IF(AG78&gt;=AR78,1,0),0))</f>
        <v/>
      </c>
      <c r="AZ78" s="345">
        <f>IF($A78="",0,G78)</f>
        <v/>
      </c>
      <c r="BA78" s="345">
        <f>IF($A78="",0,J78)</f>
        <v/>
      </c>
      <c r="BB78" s="345">
        <f>IF($A78="",0,K78)</f>
        <v/>
      </c>
      <c r="BC78" s="345">
        <f>IF($A78="",0,MAX(L78,AE78))</f>
        <v/>
      </c>
      <c r="BD78" s="344">
        <f>IF($A78="","",(AU78+AV78+AW78+AX78+AY78+AZ78+BB78+BC78+IF(AS78=1,BA78,0))/(8+AS78))</f>
        <v/>
      </c>
      <c r="BE78" s="344">
        <f>IF($A78="","",(IF(ISNUMBER(AI78),IF(AI78&gt;=WaterMVD,1,0),0)+AV78+IF(ISNUMBER(AH78),IF(AH78&gt;=ProtMVD,1,0),0)+MAX(H78,AD78)+AZ78+BB78+AU78)/7)</f>
        <v/>
      </c>
      <c r="BF78" s="344">
        <f>IF(AO78=0,"",IF(E78="S","",IF(AND(AP78=0,$A78=TODAY()),"",IF(E78="M",BE78,BD78))))</f>
        <v/>
      </c>
      <c r="BG78" s="344">
        <f>IF(AO78=0,"",IFERROR(AVERAGEIFS(Data!$BF$4:$BF$375,Data!$A$4:$A$375,"&gt;"&amp;($A78-7),Data!$A$4:$A$375,"&lt;="&amp;$A78),""))</f>
        <v/>
      </c>
      <c r="BH78" s="344">
        <f>IF(AO78=0,"",IFERROR(AVERAGEIFS(Data!$BF$4:$BF$375,Data!$A$4:$A$375,"&gt;"&amp;($A78-30),Data!$A$4:$A$375,"&lt;="&amp;$A78),""))</f>
        <v/>
      </c>
      <c r="BI78" s="359">
        <f>IF($A78="","",IFERROR(AVERAGEIFS(Data!$AF$4:$AF$375,Data!$A$4:$A$375,"&gt;"&amp;($A78-7),Data!$A$4:$A$375,"&lt;="&amp;$A78,Data!$AF$4:$AF$375,"&gt;0"),""))</f>
        <v/>
      </c>
      <c r="BJ78" s="345">
        <f>IF($A78="","",F78+G78+H78+I78+J78+K78+L78+M78+N78-IF(AS78=1,0,J78))</f>
        <v/>
      </c>
      <c r="BK78" s="345">
        <f>IF($A78="","",8+AS78)</f>
        <v/>
      </c>
      <c r="BL78" s="345">
        <f>IF(ISNUMBER(BF78),BF78,NA())</f>
        <v/>
      </c>
      <c r="BM78" s="345">
        <f>IF(ISNUMBER(AF78),AF78,NA())</f>
        <v/>
      </c>
      <c r="BN78" s="345">
        <f>IF(ISNUMBER(BI78),BI78,NA())</f>
        <v/>
      </c>
      <c r="BO78" s="345">
        <f>IF(ISNUMBER(AL78),AL78,NA())</f>
        <v/>
      </c>
      <c r="BP78" s="345">
        <f>IF(ISNUMBER(AM78),AM78,NA())</f>
        <v/>
      </c>
      <c r="BQ78" s="345">
        <f>IF(ISNUMBER(AN78),AN78,NA())</f>
        <v/>
      </c>
    </row>
    <row r="79">
      <c r="A79" s="358">
        <f>IF('Dec 2026'!R7="","",'Dec 2026'!R7)</f>
        <v/>
      </c>
      <c r="B79" s="345" t="n">
        <v>3</v>
      </c>
      <c r="C79" s="345">
        <f>IF($A79="","",14)</f>
        <v/>
      </c>
      <c r="D79" s="345">
        <f>IF($A79="","",WEEKDAY($A79,2))</f>
        <v/>
      </c>
      <c r="E79" s="345">
        <f>IF($A79="","",UPPER(TRIM('Dec 2026'!R8)))</f>
        <v/>
      </c>
      <c r="F79" s="345">
        <f>IF($A79="","",IF(OR('Dec 2026'!R10=TRUE,'Dec 2026'!R10="x",'Dec 2026'!R10="X"),1,0))</f>
        <v/>
      </c>
      <c r="G79" s="345">
        <f>IF($A79="","",IF(OR('Dec 2026'!R11=TRUE,'Dec 2026'!R11="x",'Dec 2026'!R11="X"),1,0))</f>
        <v/>
      </c>
      <c r="H79" s="345">
        <f>IF($A79="","",IF(OR('Dec 2026'!R12=TRUE,'Dec 2026'!R12="x",'Dec 2026'!R12="X"),1,0))</f>
        <v/>
      </c>
      <c r="I79" s="345">
        <f>IF($A79="","",IF(OR('Dec 2026'!R13=TRUE,'Dec 2026'!R13="x",'Dec 2026'!R13="X"),1,0))</f>
        <v/>
      </c>
      <c r="J79" s="345">
        <f>IF($A79="","",IF(OR('Dec 2026'!R14=TRUE,'Dec 2026'!R14="x",'Dec 2026'!R14="X"),1,0))</f>
        <v/>
      </c>
      <c r="K79" s="345">
        <f>IF($A79="","",IF(OR('Dec 2026'!R15=TRUE,'Dec 2026'!R15="x",'Dec 2026'!R15="X"),1,0))</f>
        <v/>
      </c>
      <c r="L79" s="345">
        <f>IF($A79="","",IF(OR('Dec 2026'!R16=TRUE,'Dec 2026'!R16="x",'Dec 2026'!R16="X"),1,0))</f>
        <v/>
      </c>
      <c r="M79" s="345">
        <f>IF($A79="","",IF(OR('Dec 2026'!R17=TRUE,'Dec 2026'!R17="x",'Dec 2026'!R17="X"),1,0))</f>
        <v/>
      </c>
      <c r="N79" s="345">
        <f>IF($A79="","",IF(OR('Dec 2026'!R18=TRUE,'Dec 2026'!R18="x",'Dec 2026'!R18="X"),1,0))</f>
        <v/>
      </c>
      <c r="O79" s="345">
        <f>IF($A79="","",IF(OR('Dec 2026'!R20=TRUE,'Dec 2026'!R20="x",'Dec 2026'!R20="X"),1,0))</f>
        <v/>
      </c>
      <c r="P79" s="345">
        <f>IF($A79="","",IF(OR('Dec 2026'!R21=TRUE,'Dec 2026'!R21="x",'Dec 2026'!R21="X"),1,0))</f>
        <v/>
      </c>
      <c r="Q79" s="345">
        <f>IF($A79="","",IF(OR('Dec 2026'!R22=TRUE,'Dec 2026'!R22="x",'Dec 2026'!R22="X"),1,0))</f>
        <v/>
      </c>
      <c r="R79" s="345">
        <f>IF($A79="","",IF(OR('Dec 2026'!R23=TRUE,'Dec 2026'!R23="x",'Dec 2026'!R23="X"),1,0))</f>
        <v/>
      </c>
      <c r="S79" s="345">
        <f>IF($A79="","",IF(OR('Dec 2026'!R24=TRUE,'Dec 2026'!R24="x",'Dec 2026'!R24="X"),1,0))</f>
        <v/>
      </c>
      <c r="T79" s="345">
        <f>IF($A79="","",IF(OR('Dec 2026'!R25=TRUE,'Dec 2026'!R25="x",'Dec 2026'!R25="X"),1,0))</f>
        <v/>
      </c>
      <c r="U79" s="345">
        <f>IF($A79="","",IF(OR('Dec 2026'!R26=TRUE,'Dec 2026'!R26="x",'Dec 2026'!R26="X"),1,0))</f>
        <v/>
      </c>
      <c r="V79" s="345">
        <f>IF($A79="","",IF(OR('Dec 2026'!R27=TRUE,'Dec 2026'!R27="x",'Dec 2026'!R27="X"),1,0))</f>
        <v/>
      </c>
      <c r="W79" s="345">
        <f>IF($A79="","",IF(OR('Dec 2026'!R28=TRUE,'Dec 2026'!R28="x",'Dec 2026'!R28="X"),1,0))</f>
        <v/>
      </c>
      <c r="X79" s="345">
        <f>IF($A79="","",IF(OR('Dec 2026'!R29=TRUE,'Dec 2026'!R29="x",'Dec 2026'!R29="X"),1,0))</f>
        <v/>
      </c>
      <c r="Y79" s="345">
        <f>IF($A79="","",IF(OR('Dec 2026'!R30=TRUE,'Dec 2026'!R30="x",'Dec 2026'!R30="X"),1,0))</f>
        <v/>
      </c>
      <c r="Z79" s="345">
        <f>IF($A79="","",IF(OR('Dec 2026'!R31=TRUE,'Dec 2026'!R31="x",'Dec 2026'!R31="X"),1,0))</f>
        <v/>
      </c>
      <c r="AA79" s="345">
        <f>IF($A79="","",IF(OR('Dec 2026'!R32=TRUE,'Dec 2026'!R32="x",'Dec 2026'!R32="X"),1,0))</f>
        <v/>
      </c>
      <c r="AB79" s="345">
        <f>IF($A79="","",IF(OR('Dec 2026'!R34=TRUE,'Dec 2026'!R34="x",'Dec 2026'!R34="X"),1,0))</f>
        <v/>
      </c>
      <c r="AC79" s="345">
        <f>IF($A79="","",IF(OR('Dec 2026'!R35=TRUE,'Dec 2026'!R35="x",'Dec 2026'!R35="X"),1,0))</f>
        <v/>
      </c>
      <c r="AD79" s="345">
        <f>IF($A79="","",IF(OR('Dec 2026'!R36=TRUE,'Dec 2026'!R36="x",'Dec 2026'!R36="X"),1,0))</f>
        <v/>
      </c>
      <c r="AE79" s="345">
        <f>IF($A79="","",IF(OR('Dec 2026'!R37=TRUE,'Dec 2026'!R37="x",'Dec 2026'!R37="X"),1,0))</f>
        <v/>
      </c>
      <c r="AF79" s="345">
        <f>IF($A79="","",IF('Dec 2026'!R59="","",'Dec 2026'!R59))</f>
        <v/>
      </c>
      <c r="AG79" s="345">
        <f>IF($A79="","",IF('Dec 2026'!R60="","",'Dec 2026'!R60))</f>
        <v/>
      </c>
      <c r="AH79" s="345">
        <f>IF($A79="","",IF('Dec 2026'!R61="","",'Dec 2026'!R61))</f>
        <v/>
      </c>
      <c r="AI79" s="345">
        <f>IF($A79="","",IF('Dec 2026'!R62="","",'Dec 2026'!R62))</f>
        <v/>
      </c>
      <c r="AJ79" s="345">
        <f>IF($A79="","",IF('Dec 2026'!R63="","",'Dec 2026'!R63))</f>
        <v/>
      </c>
      <c r="AK79" s="345">
        <f>IF($A79="","",IF('Dec 2026'!R64="","",'Dec 2026'!R64))</f>
        <v/>
      </c>
      <c r="AL79" s="345">
        <f>IF($A79="","",IF('Dec 2026'!R65="","",'Dec 2026'!R65))</f>
        <v/>
      </c>
      <c r="AM79" s="345">
        <f>IF($A79="","",IF('Dec 2026'!R66="","",'Dec 2026'!R66))</f>
        <v/>
      </c>
      <c r="AN79" s="345">
        <f>IF($A79="","",IF('Dec 2026'!R67="","",'Dec 2026'!R67))</f>
        <v/>
      </c>
      <c r="AO79" s="345">
        <f>IF($A79="",0,IF(AND($A79&gt;=TrackStart,$A79&lt;=TODAY()),1,0))</f>
        <v/>
      </c>
      <c r="AP79" s="345">
        <f>IF($A79="",0,IF(SUM(F79:AE79)+COUNT(AF79:AN79)&gt;0,1,0))</f>
        <v/>
      </c>
      <c r="AQ79" s="345">
        <f>IF($A79="","",INT(($A79-TrackStart)/7)+1)</f>
        <v/>
      </c>
      <c r="AR79" s="345">
        <f>IF($A79="","",IF(AQ79&lt;=1,Steps1,IF(AQ79=2,Steps2,Steps3)))</f>
        <v/>
      </c>
      <c r="AS79" s="345">
        <f>IF($A79="",0,IF(ISNUMBER(SEARCH(TEXT(D79,"0"),WorkDays&amp;"")),1,0))</f>
        <v/>
      </c>
      <c r="AT79" s="345">
        <f>IF($A79="",0,IF(ISNUMBER(SEARCH(TEXT(D79,"0"),StrDays&amp;"")),1,0))</f>
        <v/>
      </c>
      <c r="AU79" s="345">
        <f>IF($A79="",0,IF(ISNUMBER(AK79),IF(AK79&gt;=SleepMin,1,0),N79))</f>
        <v/>
      </c>
      <c r="AV79" s="345">
        <f>IF($A79="",0,MAX(I79,O79,S79,AC79))</f>
        <v/>
      </c>
      <c r="AW79" s="345">
        <f>IF($A79="",0,IF(ISNUMBER(AH79),IF(AH79&gt;=ProtHit,1,0),0))</f>
        <v/>
      </c>
      <c r="AX79" s="345">
        <f>IF($A79="",0,IF(ISNUMBER(AI79),IF(AI79&gt;=WaterHit,1,0),0))</f>
        <v/>
      </c>
      <c r="AY79" s="345">
        <f>IF($A79="",0,IF(ISNUMBER(AG79),IF(AG79&gt;=AR79,1,0),0))</f>
        <v/>
      </c>
      <c r="AZ79" s="345">
        <f>IF($A79="",0,G79)</f>
        <v/>
      </c>
      <c r="BA79" s="345">
        <f>IF($A79="",0,J79)</f>
        <v/>
      </c>
      <c r="BB79" s="345">
        <f>IF($A79="",0,K79)</f>
        <v/>
      </c>
      <c r="BC79" s="345">
        <f>IF($A79="",0,MAX(L79,AE79))</f>
        <v/>
      </c>
      <c r="BD79" s="344">
        <f>IF($A79="","",(AU79+AV79+AW79+AX79+AY79+AZ79+BB79+BC79+IF(AS79=1,BA79,0))/(8+AS79))</f>
        <v/>
      </c>
      <c r="BE79" s="344">
        <f>IF($A79="","",(IF(ISNUMBER(AI79),IF(AI79&gt;=WaterMVD,1,0),0)+AV79+IF(ISNUMBER(AH79),IF(AH79&gt;=ProtMVD,1,0),0)+MAX(H79,AD79)+AZ79+BB79+AU79)/7)</f>
        <v/>
      </c>
      <c r="BF79" s="344">
        <f>IF(AO79=0,"",IF(E79="S","",IF(AND(AP79=0,$A79=TODAY()),"",IF(E79="M",BE79,BD79))))</f>
        <v/>
      </c>
      <c r="BG79" s="344">
        <f>IF(AO79=0,"",IFERROR(AVERAGEIFS(Data!$BF$4:$BF$375,Data!$A$4:$A$375,"&gt;"&amp;($A79-7),Data!$A$4:$A$375,"&lt;="&amp;$A79),""))</f>
        <v/>
      </c>
      <c r="BH79" s="344">
        <f>IF(AO79=0,"",IFERROR(AVERAGEIFS(Data!$BF$4:$BF$375,Data!$A$4:$A$375,"&gt;"&amp;($A79-30),Data!$A$4:$A$375,"&lt;="&amp;$A79),""))</f>
        <v/>
      </c>
      <c r="BI79" s="359">
        <f>IF($A79="","",IFERROR(AVERAGEIFS(Data!$AF$4:$AF$375,Data!$A$4:$A$375,"&gt;"&amp;($A79-7),Data!$A$4:$A$375,"&lt;="&amp;$A79,Data!$AF$4:$AF$375,"&gt;0"),""))</f>
        <v/>
      </c>
      <c r="BJ79" s="345">
        <f>IF($A79="","",F79+G79+H79+I79+J79+K79+L79+M79+N79-IF(AS79=1,0,J79))</f>
        <v/>
      </c>
      <c r="BK79" s="345">
        <f>IF($A79="","",8+AS79)</f>
        <v/>
      </c>
      <c r="BL79" s="345">
        <f>IF(ISNUMBER(BF79),BF79,NA())</f>
        <v/>
      </c>
      <c r="BM79" s="345">
        <f>IF(ISNUMBER(AF79),AF79,NA())</f>
        <v/>
      </c>
      <c r="BN79" s="345">
        <f>IF(ISNUMBER(BI79),BI79,NA())</f>
        <v/>
      </c>
      <c r="BO79" s="345">
        <f>IF(ISNUMBER(AL79),AL79,NA())</f>
        <v/>
      </c>
      <c r="BP79" s="345">
        <f>IF(ISNUMBER(AM79),AM79,NA())</f>
        <v/>
      </c>
      <c r="BQ79" s="345">
        <f>IF(ISNUMBER(AN79),AN79,NA())</f>
        <v/>
      </c>
    </row>
    <row r="80">
      <c r="A80" s="358">
        <f>IF('Dec 2026'!S7="","",'Dec 2026'!S7)</f>
        <v/>
      </c>
      <c r="B80" s="345" t="n">
        <v>3</v>
      </c>
      <c r="C80" s="345">
        <f>IF($A80="","",15)</f>
        <v/>
      </c>
      <c r="D80" s="345">
        <f>IF($A80="","",WEEKDAY($A80,2))</f>
        <v/>
      </c>
      <c r="E80" s="345">
        <f>IF($A80="","",UPPER(TRIM('Dec 2026'!S8)))</f>
        <v/>
      </c>
      <c r="F80" s="345">
        <f>IF($A80="","",IF(OR('Dec 2026'!S10=TRUE,'Dec 2026'!S10="x",'Dec 2026'!S10="X"),1,0))</f>
        <v/>
      </c>
      <c r="G80" s="345">
        <f>IF($A80="","",IF(OR('Dec 2026'!S11=TRUE,'Dec 2026'!S11="x",'Dec 2026'!S11="X"),1,0))</f>
        <v/>
      </c>
      <c r="H80" s="345">
        <f>IF($A80="","",IF(OR('Dec 2026'!S12=TRUE,'Dec 2026'!S12="x",'Dec 2026'!S12="X"),1,0))</f>
        <v/>
      </c>
      <c r="I80" s="345">
        <f>IF($A80="","",IF(OR('Dec 2026'!S13=TRUE,'Dec 2026'!S13="x",'Dec 2026'!S13="X"),1,0))</f>
        <v/>
      </c>
      <c r="J80" s="345">
        <f>IF($A80="","",IF(OR('Dec 2026'!S14=TRUE,'Dec 2026'!S14="x",'Dec 2026'!S14="X"),1,0))</f>
        <v/>
      </c>
      <c r="K80" s="345">
        <f>IF($A80="","",IF(OR('Dec 2026'!S15=TRUE,'Dec 2026'!S15="x",'Dec 2026'!S15="X"),1,0))</f>
        <v/>
      </c>
      <c r="L80" s="345">
        <f>IF($A80="","",IF(OR('Dec 2026'!S16=TRUE,'Dec 2026'!S16="x",'Dec 2026'!S16="X"),1,0))</f>
        <v/>
      </c>
      <c r="M80" s="345">
        <f>IF($A80="","",IF(OR('Dec 2026'!S17=TRUE,'Dec 2026'!S17="x",'Dec 2026'!S17="X"),1,0))</f>
        <v/>
      </c>
      <c r="N80" s="345">
        <f>IF($A80="","",IF(OR('Dec 2026'!S18=TRUE,'Dec 2026'!S18="x",'Dec 2026'!S18="X"),1,0))</f>
        <v/>
      </c>
      <c r="O80" s="345">
        <f>IF($A80="","",IF(OR('Dec 2026'!S20=TRUE,'Dec 2026'!S20="x",'Dec 2026'!S20="X"),1,0))</f>
        <v/>
      </c>
      <c r="P80" s="345">
        <f>IF($A80="","",IF(OR('Dec 2026'!S21=TRUE,'Dec 2026'!S21="x",'Dec 2026'!S21="X"),1,0))</f>
        <v/>
      </c>
      <c r="Q80" s="345">
        <f>IF($A80="","",IF(OR('Dec 2026'!S22=TRUE,'Dec 2026'!S22="x",'Dec 2026'!S22="X"),1,0))</f>
        <v/>
      </c>
      <c r="R80" s="345">
        <f>IF($A80="","",IF(OR('Dec 2026'!S23=TRUE,'Dec 2026'!S23="x",'Dec 2026'!S23="X"),1,0))</f>
        <v/>
      </c>
      <c r="S80" s="345">
        <f>IF($A80="","",IF(OR('Dec 2026'!S24=TRUE,'Dec 2026'!S24="x",'Dec 2026'!S24="X"),1,0))</f>
        <v/>
      </c>
      <c r="T80" s="345">
        <f>IF($A80="","",IF(OR('Dec 2026'!S25=TRUE,'Dec 2026'!S25="x",'Dec 2026'!S25="X"),1,0))</f>
        <v/>
      </c>
      <c r="U80" s="345">
        <f>IF($A80="","",IF(OR('Dec 2026'!S26=TRUE,'Dec 2026'!S26="x",'Dec 2026'!S26="X"),1,0))</f>
        <v/>
      </c>
      <c r="V80" s="345">
        <f>IF($A80="","",IF(OR('Dec 2026'!S27=TRUE,'Dec 2026'!S27="x",'Dec 2026'!S27="X"),1,0))</f>
        <v/>
      </c>
      <c r="W80" s="345">
        <f>IF($A80="","",IF(OR('Dec 2026'!S28=TRUE,'Dec 2026'!S28="x",'Dec 2026'!S28="X"),1,0))</f>
        <v/>
      </c>
      <c r="X80" s="345">
        <f>IF($A80="","",IF(OR('Dec 2026'!S29=TRUE,'Dec 2026'!S29="x",'Dec 2026'!S29="X"),1,0))</f>
        <v/>
      </c>
      <c r="Y80" s="345">
        <f>IF($A80="","",IF(OR('Dec 2026'!S30=TRUE,'Dec 2026'!S30="x",'Dec 2026'!S30="X"),1,0))</f>
        <v/>
      </c>
      <c r="Z80" s="345">
        <f>IF($A80="","",IF(OR('Dec 2026'!S31=TRUE,'Dec 2026'!S31="x",'Dec 2026'!S31="X"),1,0))</f>
        <v/>
      </c>
      <c r="AA80" s="345">
        <f>IF($A80="","",IF(OR('Dec 2026'!S32=TRUE,'Dec 2026'!S32="x",'Dec 2026'!S32="X"),1,0))</f>
        <v/>
      </c>
      <c r="AB80" s="345">
        <f>IF($A80="","",IF(OR('Dec 2026'!S34=TRUE,'Dec 2026'!S34="x",'Dec 2026'!S34="X"),1,0))</f>
        <v/>
      </c>
      <c r="AC80" s="345">
        <f>IF($A80="","",IF(OR('Dec 2026'!S35=TRUE,'Dec 2026'!S35="x",'Dec 2026'!S35="X"),1,0))</f>
        <v/>
      </c>
      <c r="AD80" s="345">
        <f>IF($A80="","",IF(OR('Dec 2026'!S36=TRUE,'Dec 2026'!S36="x",'Dec 2026'!S36="X"),1,0))</f>
        <v/>
      </c>
      <c r="AE80" s="345">
        <f>IF($A80="","",IF(OR('Dec 2026'!S37=TRUE,'Dec 2026'!S37="x",'Dec 2026'!S37="X"),1,0))</f>
        <v/>
      </c>
      <c r="AF80" s="345">
        <f>IF($A80="","",IF('Dec 2026'!S59="","",'Dec 2026'!S59))</f>
        <v/>
      </c>
      <c r="AG80" s="345">
        <f>IF($A80="","",IF('Dec 2026'!S60="","",'Dec 2026'!S60))</f>
        <v/>
      </c>
      <c r="AH80" s="345">
        <f>IF($A80="","",IF('Dec 2026'!S61="","",'Dec 2026'!S61))</f>
        <v/>
      </c>
      <c r="AI80" s="345">
        <f>IF($A80="","",IF('Dec 2026'!S62="","",'Dec 2026'!S62))</f>
        <v/>
      </c>
      <c r="AJ80" s="345">
        <f>IF($A80="","",IF('Dec 2026'!S63="","",'Dec 2026'!S63))</f>
        <v/>
      </c>
      <c r="AK80" s="345">
        <f>IF($A80="","",IF('Dec 2026'!S64="","",'Dec 2026'!S64))</f>
        <v/>
      </c>
      <c r="AL80" s="345">
        <f>IF($A80="","",IF('Dec 2026'!S65="","",'Dec 2026'!S65))</f>
        <v/>
      </c>
      <c r="AM80" s="345">
        <f>IF($A80="","",IF('Dec 2026'!S66="","",'Dec 2026'!S66))</f>
        <v/>
      </c>
      <c r="AN80" s="345">
        <f>IF($A80="","",IF('Dec 2026'!S67="","",'Dec 2026'!S67))</f>
        <v/>
      </c>
      <c r="AO80" s="345">
        <f>IF($A80="",0,IF(AND($A80&gt;=TrackStart,$A80&lt;=TODAY()),1,0))</f>
        <v/>
      </c>
      <c r="AP80" s="345">
        <f>IF($A80="",0,IF(SUM(F80:AE80)+COUNT(AF80:AN80)&gt;0,1,0))</f>
        <v/>
      </c>
      <c r="AQ80" s="345">
        <f>IF($A80="","",INT(($A80-TrackStart)/7)+1)</f>
        <v/>
      </c>
      <c r="AR80" s="345">
        <f>IF($A80="","",IF(AQ80&lt;=1,Steps1,IF(AQ80=2,Steps2,Steps3)))</f>
        <v/>
      </c>
      <c r="AS80" s="345">
        <f>IF($A80="",0,IF(ISNUMBER(SEARCH(TEXT(D80,"0"),WorkDays&amp;"")),1,0))</f>
        <v/>
      </c>
      <c r="AT80" s="345">
        <f>IF($A80="",0,IF(ISNUMBER(SEARCH(TEXT(D80,"0"),StrDays&amp;"")),1,0))</f>
        <v/>
      </c>
      <c r="AU80" s="345">
        <f>IF($A80="",0,IF(ISNUMBER(AK80),IF(AK80&gt;=SleepMin,1,0),N80))</f>
        <v/>
      </c>
      <c r="AV80" s="345">
        <f>IF($A80="",0,MAX(I80,O80,S80,AC80))</f>
        <v/>
      </c>
      <c r="AW80" s="345">
        <f>IF($A80="",0,IF(ISNUMBER(AH80),IF(AH80&gt;=ProtHit,1,0),0))</f>
        <v/>
      </c>
      <c r="AX80" s="345">
        <f>IF($A80="",0,IF(ISNUMBER(AI80),IF(AI80&gt;=WaterHit,1,0),0))</f>
        <v/>
      </c>
      <c r="AY80" s="345">
        <f>IF($A80="",0,IF(ISNUMBER(AG80),IF(AG80&gt;=AR80,1,0),0))</f>
        <v/>
      </c>
      <c r="AZ80" s="345">
        <f>IF($A80="",0,G80)</f>
        <v/>
      </c>
      <c r="BA80" s="345">
        <f>IF($A80="",0,J80)</f>
        <v/>
      </c>
      <c r="BB80" s="345">
        <f>IF($A80="",0,K80)</f>
        <v/>
      </c>
      <c r="BC80" s="345">
        <f>IF($A80="",0,MAX(L80,AE80))</f>
        <v/>
      </c>
      <c r="BD80" s="344">
        <f>IF($A80="","",(AU80+AV80+AW80+AX80+AY80+AZ80+BB80+BC80+IF(AS80=1,BA80,0))/(8+AS80))</f>
        <v/>
      </c>
      <c r="BE80" s="344">
        <f>IF($A80="","",(IF(ISNUMBER(AI80),IF(AI80&gt;=WaterMVD,1,0),0)+AV80+IF(ISNUMBER(AH80),IF(AH80&gt;=ProtMVD,1,0),0)+MAX(H80,AD80)+AZ80+BB80+AU80)/7)</f>
        <v/>
      </c>
      <c r="BF80" s="344">
        <f>IF(AO80=0,"",IF(E80="S","",IF(AND(AP80=0,$A80=TODAY()),"",IF(E80="M",BE80,BD80))))</f>
        <v/>
      </c>
      <c r="BG80" s="344">
        <f>IF(AO80=0,"",IFERROR(AVERAGEIFS(Data!$BF$4:$BF$375,Data!$A$4:$A$375,"&gt;"&amp;($A80-7),Data!$A$4:$A$375,"&lt;="&amp;$A80),""))</f>
        <v/>
      </c>
      <c r="BH80" s="344">
        <f>IF(AO80=0,"",IFERROR(AVERAGEIFS(Data!$BF$4:$BF$375,Data!$A$4:$A$375,"&gt;"&amp;($A80-30),Data!$A$4:$A$375,"&lt;="&amp;$A80),""))</f>
        <v/>
      </c>
      <c r="BI80" s="359">
        <f>IF($A80="","",IFERROR(AVERAGEIFS(Data!$AF$4:$AF$375,Data!$A$4:$A$375,"&gt;"&amp;($A80-7),Data!$A$4:$A$375,"&lt;="&amp;$A80,Data!$AF$4:$AF$375,"&gt;0"),""))</f>
        <v/>
      </c>
      <c r="BJ80" s="345">
        <f>IF($A80="","",F80+G80+H80+I80+J80+K80+L80+M80+N80-IF(AS80=1,0,J80))</f>
        <v/>
      </c>
      <c r="BK80" s="345">
        <f>IF($A80="","",8+AS80)</f>
        <v/>
      </c>
      <c r="BL80" s="345">
        <f>IF(ISNUMBER(BF80),BF80,NA())</f>
        <v/>
      </c>
      <c r="BM80" s="345">
        <f>IF(ISNUMBER(AF80),AF80,NA())</f>
        <v/>
      </c>
      <c r="BN80" s="345">
        <f>IF(ISNUMBER(BI80),BI80,NA())</f>
        <v/>
      </c>
      <c r="BO80" s="345">
        <f>IF(ISNUMBER(AL80),AL80,NA())</f>
        <v/>
      </c>
      <c r="BP80" s="345">
        <f>IF(ISNUMBER(AM80),AM80,NA())</f>
        <v/>
      </c>
      <c r="BQ80" s="345">
        <f>IF(ISNUMBER(AN80),AN80,NA())</f>
        <v/>
      </c>
    </row>
    <row r="81">
      <c r="A81" s="358">
        <f>IF('Dec 2026'!T7="","",'Dec 2026'!T7)</f>
        <v/>
      </c>
      <c r="B81" s="345" t="n">
        <v>3</v>
      </c>
      <c r="C81" s="345">
        <f>IF($A81="","",16)</f>
        <v/>
      </c>
      <c r="D81" s="345">
        <f>IF($A81="","",WEEKDAY($A81,2))</f>
        <v/>
      </c>
      <c r="E81" s="345">
        <f>IF($A81="","",UPPER(TRIM('Dec 2026'!T8)))</f>
        <v/>
      </c>
      <c r="F81" s="345">
        <f>IF($A81="","",IF(OR('Dec 2026'!T10=TRUE,'Dec 2026'!T10="x",'Dec 2026'!T10="X"),1,0))</f>
        <v/>
      </c>
      <c r="G81" s="345">
        <f>IF($A81="","",IF(OR('Dec 2026'!T11=TRUE,'Dec 2026'!T11="x",'Dec 2026'!T11="X"),1,0))</f>
        <v/>
      </c>
      <c r="H81" s="345">
        <f>IF($A81="","",IF(OR('Dec 2026'!T12=TRUE,'Dec 2026'!T12="x",'Dec 2026'!T12="X"),1,0))</f>
        <v/>
      </c>
      <c r="I81" s="345">
        <f>IF($A81="","",IF(OR('Dec 2026'!T13=TRUE,'Dec 2026'!T13="x",'Dec 2026'!T13="X"),1,0))</f>
        <v/>
      </c>
      <c r="J81" s="345">
        <f>IF($A81="","",IF(OR('Dec 2026'!T14=TRUE,'Dec 2026'!T14="x",'Dec 2026'!T14="X"),1,0))</f>
        <v/>
      </c>
      <c r="K81" s="345">
        <f>IF($A81="","",IF(OR('Dec 2026'!T15=TRUE,'Dec 2026'!T15="x",'Dec 2026'!T15="X"),1,0))</f>
        <v/>
      </c>
      <c r="L81" s="345">
        <f>IF($A81="","",IF(OR('Dec 2026'!T16=TRUE,'Dec 2026'!T16="x",'Dec 2026'!T16="X"),1,0))</f>
        <v/>
      </c>
      <c r="M81" s="345">
        <f>IF($A81="","",IF(OR('Dec 2026'!T17=TRUE,'Dec 2026'!T17="x",'Dec 2026'!T17="X"),1,0))</f>
        <v/>
      </c>
      <c r="N81" s="345">
        <f>IF($A81="","",IF(OR('Dec 2026'!T18=TRUE,'Dec 2026'!T18="x",'Dec 2026'!T18="X"),1,0))</f>
        <v/>
      </c>
      <c r="O81" s="345">
        <f>IF($A81="","",IF(OR('Dec 2026'!T20=TRUE,'Dec 2026'!T20="x",'Dec 2026'!T20="X"),1,0))</f>
        <v/>
      </c>
      <c r="P81" s="345">
        <f>IF($A81="","",IF(OR('Dec 2026'!T21=TRUE,'Dec 2026'!T21="x",'Dec 2026'!T21="X"),1,0))</f>
        <v/>
      </c>
      <c r="Q81" s="345">
        <f>IF($A81="","",IF(OR('Dec 2026'!T22=TRUE,'Dec 2026'!T22="x",'Dec 2026'!T22="X"),1,0))</f>
        <v/>
      </c>
      <c r="R81" s="345">
        <f>IF($A81="","",IF(OR('Dec 2026'!T23=TRUE,'Dec 2026'!T23="x",'Dec 2026'!T23="X"),1,0))</f>
        <v/>
      </c>
      <c r="S81" s="345">
        <f>IF($A81="","",IF(OR('Dec 2026'!T24=TRUE,'Dec 2026'!T24="x",'Dec 2026'!T24="X"),1,0))</f>
        <v/>
      </c>
      <c r="T81" s="345">
        <f>IF($A81="","",IF(OR('Dec 2026'!T25=TRUE,'Dec 2026'!T25="x",'Dec 2026'!T25="X"),1,0))</f>
        <v/>
      </c>
      <c r="U81" s="345">
        <f>IF($A81="","",IF(OR('Dec 2026'!T26=TRUE,'Dec 2026'!T26="x",'Dec 2026'!T26="X"),1,0))</f>
        <v/>
      </c>
      <c r="V81" s="345">
        <f>IF($A81="","",IF(OR('Dec 2026'!T27=TRUE,'Dec 2026'!T27="x",'Dec 2026'!T27="X"),1,0))</f>
        <v/>
      </c>
      <c r="W81" s="345">
        <f>IF($A81="","",IF(OR('Dec 2026'!T28=TRUE,'Dec 2026'!T28="x",'Dec 2026'!T28="X"),1,0))</f>
        <v/>
      </c>
      <c r="X81" s="345">
        <f>IF($A81="","",IF(OR('Dec 2026'!T29=TRUE,'Dec 2026'!T29="x",'Dec 2026'!T29="X"),1,0))</f>
        <v/>
      </c>
      <c r="Y81" s="345">
        <f>IF($A81="","",IF(OR('Dec 2026'!T30=TRUE,'Dec 2026'!T30="x",'Dec 2026'!T30="X"),1,0))</f>
        <v/>
      </c>
      <c r="Z81" s="345">
        <f>IF($A81="","",IF(OR('Dec 2026'!T31=TRUE,'Dec 2026'!T31="x",'Dec 2026'!T31="X"),1,0))</f>
        <v/>
      </c>
      <c r="AA81" s="345">
        <f>IF($A81="","",IF(OR('Dec 2026'!T32=TRUE,'Dec 2026'!T32="x",'Dec 2026'!T32="X"),1,0))</f>
        <v/>
      </c>
      <c r="AB81" s="345">
        <f>IF($A81="","",IF(OR('Dec 2026'!T34=TRUE,'Dec 2026'!T34="x",'Dec 2026'!T34="X"),1,0))</f>
        <v/>
      </c>
      <c r="AC81" s="345">
        <f>IF($A81="","",IF(OR('Dec 2026'!T35=TRUE,'Dec 2026'!T35="x",'Dec 2026'!T35="X"),1,0))</f>
        <v/>
      </c>
      <c r="AD81" s="345">
        <f>IF($A81="","",IF(OR('Dec 2026'!T36=TRUE,'Dec 2026'!T36="x",'Dec 2026'!T36="X"),1,0))</f>
        <v/>
      </c>
      <c r="AE81" s="345">
        <f>IF($A81="","",IF(OR('Dec 2026'!T37=TRUE,'Dec 2026'!T37="x",'Dec 2026'!T37="X"),1,0))</f>
        <v/>
      </c>
      <c r="AF81" s="345">
        <f>IF($A81="","",IF('Dec 2026'!T59="","",'Dec 2026'!T59))</f>
        <v/>
      </c>
      <c r="AG81" s="345">
        <f>IF($A81="","",IF('Dec 2026'!T60="","",'Dec 2026'!T60))</f>
        <v/>
      </c>
      <c r="AH81" s="345">
        <f>IF($A81="","",IF('Dec 2026'!T61="","",'Dec 2026'!T61))</f>
        <v/>
      </c>
      <c r="AI81" s="345">
        <f>IF($A81="","",IF('Dec 2026'!T62="","",'Dec 2026'!T62))</f>
        <v/>
      </c>
      <c r="AJ81" s="345">
        <f>IF($A81="","",IF('Dec 2026'!T63="","",'Dec 2026'!T63))</f>
        <v/>
      </c>
      <c r="AK81" s="345">
        <f>IF($A81="","",IF('Dec 2026'!T64="","",'Dec 2026'!T64))</f>
        <v/>
      </c>
      <c r="AL81" s="345">
        <f>IF($A81="","",IF('Dec 2026'!T65="","",'Dec 2026'!T65))</f>
        <v/>
      </c>
      <c r="AM81" s="345">
        <f>IF($A81="","",IF('Dec 2026'!T66="","",'Dec 2026'!T66))</f>
        <v/>
      </c>
      <c r="AN81" s="345">
        <f>IF($A81="","",IF('Dec 2026'!T67="","",'Dec 2026'!T67))</f>
        <v/>
      </c>
      <c r="AO81" s="345">
        <f>IF($A81="",0,IF(AND($A81&gt;=TrackStart,$A81&lt;=TODAY()),1,0))</f>
        <v/>
      </c>
      <c r="AP81" s="345">
        <f>IF($A81="",0,IF(SUM(F81:AE81)+COUNT(AF81:AN81)&gt;0,1,0))</f>
        <v/>
      </c>
      <c r="AQ81" s="345">
        <f>IF($A81="","",INT(($A81-TrackStart)/7)+1)</f>
        <v/>
      </c>
      <c r="AR81" s="345">
        <f>IF($A81="","",IF(AQ81&lt;=1,Steps1,IF(AQ81=2,Steps2,Steps3)))</f>
        <v/>
      </c>
      <c r="AS81" s="345">
        <f>IF($A81="",0,IF(ISNUMBER(SEARCH(TEXT(D81,"0"),WorkDays&amp;"")),1,0))</f>
        <v/>
      </c>
      <c r="AT81" s="345">
        <f>IF($A81="",0,IF(ISNUMBER(SEARCH(TEXT(D81,"0"),StrDays&amp;"")),1,0))</f>
        <v/>
      </c>
      <c r="AU81" s="345">
        <f>IF($A81="",0,IF(ISNUMBER(AK81),IF(AK81&gt;=SleepMin,1,0),N81))</f>
        <v/>
      </c>
      <c r="AV81" s="345">
        <f>IF($A81="",0,MAX(I81,O81,S81,AC81))</f>
        <v/>
      </c>
      <c r="AW81" s="345">
        <f>IF($A81="",0,IF(ISNUMBER(AH81),IF(AH81&gt;=ProtHit,1,0),0))</f>
        <v/>
      </c>
      <c r="AX81" s="345">
        <f>IF($A81="",0,IF(ISNUMBER(AI81),IF(AI81&gt;=WaterHit,1,0),0))</f>
        <v/>
      </c>
      <c r="AY81" s="345">
        <f>IF($A81="",0,IF(ISNUMBER(AG81),IF(AG81&gt;=AR81,1,0),0))</f>
        <v/>
      </c>
      <c r="AZ81" s="345">
        <f>IF($A81="",0,G81)</f>
        <v/>
      </c>
      <c r="BA81" s="345">
        <f>IF($A81="",0,J81)</f>
        <v/>
      </c>
      <c r="BB81" s="345">
        <f>IF($A81="",0,K81)</f>
        <v/>
      </c>
      <c r="BC81" s="345">
        <f>IF($A81="",0,MAX(L81,AE81))</f>
        <v/>
      </c>
      <c r="BD81" s="344">
        <f>IF($A81="","",(AU81+AV81+AW81+AX81+AY81+AZ81+BB81+BC81+IF(AS81=1,BA81,0))/(8+AS81))</f>
        <v/>
      </c>
      <c r="BE81" s="344">
        <f>IF($A81="","",(IF(ISNUMBER(AI81),IF(AI81&gt;=WaterMVD,1,0),0)+AV81+IF(ISNUMBER(AH81),IF(AH81&gt;=ProtMVD,1,0),0)+MAX(H81,AD81)+AZ81+BB81+AU81)/7)</f>
        <v/>
      </c>
      <c r="BF81" s="344">
        <f>IF(AO81=0,"",IF(E81="S","",IF(AND(AP81=0,$A81=TODAY()),"",IF(E81="M",BE81,BD81))))</f>
        <v/>
      </c>
      <c r="BG81" s="344">
        <f>IF(AO81=0,"",IFERROR(AVERAGEIFS(Data!$BF$4:$BF$375,Data!$A$4:$A$375,"&gt;"&amp;($A81-7),Data!$A$4:$A$375,"&lt;="&amp;$A81),""))</f>
        <v/>
      </c>
      <c r="BH81" s="344">
        <f>IF(AO81=0,"",IFERROR(AVERAGEIFS(Data!$BF$4:$BF$375,Data!$A$4:$A$375,"&gt;"&amp;($A81-30),Data!$A$4:$A$375,"&lt;="&amp;$A81),""))</f>
        <v/>
      </c>
      <c r="BI81" s="359">
        <f>IF($A81="","",IFERROR(AVERAGEIFS(Data!$AF$4:$AF$375,Data!$A$4:$A$375,"&gt;"&amp;($A81-7),Data!$A$4:$A$375,"&lt;="&amp;$A81,Data!$AF$4:$AF$375,"&gt;0"),""))</f>
        <v/>
      </c>
      <c r="BJ81" s="345">
        <f>IF($A81="","",F81+G81+H81+I81+J81+K81+L81+M81+N81-IF(AS81=1,0,J81))</f>
        <v/>
      </c>
      <c r="BK81" s="345">
        <f>IF($A81="","",8+AS81)</f>
        <v/>
      </c>
      <c r="BL81" s="345">
        <f>IF(ISNUMBER(BF81),BF81,NA())</f>
        <v/>
      </c>
      <c r="BM81" s="345">
        <f>IF(ISNUMBER(AF81),AF81,NA())</f>
        <v/>
      </c>
      <c r="BN81" s="345">
        <f>IF(ISNUMBER(BI81),BI81,NA())</f>
        <v/>
      </c>
      <c r="BO81" s="345">
        <f>IF(ISNUMBER(AL81),AL81,NA())</f>
        <v/>
      </c>
      <c r="BP81" s="345">
        <f>IF(ISNUMBER(AM81),AM81,NA())</f>
        <v/>
      </c>
      <c r="BQ81" s="345">
        <f>IF(ISNUMBER(AN81),AN81,NA())</f>
        <v/>
      </c>
    </row>
    <row r="82">
      <c r="A82" s="358">
        <f>IF('Dec 2026'!U7="","",'Dec 2026'!U7)</f>
        <v/>
      </c>
      <c r="B82" s="345" t="n">
        <v>3</v>
      </c>
      <c r="C82" s="345">
        <f>IF($A82="","",17)</f>
        <v/>
      </c>
      <c r="D82" s="345">
        <f>IF($A82="","",WEEKDAY($A82,2))</f>
        <v/>
      </c>
      <c r="E82" s="345">
        <f>IF($A82="","",UPPER(TRIM('Dec 2026'!U8)))</f>
        <v/>
      </c>
      <c r="F82" s="345">
        <f>IF($A82="","",IF(OR('Dec 2026'!U10=TRUE,'Dec 2026'!U10="x",'Dec 2026'!U10="X"),1,0))</f>
        <v/>
      </c>
      <c r="G82" s="345">
        <f>IF($A82="","",IF(OR('Dec 2026'!U11=TRUE,'Dec 2026'!U11="x",'Dec 2026'!U11="X"),1,0))</f>
        <v/>
      </c>
      <c r="H82" s="345">
        <f>IF($A82="","",IF(OR('Dec 2026'!U12=TRUE,'Dec 2026'!U12="x",'Dec 2026'!U12="X"),1,0))</f>
        <v/>
      </c>
      <c r="I82" s="345">
        <f>IF($A82="","",IF(OR('Dec 2026'!U13=TRUE,'Dec 2026'!U13="x",'Dec 2026'!U13="X"),1,0))</f>
        <v/>
      </c>
      <c r="J82" s="345">
        <f>IF($A82="","",IF(OR('Dec 2026'!U14=TRUE,'Dec 2026'!U14="x",'Dec 2026'!U14="X"),1,0))</f>
        <v/>
      </c>
      <c r="K82" s="345">
        <f>IF($A82="","",IF(OR('Dec 2026'!U15=TRUE,'Dec 2026'!U15="x",'Dec 2026'!U15="X"),1,0))</f>
        <v/>
      </c>
      <c r="L82" s="345">
        <f>IF($A82="","",IF(OR('Dec 2026'!U16=TRUE,'Dec 2026'!U16="x",'Dec 2026'!U16="X"),1,0))</f>
        <v/>
      </c>
      <c r="M82" s="345">
        <f>IF($A82="","",IF(OR('Dec 2026'!U17=TRUE,'Dec 2026'!U17="x",'Dec 2026'!U17="X"),1,0))</f>
        <v/>
      </c>
      <c r="N82" s="345">
        <f>IF($A82="","",IF(OR('Dec 2026'!U18=TRUE,'Dec 2026'!U18="x",'Dec 2026'!U18="X"),1,0))</f>
        <v/>
      </c>
      <c r="O82" s="345">
        <f>IF($A82="","",IF(OR('Dec 2026'!U20=TRUE,'Dec 2026'!U20="x",'Dec 2026'!U20="X"),1,0))</f>
        <v/>
      </c>
      <c r="P82" s="345">
        <f>IF($A82="","",IF(OR('Dec 2026'!U21=TRUE,'Dec 2026'!U21="x",'Dec 2026'!U21="X"),1,0))</f>
        <v/>
      </c>
      <c r="Q82" s="345">
        <f>IF($A82="","",IF(OR('Dec 2026'!U22=TRUE,'Dec 2026'!U22="x",'Dec 2026'!U22="X"),1,0))</f>
        <v/>
      </c>
      <c r="R82" s="345">
        <f>IF($A82="","",IF(OR('Dec 2026'!U23=TRUE,'Dec 2026'!U23="x",'Dec 2026'!U23="X"),1,0))</f>
        <v/>
      </c>
      <c r="S82" s="345">
        <f>IF($A82="","",IF(OR('Dec 2026'!U24=TRUE,'Dec 2026'!U24="x",'Dec 2026'!U24="X"),1,0))</f>
        <v/>
      </c>
      <c r="T82" s="345">
        <f>IF($A82="","",IF(OR('Dec 2026'!U25=TRUE,'Dec 2026'!U25="x",'Dec 2026'!U25="X"),1,0))</f>
        <v/>
      </c>
      <c r="U82" s="345">
        <f>IF($A82="","",IF(OR('Dec 2026'!U26=TRUE,'Dec 2026'!U26="x",'Dec 2026'!U26="X"),1,0))</f>
        <v/>
      </c>
      <c r="V82" s="345">
        <f>IF($A82="","",IF(OR('Dec 2026'!U27=TRUE,'Dec 2026'!U27="x",'Dec 2026'!U27="X"),1,0))</f>
        <v/>
      </c>
      <c r="W82" s="345">
        <f>IF($A82="","",IF(OR('Dec 2026'!U28=TRUE,'Dec 2026'!U28="x",'Dec 2026'!U28="X"),1,0))</f>
        <v/>
      </c>
      <c r="X82" s="345">
        <f>IF($A82="","",IF(OR('Dec 2026'!U29=TRUE,'Dec 2026'!U29="x",'Dec 2026'!U29="X"),1,0))</f>
        <v/>
      </c>
      <c r="Y82" s="345">
        <f>IF($A82="","",IF(OR('Dec 2026'!U30=TRUE,'Dec 2026'!U30="x",'Dec 2026'!U30="X"),1,0))</f>
        <v/>
      </c>
      <c r="Z82" s="345">
        <f>IF($A82="","",IF(OR('Dec 2026'!U31=TRUE,'Dec 2026'!U31="x",'Dec 2026'!U31="X"),1,0))</f>
        <v/>
      </c>
      <c r="AA82" s="345">
        <f>IF($A82="","",IF(OR('Dec 2026'!U32=TRUE,'Dec 2026'!U32="x",'Dec 2026'!U32="X"),1,0))</f>
        <v/>
      </c>
      <c r="AB82" s="345">
        <f>IF($A82="","",IF(OR('Dec 2026'!U34=TRUE,'Dec 2026'!U34="x",'Dec 2026'!U34="X"),1,0))</f>
        <v/>
      </c>
      <c r="AC82" s="345">
        <f>IF($A82="","",IF(OR('Dec 2026'!U35=TRUE,'Dec 2026'!U35="x",'Dec 2026'!U35="X"),1,0))</f>
        <v/>
      </c>
      <c r="AD82" s="345">
        <f>IF($A82="","",IF(OR('Dec 2026'!U36=TRUE,'Dec 2026'!U36="x",'Dec 2026'!U36="X"),1,0))</f>
        <v/>
      </c>
      <c r="AE82" s="345">
        <f>IF($A82="","",IF(OR('Dec 2026'!U37=TRUE,'Dec 2026'!U37="x",'Dec 2026'!U37="X"),1,0))</f>
        <v/>
      </c>
      <c r="AF82" s="345">
        <f>IF($A82="","",IF('Dec 2026'!U59="","",'Dec 2026'!U59))</f>
        <v/>
      </c>
      <c r="AG82" s="345">
        <f>IF($A82="","",IF('Dec 2026'!U60="","",'Dec 2026'!U60))</f>
        <v/>
      </c>
      <c r="AH82" s="345">
        <f>IF($A82="","",IF('Dec 2026'!U61="","",'Dec 2026'!U61))</f>
        <v/>
      </c>
      <c r="AI82" s="345">
        <f>IF($A82="","",IF('Dec 2026'!U62="","",'Dec 2026'!U62))</f>
        <v/>
      </c>
      <c r="AJ82" s="345">
        <f>IF($A82="","",IF('Dec 2026'!U63="","",'Dec 2026'!U63))</f>
        <v/>
      </c>
      <c r="AK82" s="345">
        <f>IF($A82="","",IF('Dec 2026'!U64="","",'Dec 2026'!U64))</f>
        <v/>
      </c>
      <c r="AL82" s="345">
        <f>IF($A82="","",IF('Dec 2026'!U65="","",'Dec 2026'!U65))</f>
        <v/>
      </c>
      <c r="AM82" s="345">
        <f>IF($A82="","",IF('Dec 2026'!U66="","",'Dec 2026'!U66))</f>
        <v/>
      </c>
      <c r="AN82" s="345">
        <f>IF($A82="","",IF('Dec 2026'!U67="","",'Dec 2026'!U67))</f>
        <v/>
      </c>
      <c r="AO82" s="345">
        <f>IF($A82="",0,IF(AND($A82&gt;=TrackStart,$A82&lt;=TODAY()),1,0))</f>
        <v/>
      </c>
      <c r="AP82" s="345">
        <f>IF($A82="",0,IF(SUM(F82:AE82)+COUNT(AF82:AN82)&gt;0,1,0))</f>
        <v/>
      </c>
      <c r="AQ82" s="345">
        <f>IF($A82="","",INT(($A82-TrackStart)/7)+1)</f>
        <v/>
      </c>
      <c r="AR82" s="345">
        <f>IF($A82="","",IF(AQ82&lt;=1,Steps1,IF(AQ82=2,Steps2,Steps3)))</f>
        <v/>
      </c>
      <c r="AS82" s="345">
        <f>IF($A82="",0,IF(ISNUMBER(SEARCH(TEXT(D82,"0"),WorkDays&amp;"")),1,0))</f>
        <v/>
      </c>
      <c r="AT82" s="345">
        <f>IF($A82="",0,IF(ISNUMBER(SEARCH(TEXT(D82,"0"),StrDays&amp;"")),1,0))</f>
        <v/>
      </c>
      <c r="AU82" s="345">
        <f>IF($A82="",0,IF(ISNUMBER(AK82),IF(AK82&gt;=SleepMin,1,0),N82))</f>
        <v/>
      </c>
      <c r="AV82" s="345">
        <f>IF($A82="",0,MAX(I82,O82,S82,AC82))</f>
        <v/>
      </c>
      <c r="AW82" s="345">
        <f>IF($A82="",0,IF(ISNUMBER(AH82),IF(AH82&gt;=ProtHit,1,0),0))</f>
        <v/>
      </c>
      <c r="AX82" s="345">
        <f>IF($A82="",0,IF(ISNUMBER(AI82),IF(AI82&gt;=WaterHit,1,0),0))</f>
        <v/>
      </c>
      <c r="AY82" s="345">
        <f>IF($A82="",0,IF(ISNUMBER(AG82),IF(AG82&gt;=AR82,1,0),0))</f>
        <v/>
      </c>
      <c r="AZ82" s="345">
        <f>IF($A82="",0,G82)</f>
        <v/>
      </c>
      <c r="BA82" s="345">
        <f>IF($A82="",0,J82)</f>
        <v/>
      </c>
      <c r="BB82" s="345">
        <f>IF($A82="",0,K82)</f>
        <v/>
      </c>
      <c r="BC82" s="345">
        <f>IF($A82="",0,MAX(L82,AE82))</f>
        <v/>
      </c>
      <c r="BD82" s="344">
        <f>IF($A82="","",(AU82+AV82+AW82+AX82+AY82+AZ82+BB82+BC82+IF(AS82=1,BA82,0))/(8+AS82))</f>
        <v/>
      </c>
      <c r="BE82" s="344">
        <f>IF($A82="","",(IF(ISNUMBER(AI82),IF(AI82&gt;=WaterMVD,1,0),0)+AV82+IF(ISNUMBER(AH82),IF(AH82&gt;=ProtMVD,1,0),0)+MAX(H82,AD82)+AZ82+BB82+AU82)/7)</f>
        <v/>
      </c>
      <c r="BF82" s="344">
        <f>IF(AO82=0,"",IF(E82="S","",IF(AND(AP82=0,$A82=TODAY()),"",IF(E82="M",BE82,BD82))))</f>
        <v/>
      </c>
      <c r="BG82" s="344">
        <f>IF(AO82=0,"",IFERROR(AVERAGEIFS(Data!$BF$4:$BF$375,Data!$A$4:$A$375,"&gt;"&amp;($A82-7),Data!$A$4:$A$375,"&lt;="&amp;$A82),""))</f>
        <v/>
      </c>
      <c r="BH82" s="344">
        <f>IF(AO82=0,"",IFERROR(AVERAGEIFS(Data!$BF$4:$BF$375,Data!$A$4:$A$375,"&gt;"&amp;($A82-30),Data!$A$4:$A$375,"&lt;="&amp;$A82),""))</f>
        <v/>
      </c>
      <c r="BI82" s="359">
        <f>IF($A82="","",IFERROR(AVERAGEIFS(Data!$AF$4:$AF$375,Data!$A$4:$A$375,"&gt;"&amp;($A82-7),Data!$A$4:$A$375,"&lt;="&amp;$A82,Data!$AF$4:$AF$375,"&gt;0"),""))</f>
        <v/>
      </c>
      <c r="BJ82" s="345">
        <f>IF($A82="","",F82+G82+H82+I82+J82+K82+L82+M82+N82-IF(AS82=1,0,J82))</f>
        <v/>
      </c>
      <c r="BK82" s="345">
        <f>IF($A82="","",8+AS82)</f>
        <v/>
      </c>
      <c r="BL82" s="345">
        <f>IF(ISNUMBER(BF82),BF82,NA())</f>
        <v/>
      </c>
      <c r="BM82" s="345">
        <f>IF(ISNUMBER(AF82),AF82,NA())</f>
        <v/>
      </c>
      <c r="BN82" s="345">
        <f>IF(ISNUMBER(BI82),BI82,NA())</f>
        <v/>
      </c>
      <c r="BO82" s="345">
        <f>IF(ISNUMBER(AL82),AL82,NA())</f>
        <v/>
      </c>
      <c r="BP82" s="345">
        <f>IF(ISNUMBER(AM82),AM82,NA())</f>
        <v/>
      </c>
      <c r="BQ82" s="345">
        <f>IF(ISNUMBER(AN82),AN82,NA())</f>
        <v/>
      </c>
    </row>
    <row r="83">
      <c r="A83" s="358">
        <f>IF('Dec 2026'!V7="","",'Dec 2026'!V7)</f>
        <v/>
      </c>
      <c r="B83" s="345" t="n">
        <v>3</v>
      </c>
      <c r="C83" s="345">
        <f>IF($A83="","",18)</f>
        <v/>
      </c>
      <c r="D83" s="345">
        <f>IF($A83="","",WEEKDAY($A83,2))</f>
        <v/>
      </c>
      <c r="E83" s="345">
        <f>IF($A83="","",UPPER(TRIM('Dec 2026'!V8)))</f>
        <v/>
      </c>
      <c r="F83" s="345">
        <f>IF($A83="","",IF(OR('Dec 2026'!V10=TRUE,'Dec 2026'!V10="x",'Dec 2026'!V10="X"),1,0))</f>
        <v/>
      </c>
      <c r="G83" s="345">
        <f>IF($A83="","",IF(OR('Dec 2026'!V11=TRUE,'Dec 2026'!V11="x",'Dec 2026'!V11="X"),1,0))</f>
        <v/>
      </c>
      <c r="H83" s="345">
        <f>IF($A83="","",IF(OR('Dec 2026'!V12=TRUE,'Dec 2026'!V12="x",'Dec 2026'!V12="X"),1,0))</f>
        <v/>
      </c>
      <c r="I83" s="345">
        <f>IF($A83="","",IF(OR('Dec 2026'!V13=TRUE,'Dec 2026'!V13="x",'Dec 2026'!V13="X"),1,0))</f>
        <v/>
      </c>
      <c r="J83" s="345">
        <f>IF($A83="","",IF(OR('Dec 2026'!V14=TRUE,'Dec 2026'!V14="x",'Dec 2026'!V14="X"),1,0))</f>
        <v/>
      </c>
      <c r="K83" s="345">
        <f>IF($A83="","",IF(OR('Dec 2026'!V15=TRUE,'Dec 2026'!V15="x",'Dec 2026'!V15="X"),1,0))</f>
        <v/>
      </c>
      <c r="L83" s="345">
        <f>IF($A83="","",IF(OR('Dec 2026'!V16=TRUE,'Dec 2026'!V16="x",'Dec 2026'!V16="X"),1,0))</f>
        <v/>
      </c>
      <c r="M83" s="345">
        <f>IF($A83="","",IF(OR('Dec 2026'!V17=TRUE,'Dec 2026'!V17="x",'Dec 2026'!V17="X"),1,0))</f>
        <v/>
      </c>
      <c r="N83" s="345">
        <f>IF($A83="","",IF(OR('Dec 2026'!V18=TRUE,'Dec 2026'!V18="x",'Dec 2026'!V18="X"),1,0))</f>
        <v/>
      </c>
      <c r="O83" s="345">
        <f>IF($A83="","",IF(OR('Dec 2026'!V20=TRUE,'Dec 2026'!V20="x",'Dec 2026'!V20="X"),1,0))</f>
        <v/>
      </c>
      <c r="P83" s="345">
        <f>IF($A83="","",IF(OR('Dec 2026'!V21=TRUE,'Dec 2026'!V21="x",'Dec 2026'!V21="X"),1,0))</f>
        <v/>
      </c>
      <c r="Q83" s="345">
        <f>IF($A83="","",IF(OR('Dec 2026'!V22=TRUE,'Dec 2026'!V22="x",'Dec 2026'!V22="X"),1,0))</f>
        <v/>
      </c>
      <c r="R83" s="345">
        <f>IF($A83="","",IF(OR('Dec 2026'!V23=TRUE,'Dec 2026'!V23="x",'Dec 2026'!V23="X"),1,0))</f>
        <v/>
      </c>
      <c r="S83" s="345">
        <f>IF($A83="","",IF(OR('Dec 2026'!V24=TRUE,'Dec 2026'!V24="x",'Dec 2026'!V24="X"),1,0))</f>
        <v/>
      </c>
      <c r="T83" s="345">
        <f>IF($A83="","",IF(OR('Dec 2026'!V25=TRUE,'Dec 2026'!V25="x",'Dec 2026'!V25="X"),1,0))</f>
        <v/>
      </c>
      <c r="U83" s="345">
        <f>IF($A83="","",IF(OR('Dec 2026'!V26=TRUE,'Dec 2026'!V26="x",'Dec 2026'!V26="X"),1,0))</f>
        <v/>
      </c>
      <c r="V83" s="345">
        <f>IF($A83="","",IF(OR('Dec 2026'!V27=TRUE,'Dec 2026'!V27="x",'Dec 2026'!V27="X"),1,0))</f>
        <v/>
      </c>
      <c r="W83" s="345">
        <f>IF($A83="","",IF(OR('Dec 2026'!V28=TRUE,'Dec 2026'!V28="x",'Dec 2026'!V28="X"),1,0))</f>
        <v/>
      </c>
      <c r="X83" s="345">
        <f>IF($A83="","",IF(OR('Dec 2026'!V29=TRUE,'Dec 2026'!V29="x",'Dec 2026'!V29="X"),1,0))</f>
        <v/>
      </c>
      <c r="Y83" s="345">
        <f>IF($A83="","",IF(OR('Dec 2026'!V30=TRUE,'Dec 2026'!V30="x",'Dec 2026'!V30="X"),1,0))</f>
        <v/>
      </c>
      <c r="Z83" s="345">
        <f>IF($A83="","",IF(OR('Dec 2026'!V31=TRUE,'Dec 2026'!V31="x",'Dec 2026'!V31="X"),1,0))</f>
        <v/>
      </c>
      <c r="AA83" s="345">
        <f>IF($A83="","",IF(OR('Dec 2026'!V32=TRUE,'Dec 2026'!V32="x",'Dec 2026'!V32="X"),1,0))</f>
        <v/>
      </c>
      <c r="AB83" s="345">
        <f>IF($A83="","",IF(OR('Dec 2026'!V34=TRUE,'Dec 2026'!V34="x",'Dec 2026'!V34="X"),1,0))</f>
        <v/>
      </c>
      <c r="AC83" s="345">
        <f>IF($A83="","",IF(OR('Dec 2026'!V35=TRUE,'Dec 2026'!V35="x",'Dec 2026'!V35="X"),1,0))</f>
        <v/>
      </c>
      <c r="AD83" s="345">
        <f>IF($A83="","",IF(OR('Dec 2026'!V36=TRUE,'Dec 2026'!V36="x",'Dec 2026'!V36="X"),1,0))</f>
        <v/>
      </c>
      <c r="AE83" s="345">
        <f>IF($A83="","",IF(OR('Dec 2026'!V37=TRUE,'Dec 2026'!V37="x",'Dec 2026'!V37="X"),1,0))</f>
        <v/>
      </c>
      <c r="AF83" s="345">
        <f>IF($A83="","",IF('Dec 2026'!V59="","",'Dec 2026'!V59))</f>
        <v/>
      </c>
      <c r="AG83" s="345">
        <f>IF($A83="","",IF('Dec 2026'!V60="","",'Dec 2026'!V60))</f>
        <v/>
      </c>
      <c r="AH83" s="345">
        <f>IF($A83="","",IF('Dec 2026'!V61="","",'Dec 2026'!V61))</f>
        <v/>
      </c>
      <c r="AI83" s="345">
        <f>IF($A83="","",IF('Dec 2026'!V62="","",'Dec 2026'!V62))</f>
        <v/>
      </c>
      <c r="AJ83" s="345">
        <f>IF($A83="","",IF('Dec 2026'!V63="","",'Dec 2026'!V63))</f>
        <v/>
      </c>
      <c r="AK83" s="345">
        <f>IF($A83="","",IF('Dec 2026'!V64="","",'Dec 2026'!V64))</f>
        <v/>
      </c>
      <c r="AL83" s="345">
        <f>IF($A83="","",IF('Dec 2026'!V65="","",'Dec 2026'!V65))</f>
        <v/>
      </c>
      <c r="AM83" s="345">
        <f>IF($A83="","",IF('Dec 2026'!V66="","",'Dec 2026'!V66))</f>
        <v/>
      </c>
      <c r="AN83" s="345">
        <f>IF($A83="","",IF('Dec 2026'!V67="","",'Dec 2026'!V67))</f>
        <v/>
      </c>
      <c r="AO83" s="345">
        <f>IF($A83="",0,IF(AND($A83&gt;=TrackStart,$A83&lt;=TODAY()),1,0))</f>
        <v/>
      </c>
      <c r="AP83" s="345">
        <f>IF($A83="",0,IF(SUM(F83:AE83)+COUNT(AF83:AN83)&gt;0,1,0))</f>
        <v/>
      </c>
      <c r="AQ83" s="345">
        <f>IF($A83="","",INT(($A83-TrackStart)/7)+1)</f>
        <v/>
      </c>
      <c r="AR83" s="345">
        <f>IF($A83="","",IF(AQ83&lt;=1,Steps1,IF(AQ83=2,Steps2,Steps3)))</f>
        <v/>
      </c>
      <c r="AS83" s="345">
        <f>IF($A83="",0,IF(ISNUMBER(SEARCH(TEXT(D83,"0"),WorkDays&amp;"")),1,0))</f>
        <v/>
      </c>
      <c r="AT83" s="345">
        <f>IF($A83="",0,IF(ISNUMBER(SEARCH(TEXT(D83,"0"),StrDays&amp;"")),1,0))</f>
        <v/>
      </c>
      <c r="AU83" s="345">
        <f>IF($A83="",0,IF(ISNUMBER(AK83),IF(AK83&gt;=SleepMin,1,0),N83))</f>
        <v/>
      </c>
      <c r="AV83" s="345">
        <f>IF($A83="",0,MAX(I83,O83,S83,AC83))</f>
        <v/>
      </c>
      <c r="AW83" s="345">
        <f>IF($A83="",0,IF(ISNUMBER(AH83),IF(AH83&gt;=ProtHit,1,0),0))</f>
        <v/>
      </c>
      <c r="AX83" s="345">
        <f>IF($A83="",0,IF(ISNUMBER(AI83),IF(AI83&gt;=WaterHit,1,0),0))</f>
        <v/>
      </c>
      <c r="AY83" s="345">
        <f>IF($A83="",0,IF(ISNUMBER(AG83),IF(AG83&gt;=AR83,1,0),0))</f>
        <v/>
      </c>
      <c r="AZ83" s="345">
        <f>IF($A83="",0,G83)</f>
        <v/>
      </c>
      <c r="BA83" s="345">
        <f>IF($A83="",0,J83)</f>
        <v/>
      </c>
      <c r="BB83" s="345">
        <f>IF($A83="",0,K83)</f>
        <v/>
      </c>
      <c r="BC83" s="345">
        <f>IF($A83="",0,MAX(L83,AE83))</f>
        <v/>
      </c>
      <c r="BD83" s="344">
        <f>IF($A83="","",(AU83+AV83+AW83+AX83+AY83+AZ83+BB83+BC83+IF(AS83=1,BA83,0))/(8+AS83))</f>
        <v/>
      </c>
      <c r="BE83" s="344">
        <f>IF($A83="","",(IF(ISNUMBER(AI83),IF(AI83&gt;=WaterMVD,1,0),0)+AV83+IF(ISNUMBER(AH83),IF(AH83&gt;=ProtMVD,1,0),0)+MAX(H83,AD83)+AZ83+BB83+AU83)/7)</f>
        <v/>
      </c>
      <c r="BF83" s="344">
        <f>IF(AO83=0,"",IF(E83="S","",IF(AND(AP83=0,$A83=TODAY()),"",IF(E83="M",BE83,BD83))))</f>
        <v/>
      </c>
      <c r="BG83" s="344">
        <f>IF(AO83=0,"",IFERROR(AVERAGEIFS(Data!$BF$4:$BF$375,Data!$A$4:$A$375,"&gt;"&amp;($A83-7),Data!$A$4:$A$375,"&lt;="&amp;$A83),""))</f>
        <v/>
      </c>
      <c r="BH83" s="344">
        <f>IF(AO83=0,"",IFERROR(AVERAGEIFS(Data!$BF$4:$BF$375,Data!$A$4:$A$375,"&gt;"&amp;($A83-30),Data!$A$4:$A$375,"&lt;="&amp;$A83),""))</f>
        <v/>
      </c>
      <c r="BI83" s="359">
        <f>IF($A83="","",IFERROR(AVERAGEIFS(Data!$AF$4:$AF$375,Data!$A$4:$A$375,"&gt;"&amp;($A83-7),Data!$A$4:$A$375,"&lt;="&amp;$A83,Data!$AF$4:$AF$375,"&gt;0"),""))</f>
        <v/>
      </c>
      <c r="BJ83" s="345">
        <f>IF($A83="","",F83+G83+H83+I83+J83+K83+L83+M83+N83-IF(AS83=1,0,J83))</f>
        <v/>
      </c>
      <c r="BK83" s="345">
        <f>IF($A83="","",8+AS83)</f>
        <v/>
      </c>
      <c r="BL83" s="345">
        <f>IF(ISNUMBER(BF83),BF83,NA())</f>
        <v/>
      </c>
      <c r="BM83" s="345">
        <f>IF(ISNUMBER(AF83),AF83,NA())</f>
        <v/>
      </c>
      <c r="BN83" s="345">
        <f>IF(ISNUMBER(BI83),BI83,NA())</f>
        <v/>
      </c>
      <c r="BO83" s="345">
        <f>IF(ISNUMBER(AL83),AL83,NA())</f>
        <v/>
      </c>
      <c r="BP83" s="345">
        <f>IF(ISNUMBER(AM83),AM83,NA())</f>
        <v/>
      </c>
      <c r="BQ83" s="345">
        <f>IF(ISNUMBER(AN83),AN83,NA())</f>
        <v/>
      </c>
    </row>
    <row r="84">
      <c r="A84" s="358">
        <f>IF('Dec 2026'!W7="","",'Dec 2026'!W7)</f>
        <v/>
      </c>
      <c r="B84" s="345" t="n">
        <v>3</v>
      </c>
      <c r="C84" s="345">
        <f>IF($A84="","",19)</f>
        <v/>
      </c>
      <c r="D84" s="345">
        <f>IF($A84="","",WEEKDAY($A84,2))</f>
        <v/>
      </c>
      <c r="E84" s="345">
        <f>IF($A84="","",UPPER(TRIM('Dec 2026'!W8)))</f>
        <v/>
      </c>
      <c r="F84" s="345">
        <f>IF($A84="","",IF(OR('Dec 2026'!W10=TRUE,'Dec 2026'!W10="x",'Dec 2026'!W10="X"),1,0))</f>
        <v/>
      </c>
      <c r="G84" s="345">
        <f>IF($A84="","",IF(OR('Dec 2026'!W11=TRUE,'Dec 2026'!W11="x",'Dec 2026'!W11="X"),1,0))</f>
        <v/>
      </c>
      <c r="H84" s="345">
        <f>IF($A84="","",IF(OR('Dec 2026'!W12=TRUE,'Dec 2026'!W12="x",'Dec 2026'!W12="X"),1,0))</f>
        <v/>
      </c>
      <c r="I84" s="345">
        <f>IF($A84="","",IF(OR('Dec 2026'!W13=TRUE,'Dec 2026'!W13="x",'Dec 2026'!W13="X"),1,0))</f>
        <v/>
      </c>
      <c r="J84" s="345">
        <f>IF($A84="","",IF(OR('Dec 2026'!W14=TRUE,'Dec 2026'!W14="x",'Dec 2026'!W14="X"),1,0))</f>
        <v/>
      </c>
      <c r="K84" s="345">
        <f>IF($A84="","",IF(OR('Dec 2026'!W15=TRUE,'Dec 2026'!W15="x",'Dec 2026'!W15="X"),1,0))</f>
        <v/>
      </c>
      <c r="L84" s="345">
        <f>IF($A84="","",IF(OR('Dec 2026'!W16=TRUE,'Dec 2026'!W16="x",'Dec 2026'!W16="X"),1,0))</f>
        <v/>
      </c>
      <c r="M84" s="345">
        <f>IF($A84="","",IF(OR('Dec 2026'!W17=TRUE,'Dec 2026'!W17="x",'Dec 2026'!W17="X"),1,0))</f>
        <v/>
      </c>
      <c r="N84" s="345">
        <f>IF($A84="","",IF(OR('Dec 2026'!W18=TRUE,'Dec 2026'!W18="x",'Dec 2026'!W18="X"),1,0))</f>
        <v/>
      </c>
      <c r="O84" s="345">
        <f>IF($A84="","",IF(OR('Dec 2026'!W20=TRUE,'Dec 2026'!W20="x",'Dec 2026'!W20="X"),1,0))</f>
        <v/>
      </c>
      <c r="P84" s="345">
        <f>IF($A84="","",IF(OR('Dec 2026'!W21=TRUE,'Dec 2026'!W21="x",'Dec 2026'!W21="X"),1,0))</f>
        <v/>
      </c>
      <c r="Q84" s="345">
        <f>IF($A84="","",IF(OR('Dec 2026'!W22=TRUE,'Dec 2026'!W22="x",'Dec 2026'!W22="X"),1,0))</f>
        <v/>
      </c>
      <c r="R84" s="345">
        <f>IF($A84="","",IF(OR('Dec 2026'!W23=TRUE,'Dec 2026'!W23="x",'Dec 2026'!W23="X"),1,0))</f>
        <v/>
      </c>
      <c r="S84" s="345">
        <f>IF($A84="","",IF(OR('Dec 2026'!W24=TRUE,'Dec 2026'!W24="x",'Dec 2026'!W24="X"),1,0))</f>
        <v/>
      </c>
      <c r="T84" s="345">
        <f>IF($A84="","",IF(OR('Dec 2026'!W25=TRUE,'Dec 2026'!W25="x",'Dec 2026'!W25="X"),1,0))</f>
        <v/>
      </c>
      <c r="U84" s="345">
        <f>IF($A84="","",IF(OR('Dec 2026'!W26=TRUE,'Dec 2026'!W26="x",'Dec 2026'!W26="X"),1,0))</f>
        <v/>
      </c>
      <c r="V84" s="345">
        <f>IF($A84="","",IF(OR('Dec 2026'!W27=TRUE,'Dec 2026'!W27="x",'Dec 2026'!W27="X"),1,0))</f>
        <v/>
      </c>
      <c r="W84" s="345">
        <f>IF($A84="","",IF(OR('Dec 2026'!W28=TRUE,'Dec 2026'!W28="x",'Dec 2026'!W28="X"),1,0))</f>
        <v/>
      </c>
      <c r="X84" s="345">
        <f>IF($A84="","",IF(OR('Dec 2026'!W29=TRUE,'Dec 2026'!W29="x",'Dec 2026'!W29="X"),1,0))</f>
        <v/>
      </c>
      <c r="Y84" s="345">
        <f>IF($A84="","",IF(OR('Dec 2026'!W30=TRUE,'Dec 2026'!W30="x",'Dec 2026'!W30="X"),1,0))</f>
        <v/>
      </c>
      <c r="Z84" s="345">
        <f>IF($A84="","",IF(OR('Dec 2026'!W31=TRUE,'Dec 2026'!W31="x",'Dec 2026'!W31="X"),1,0))</f>
        <v/>
      </c>
      <c r="AA84" s="345">
        <f>IF($A84="","",IF(OR('Dec 2026'!W32=TRUE,'Dec 2026'!W32="x",'Dec 2026'!W32="X"),1,0))</f>
        <v/>
      </c>
      <c r="AB84" s="345">
        <f>IF($A84="","",IF(OR('Dec 2026'!W34=TRUE,'Dec 2026'!W34="x",'Dec 2026'!W34="X"),1,0))</f>
        <v/>
      </c>
      <c r="AC84" s="345">
        <f>IF($A84="","",IF(OR('Dec 2026'!W35=TRUE,'Dec 2026'!W35="x",'Dec 2026'!W35="X"),1,0))</f>
        <v/>
      </c>
      <c r="AD84" s="345">
        <f>IF($A84="","",IF(OR('Dec 2026'!W36=TRUE,'Dec 2026'!W36="x",'Dec 2026'!W36="X"),1,0))</f>
        <v/>
      </c>
      <c r="AE84" s="345">
        <f>IF($A84="","",IF(OR('Dec 2026'!W37=TRUE,'Dec 2026'!W37="x",'Dec 2026'!W37="X"),1,0))</f>
        <v/>
      </c>
      <c r="AF84" s="345">
        <f>IF($A84="","",IF('Dec 2026'!W59="","",'Dec 2026'!W59))</f>
        <v/>
      </c>
      <c r="AG84" s="345">
        <f>IF($A84="","",IF('Dec 2026'!W60="","",'Dec 2026'!W60))</f>
        <v/>
      </c>
      <c r="AH84" s="345">
        <f>IF($A84="","",IF('Dec 2026'!W61="","",'Dec 2026'!W61))</f>
        <v/>
      </c>
      <c r="AI84" s="345">
        <f>IF($A84="","",IF('Dec 2026'!W62="","",'Dec 2026'!W62))</f>
        <v/>
      </c>
      <c r="AJ84" s="345">
        <f>IF($A84="","",IF('Dec 2026'!W63="","",'Dec 2026'!W63))</f>
        <v/>
      </c>
      <c r="AK84" s="345">
        <f>IF($A84="","",IF('Dec 2026'!W64="","",'Dec 2026'!W64))</f>
        <v/>
      </c>
      <c r="AL84" s="345">
        <f>IF($A84="","",IF('Dec 2026'!W65="","",'Dec 2026'!W65))</f>
        <v/>
      </c>
      <c r="AM84" s="345">
        <f>IF($A84="","",IF('Dec 2026'!W66="","",'Dec 2026'!W66))</f>
        <v/>
      </c>
      <c r="AN84" s="345">
        <f>IF($A84="","",IF('Dec 2026'!W67="","",'Dec 2026'!W67))</f>
        <v/>
      </c>
      <c r="AO84" s="345">
        <f>IF($A84="",0,IF(AND($A84&gt;=TrackStart,$A84&lt;=TODAY()),1,0))</f>
        <v/>
      </c>
      <c r="AP84" s="345">
        <f>IF($A84="",0,IF(SUM(F84:AE84)+COUNT(AF84:AN84)&gt;0,1,0))</f>
        <v/>
      </c>
      <c r="AQ84" s="345">
        <f>IF($A84="","",INT(($A84-TrackStart)/7)+1)</f>
        <v/>
      </c>
      <c r="AR84" s="345">
        <f>IF($A84="","",IF(AQ84&lt;=1,Steps1,IF(AQ84=2,Steps2,Steps3)))</f>
        <v/>
      </c>
      <c r="AS84" s="345">
        <f>IF($A84="",0,IF(ISNUMBER(SEARCH(TEXT(D84,"0"),WorkDays&amp;"")),1,0))</f>
        <v/>
      </c>
      <c r="AT84" s="345">
        <f>IF($A84="",0,IF(ISNUMBER(SEARCH(TEXT(D84,"0"),StrDays&amp;"")),1,0))</f>
        <v/>
      </c>
      <c r="AU84" s="345">
        <f>IF($A84="",0,IF(ISNUMBER(AK84),IF(AK84&gt;=SleepMin,1,0),N84))</f>
        <v/>
      </c>
      <c r="AV84" s="345">
        <f>IF($A84="",0,MAX(I84,O84,S84,AC84))</f>
        <v/>
      </c>
      <c r="AW84" s="345">
        <f>IF($A84="",0,IF(ISNUMBER(AH84),IF(AH84&gt;=ProtHit,1,0),0))</f>
        <v/>
      </c>
      <c r="AX84" s="345">
        <f>IF($A84="",0,IF(ISNUMBER(AI84),IF(AI84&gt;=WaterHit,1,0),0))</f>
        <v/>
      </c>
      <c r="AY84" s="345">
        <f>IF($A84="",0,IF(ISNUMBER(AG84),IF(AG84&gt;=AR84,1,0),0))</f>
        <v/>
      </c>
      <c r="AZ84" s="345">
        <f>IF($A84="",0,G84)</f>
        <v/>
      </c>
      <c r="BA84" s="345">
        <f>IF($A84="",0,J84)</f>
        <v/>
      </c>
      <c r="BB84" s="345">
        <f>IF($A84="",0,K84)</f>
        <v/>
      </c>
      <c r="BC84" s="345">
        <f>IF($A84="",0,MAX(L84,AE84))</f>
        <v/>
      </c>
      <c r="BD84" s="344">
        <f>IF($A84="","",(AU84+AV84+AW84+AX84+AY84+AZ84+BB84+BC84+IF(AS84=1,BA84,0))/(8+AS84))</f>
        <v/>
      </c>
      <c r="BE84" s="344">
        <f>IF($A84="","",(IF(ISNUMBER(AI84),IF(AI84&gt;=WaterMVD,1,0),0)+AV84+IF(ISNUMBER(AH84),IF(AH84&gt;=ProtMVD,1,0),0)+MAX(H84,AD84)+AZ84+BB84+AU84)/7)</f>
        <v/>
      </c>
      <c r="BF84" s="344">
        <f>IF(AO84=0,"",IF(E84="S","",IF(AND(AP84=0,$A84=TODAY()),"",IF(E84="M",BE84,BD84))))</f>
        <v/>
      </c>
      <c r="BG84" s="344">
        <f>IF(AO84=0,"",IFERROR(AVERAGEIFS(Data!$BF$4:$BF$375,Data!$A$4:$A$375,"&gt;"&amp;($A84-7),Data!$A$4:$A$375,"&lt;="&amp;$A84),""))</f>
        <v/>
      </c>
      <c r="BH84" s="344">
        <f>IF(AO84=0,"",IFERROR(AVERAGEIFS(Data!$BF$4:$BF$375,Data!$A$4:$A$375,"&gt;"&amp;($A84-30),Data!$A$4:$A$375,"&lt;="&amp;$A84),""))</f>
        <v/>
      </c>
      <c r="BI84" s="359">
        <f>IF($A84="","",IFERROR(AVERAGEIFS(Data!$AF$4:$AF$375,Data!$A$4:$A$375,"&gt;"&amp;($A84-7),Data!$A$4:$A$375,"&lt;="&amp;$A84,Data!$AF$4:$AF$375,"&gt;0"),""))</f>
        <v/>
      </c>
      <c r="BJ84" s="345">
        <f>IF($A84="","",F84+G84+H84+I84+J84+K84+L84+M84+N84-IF(AS84=1,0,J84))</f>
        <v/>
      </c>
      <c r="BK84" s="345">
        <f>IF($A84="","",8+AS84)</f>
        <v/>
      </c>
      <c r="BL84" s="345">
        <f>IF(ISNUMBER(BF84),BF84,NA())</f>
        <v/>
      </c>
      <c r="BM84" s="345">
        <f>IF(ISNUMBER(AF84),AF84,NA())</f>
        <v/>
      </c>
      <c r="BN84" s="345">
        <f>IF(ISNUMBER(BI84),BI84,NA())</f>
        <v/>
      </c>
      <c r="BO84" s="345">
        <f>IF(ISNUMBER(AL84),AL84,NA())</f>
        <v/>
      </c>
      <c r="BP84" s="345">
        <f>IF(ISNUMBER(AM84),AM84,NA())</f>
        <v/>
      </c>
      <c r="BQ84" s="345">
        <f>IF(ISNUMBER(AN84),AN84,NA())</f>
        <v/>
      </c>
    </row>
    <row r="85">
      <c r="A85" s="358">
        <f>IF('Dec 2026'!X7="","",'Dec 2026'!X7)</f>
        <v/>
      </c>
      <c r="B85" s="345" t="n">
        <v>3</v>
      </c>
      <c r="C85" s="345">
        <f>IF($A85="","",20)</f>
        <v/>
      </c>
      <c r="D85" s="345">
        <f>IF($A85="","",WEEKDAY($A85,2))</f>
        <v/>
      </c>
      <c r="E85" s="345">
        <f>IF($A85="","",UPPER(TRIM('Dec 2026'!X8)))</f>
        <v/>
      </c>
      <c r="F85" s="345">
        <f>IF($A85="","",IF(OR('Dec 2026'!X10=TRUE,'Dec 2026'!X10="x",'Dec 2026'!X10="X"),1,0))</f>
        <v/>
      </c>
      <c r="G85" s="345">
        <f>IF($A85="","",IF(OR('Dec 2026'!X11=TRUE,'Dec 2026'!X11="x",'Dec 2026'!X11="X"),1,0))</f>
        <v/>
      </c>
      <c r="H85" s="345">
        <f>IF($A85="","",IF(OR('Dec 2026'!X12=TRUE,'Dec 2026'!X12="x",'Dec 2026'!X12="X"),1,0))</f>
        <v/>
      </c>
      <c r="I85" s="345">
        <f>IF($A85="","",IF(OR('Dec 2026'!X13=TRUE,'Dec 2026'!X13="x",'Dec 2026'!X13="X"),1,0))</f>
        <v/>
      </c>
      <c r="J85" s="345">
        <f>IF($A85="","",IF(OR('Dec 2026'!X14=TRUE,'Dec 2026'!X14="x",'Dec 2026'!X14="X"),1,0))</f>
        <v/>
      </c>
      <c r="K85" s="345">
        <f>IF($A85="","",IF(OR('Dec 2026'!X15=TRUE,'Dec 2026'!X15="x",'Dec 2026'!X15="X"),1,0))</f>
        <v/>
      </c>
      <c r="L85" s="345">
        <f>IF($A85="","",IF(OR('Dec 2026'!X16=TRUE,'Dec 2026'!X16="x",'Dec 2026'!X16="X"),1,0))</f>
        <v/>
      </c>
      <c r="M85" s="345">
        <f>IF($A85="","",IF(OR('Dec 2026'!X17=TRUE,'Dec 2026'!X17="x",'Dec 2026'!X17="X"),1,0))</f>
        <v/>
      </c>
      <c r="N85" s="345">
        <f>IF($A85="","",IF(OR('Dec 2026'!X18=TRUE,'Dec 2026'!X18="x",'Dec 2026'!X18="X"),1,0))</f>
        <v/>
      </c>
      <c r="O85" s="345">
        <f>IF($A85="","",IF(OR('Dec 2026'!X20=TRUE,'Dec 2026'!X20="x",'Dec 2026'!X20="X"),1,0))</f>
        <v/>
      </c>
      <c r="P85" s="345">
        <f>IF($A85="","",IF(OR('Dec 2026'!X21=TRUE,'Dec 2026'!X21="x",'Dec 2026'!X21="X"),1,0))</f>
        <v/>
      </c>
      <c r="Q85" s="345">
        <f>IF($A85="","",IF(OR('Dec 2026'!X22=TRUE,'Dec 2026'!X22="x",'Dec 2026'!X22="X"),1,0))</f>
        <v/>
      </c>
      <c r="R85" s="345">
        <f>IF($A85="","",IF(OR('Dec 2026'!X23=TRUE,'Dec 2026'!X23="x",'Dec 2026'!X23="X"),1,0))</f>
        <v/>
      </c>
      <c r="S85" s="345">
        <f>IF($A85="","",IF(OR('Dec 2026'!X24=TRUE,'Dec 2026'!X24="x",'Dec 2026'!X24="X"),1,0))</f>
        <v/>
      </c>
      <c r="T85" s="345">
        <f>IF($A85="","",IF(OR('Dec 2026'!X25=TRUE,'Dec 2026'!X25="x",'Dec 2026'!X25="X"),1,0))</f>
        <v/>
      </c>
      <c r="U85" s="345">
        <f>IF($A85="","",IF(OR('Dec 2026'!X26=TRUE,'Dec 2026'!X26="x",'Dec 2026'!X26="X"),1,0))</f>
        <v/>
      </c>
      <c r="V85" s="345">
        <f>IF($A85="","",IF(OR('Dec 2026'!X27=TRUE,'Dec 2026'!X27="x",'Dec 2026'!X27="X"),1,0))</f>
        <v/>
      </c>
      <c r="W85" s="345">
        <f>IF($A85="","",IF(OR('Dec 2026'!X28=TRUE,'Dec 2026'!X28="x",'Dec 2026'!X28="X"),1,0))</f>
        <v/>
      </c>
      <c r="X85" s="345">
        <f>IF($A85="","",IF(OR('Dec 2026'!X29=TRUE,'Dec 2026'!X29="x",'Dec 2026'!X29="X"),1,0))</f>
        <v/>
      </c>
      <c r="Y85" s="345">
        <f>IF($A85="","",IF(OR('Dec 2026'!X30=TRUE,'Dec 2026'!X30="x",'Dec 2026'!X30="X"),1,0))</f>
        <v/>
      </c>
      <c r="Z85" s="345">
        <f>IF($A85="","",IF(OR('Dec 2026'!X31=TRUE,'Dec 2026'!X31="x",'Dec 2026'!X31="X"),1,0))</f>
        <v/>
      </c>
      <c r="AA85" s="345">
        <f>IF($A85="","",IF(OR('Dec 2026'!X32=TRUE,'Dec 2026'!X32="x",'Dec 2026'!X32="X"),1,0))</f>
        <v/>
      </c>
      <c r="AB85" s="345">
        <f>IF($A85="","",IF(OR('Dec 2026'!X34=TRUE,'Dec 2026'!X34="x",'Dec 2026'!X34="X"),1,0))</f>
        <v/>
      </c>
      <c r="AC85" s="345">
        <f>IF($A85="","",IF(OR('Dec 2026'!X35=TRUE,'Dec 2026'!X35="x",'Dec 2026'!X35="X"),1,0))</f>
        <v/>
      </c>
      <c r="AD85" s="345">
        <f>IF($A85="","",IF(OR('Dec 2026'!X36=TRUE,'Dec 2026'!X36="x",'Dec 2026'!X36="X"),1,0))</f>
        <v/>
      </c>
      <c r="AE85" s="345">
        <f>IF($A85="","",IF(OR('Dec 2026'!X37=TRUE,'Dec 2026'!X37="x",'Dec 2026'!X37="X"),1,0))</f>
        <v/>
      </c>
      <c r="AF85" s="345">
        <f>IF($A85="","",IF('Dec 2026'!X59="","",'Dec 2026'!X59))</f>
        <v/>
      </c>
      <c r="AG85" s="345">
        <f>IF($A85="","",IF('Dec 2026'!X60="","",'Dec 2026'!X60))</f>
        <v/>
      </c>
      <c r="AH85" s="345">
        <f>IF($A85="","",IF('Dec 2026'!X61="","",'Dec 2026'!X61))</f>
        <v/>
      </c>
      <c r="AI85" s="345">
        <f>IF($A85="","",IF('Dec 2026'!X62="","",'Dec 2026'!X62))</f>
        <v/>
      </c>
      <c r="AJ85" s="345">
        <f>IF($A85="","",IF('Dec 2026'!X63="","",'Dec 2026'!X63))</f>
        <v/>
      </c>
      <c r="AK85" s="345">
        <f>IF($A85="","",IF('Dec 2026'!X64="","",'Dec 2026'!X64))</f>
        <v/>
      </c>
      <c r="AL85" s="345">
        <f>IF($A85="","",IF('Dec 2026'!X65="","",'Dec 2026'!X65))</f>
        <v/>
      </c>
      <c r="AM85" s="345">
        <f>IF($A85="","",IF('Dec 2026'!X66="","",'Dec 2026'!X66))</f>
        <v/>
      </c>
      <c r="AN85" s="345">
        <f>IF($A85="","",IF('Dec 2026'!X67="","",'Dec 2026'!X67))</f>
        <v/>
      </c>
      <c r="AO85" s="345">
        <f>IF($A85="",0,IF(AND($A85&gt;=TrackStart,$A85&lt;=TODAY()),1,0))</f>
        <v/>
      </c>
      <c r="AP85" s="345">
        <f>IF($A85="",0,IF(SUM(F85:AE85)+COUNT(AF85:AN85)&gt;0,1,0))</f>
        <v/>
      </c>
      <c r="AQ85" s="345">
        <f>IF($A85="","",INT(($A85-TrackStart)/7)+1)</f>
        <v/>
      </c>
      <c r="AR85" s="345">
        <f>IF($A85="","",IF(AQ85&lt;=1,Steps1,IF(AQ85=2,Steps2,Steps3)))</f>
        <v/>
      </c>
      <c r="AS85" s="345">
        <f>IF($A85="",0,IF(ISNUMBER(SEARCH(TEXT(D85,"0"),WorkDays&amp;"")),1,0))</f>
        <v/>
      </c>
      <c r="AT85" s="345">
        <f>IF($A85="",0,IF(ISNUMBER(SEARCH(TEXT(D85,"0"),StrDays&amp;"")),1,0))</f>
        <v/>
      </c>
      <c r="AU85" s="345">
        <f>IF($A85="",0,IF(ISNUMBER(AK85),IF(AK85&gt;=SleepMin,1,0),N85))</f>
        <v/>
      </c>
      <c r="AV85" s="345">
        <f>IF($A85="",0,MAX(I85,O85,S85,AC85))</f>
        <v/>
      </c>
      <c r="AW85" s="345">
        <f>IF($A85="",0,IF(ISNUMBER(AH85),IF(AH85&gt;=ProtHit,1,0),0))</f>
        <v/>
      </c>
      <c r="AX85" s="345">
        <f>IF($A85="",0,IF(ISNUMBER(AI85),IF(AI85&gt;=WaterHit,1,0),0))</f>
        <v/>
      </c>
      <c r="AY85" s="345">
        <f>IF($A85="",0,IF(ISNUMBER(AG85),IF(AG85&gt;=AR85,1,0),0))</f>
        <v/>
      </c>
      <c r="AZ85" s="345">
        <f>IF($A85="",0,G85)</f>
        <v/>
      </c>
      <c r="BA85" s="345">
        <f>IF($A85="",0,J85)</f>
        <v/>
      </c>
      <c r="BB85" s="345">
        <f>IF($A85="",0,K85)</f>
        <v/>
      </c>
      <c r="BC85" s="345">
        <f>IF($A85="",0,MAX(L85,AE85))</f>
        <v/>
      </c>
      <c r="BD85" s="344">
        <f>IF($A85="","",(AU85+AV85+AW85+AX85+AY85+AZ85+BB85+BC85+IF(AS85=1,BA85,0))/(8+AS85))</f>
        <v/>
      </c>
      <c r="BE85" s="344">
        <f>IF($A85="","",(IF(ISNUMBER(AI85),IF(AI85&gt;=WaterMVD,1,0),0)+AV85+IF(ISNUMBER(AH85),IF(AH85&gt;=ProtMVD,1,0),0)+MAX(H85,AD85)+AZ85+BB85+AU85)/7)</f>
        <v/>
      </c>
      <c r="BF85" s="344">
        <f>IF(AO85=0,"",IF(E85="S","",IF(AND(AP85=0,$A85=TODAY()),"",IF(E85="M",BE85,BD85))))</f>
        <v/>
      </c>
      <c r="BG85" s="344">
        <f>IF(AO85=0,"",IFERROR(AVERAGEIFS(Data!$BF$4:$BF$375,Data!$A$4:$A$375,"&gt;"&amp;($A85-7),Data!$A$4:$A$375,"&lt;="&amp;$A85),""))</f>
        <v/>
      </c>
      <c r="BH85" s="344">
        <f>IF(AO85=0,"",IFERROR(AVERAGEIFS(Data!$BF$4:$BF$375,Data!$A$4:$A$375,"&gt;"&amp;($A85-30),Data!$A$4:$A$375,"&lt;="&amp;$A85),""))</f>
        <v/>
      </c>
      <c r="BI85" s="359">
        <f>IF($A85="","",IFERROR(AVERAGEIFS(Data!$AF$4:$AF$375,Data!$A$4:$A$375,"&gt;"&amp;($A85-7),Data!$A$4:$A$375,"&lt;="&amp;$A85,Data!$AF$4:$AF$375,"&gt;0"),""))</f>
        <v/>
      </c>
      <c r="BJ85" s="345">
        <f>IF($A85="","",F85+G85+H85+I85+J85+K85+L85+M85+N85-IF(AS85=1,0,J85))</f>
        <v/>
      </c>
      <c r="BK85" s="345">
        <f>IF($A85="","",8+AS85)</f>
        <v/>
      </c>
      <c r="BL85" s="345">
        <f>IF(ISNUMBER(BF85),BF85,NA())</f>
        <v/>
      </c>
      <c r="BM85" s="345">
        <f>IF(ISNUMBER(AF85),AF85,NA())</f>
        <v/>
      </c>
      <c r="BN85" s="345">
        <f>IF(ISNUMBER(BI85),BI85,NA())</f>
        <v/>
      </c>
      <c r="BO85" s="345">
        <f>IF(ISNUMBER(AL85),AL85,NA())</f>
        <v/>
      </c>
      <c r="BP85" s="345">
        <f>IF(ISNUMBER(AM85),AM85,NA())</f>
        <v/>
      </c>
      <c r="BQ85" s="345">
        <f>IF(ISNUMBER(AN85),AN85,NA())</f>
        <v/>
      </c>
    </row>
    <row r="86">
      <c r="A86" s="358">
        <f>IF('Dec 2026'!Y7="","",'Dec 2026'!Y7)</f>
        <v/>
      </c>
      <c r="B86" s="345" t="n">
        <v>3</v>
      </c>
      <c r="C86" s="345">
        <f>IF($A86="","",21)</f>
        <v/>
      </c>
      <c r="D86" s="345">
        <f>IF($A86="","",WEEKDAY($A86,2))</f>
        <v/>
      </c>
      <c r="E86" s="345">
        <f>IF($A86="","",UPPER(TRIM('Dec 2026'!Y8)))</f>
        <v/>
      </c>
      <c r="F86" s="345">
        <f>IF($A86="","",IF(OR('Dec 2026'!Y10=TRUE,'Dec 2026'!Y10="x",'Dec 2026'!Y10="X"),1,0))</f>
        <v/>
      </c>
      <c r="G86" s="345">
        <f>IF($A86="","",IF(OR('Dec 2026'!Y11=TRUE,'Dec 2026'!Y11="x",'Dec 2026'!Y11="X"),1,0))</f>
        <v/>
      </c>
      <c r="H86" s="345">
        <f>IF($A86="","",IF(OR('Dec 2026'!Y12=TRUE,'Dec 2026'!Y12="x",'Dec 2026'!Y12="X"),1,0))</f>
        <v/>
      </c>
      <c r="I86" s="345">
        <f>IF($A86="","",IF(OR('Dec 2026'!Y13=TRUE,'Dec 2026'!Y13="x",'Dec 2026'!Y13="X"),1,0))</f>
        <v/>
      </c>
      <c r="J86" s="345">
        <f>IF($A86="","",IF(OR('Dec 2026'!Y14=TRUE,'Dec 2026'!Y14="x",'Dec 2026'!Y14="X"),1,0))</f>
        <v/>
      </c>
      <c r="K86" s="345">
        <f>IF($A86="","",IF(OR('Dec 2026'!Y15=TRUE,'Dec 2026'!Y15="x",'Dec 2026'!Y15="X"),1,0))</f>
        <v/>
      </c>
      <c r="L86" s="345">
        <f>IF($A86="","",IF(OR('Dec 2026'!Y16=TRUE,'Dec 2026'!Y16="x",'Dec 2026'!Y16="X"),1,0))</f>
        <v/>
      </c>
      <c r="M86" s="345">
        <f>IF($A86="","",IF(OR('Dec 2026'!Y17=TRUE,'Dec 2026'!Y17="x",'Dec 2026'!Y17="X"),1,0))</f>
        <v/>
      </c>
      <c r="N86" s="345">
        <f>IF($A86="","",IF(OR('Dec 2026'!Y18=TRUE,'Dec 2026'!Y18="x",'Dec 2026'!Y18="X"),1,0))</f>
        <v/>
      </c>
      <c r="O86" s="345">
        <f>IF($A86="","",IF(OR('Dec 2026'!Y20=TRUE,'Dec 2026'!Y20="x",'Dec 2026'!Y20="X"),1,0))</f>
        <v/>
      </c>
      <c r="P86" s="345">
        <f>IF($A86="","",IF(OR('Dec 2026'!Y21=TRUE,'Dec 2026'!Y21="x",'Dec 2026'!Y21="X"),1,0))</f>
        <v/>
      </c>
      <c r="Q86" s="345">
        <f>IF($A86="","",IF(OR('Dec 2026'!Y22=TRUE,'Dec 2026'!Y22="x",'Dec 2026'!Y22="X"),1,0))</f>
        <v/>
      </c>
      <c r="R86" s="345">
        <f>IF($A86="","",IF(OR('Dec 2026'!Y23=TRUE,'Dec 2026'!Y23="x",'Dec 2026'!Y23="X"),1,0))</f>
        <v/>
      </c>
      <c r="S86" s="345">
        <f>IF($A86="","",IF(OR('Dec 2026'!Y24=TRUE,'Dec 2026'!Y24="x",'Dec 2026'!Y24="X"),1,0))</f>
        <v/>
      </c>
      <c r="T86" s="345">
        <f>IF($A86="","",IF(OR('Dec 2026'!Y25=TRUE,'Dec 2026'!Y25="x",'Dec 2026'!Y25="X"),1,0))</f>
        <v/>
      </c>
      <c r="U86" s="345">
        <f>IF($A86="","",IF(OR('Dec 2026'!Y26=TRUE,'Dec 2026'!Y26="x",'Dec 2026'!Y26="X"),1,0))</f>
        <v/>
      </c>
      <c r="V86" s="345">
        <f>IF($A86="","",IF(OR('Dec 2026'!Y27=TRUE,'Dec 2026'!Y27="x",'Dec 2026'!Y27="X"),1,0))</f>
        <v/>
      </c>
      <c r="W86" s="345">
        <f>IF($A86="","",IF(OR('Dec 2026'!Y28=TRUE,'Dec 2026'!Y28="x",'Dec 2026'!Y28="X"),1,0))</f>
        <v/>
      </c>
      <c r="X86" s="345">
        <f>IF($A86="","",IF(OR('Dec 2026'!Y29=TRUE,'Dec 2026'!Y29="x",'Dec 2026'!Y29="X"),1,0))</f>
        <v/>
      </c>
      <c r="Y86" s="345">
        <f>IF($A86="","",IF(OR('Dec 2026'!Y30=TRUE,'Dec 2026'!Y30="x",'Dec 2026'!Y30="X"),1,0))</f>
        <v/>
      </c>
      <c r="Z86" s="345">
        <f>IF($A86="","",IF(OR('Dec 2026'!Y31=TRUE,'Dec 2026'!Y31="x",'Dec 2026'!Y31="X"),1,0))</f>
        <v/>
      </c>
      <c r="AA86" s="345">
        <f>IF($A86="","",IF(OR('Dec 2026'!Y32=TRUE,'Dec 2026'!Y32="x",'Dec 2026'!Y32="X"),1,0))</f>
        <v/>
      </c>
      <c r="AB86" s="345">
        <f>IF($A86="","",IF(OR('Dec 2026'!Y34=TRUE,'Dec 2026'!Y34="x",'Dec 2026'!Y34="X"),1,0))</f>
        <v/>
      </c>
      <c r="AC86" s="345">
        <f>IF($A86="","",IF(OR('Dec 2026'!Y35=TRUE,'Dec 2026'!Y35="x",'Dec 2026'!Y35="X"),1,0))</f>
        <v/>
      </c>
      <c r="AD86" s="345">
        <f>IF($A86="","",IF(OR('Dec 2026'!Y36=TRUE,'Dec 2026'!Y36="x",'Dec 2026'!Y36="X"),1,0))</f>
        <v/>
      </c>
      <c r="AE86" s="345">
        <f>IF($A86="","",IF(OR('Dec 2026'!Y37=TRUE,'Dec 2026'!Y37="x",'Dec 2026'!Y37="X"),1,0))</f>
        <v/>
      </c>
      <c r="AF86" s="345">
        <f>IF($A86="","",IF('Dec 2026'!Y59="","",'Dec 2026'!Y59))</f>
        <v/>
      </c>
      <c r="AG86" s="345">
        <f>IF($A86="","",IF('Dec 2026'!Y60="","",'Dec 2026'!Y60))</f>
        <v/>
      </c>
      <c r="AH86" s="345">
        <f>IF($A86="","",IF('Dec 2026'!Y61="","",'Dec 2026'!Y61))</f>
        <v/>
      </c>
      <c r="AI86" s="345">
        <f>IF($A86="","",IF('Dec 2026'!Y62="","",'Dec 2026'!Y62))</f>
        <v/>
      </c>
      <c r="AJ86" s="345">
        <f>IF($A86="","",IF('Dec 2026'!Y63="","",'Dec 2026'!Y63))</f>
        <v/>
      </c>
      <c r="AK86" s="345">
        <f>IF($A86="","",IF('Dec 2026'!Y64="","",'Dec 2026'!Y64))</f>
        <v/>
      </c>
      <c r="AL86" s="345">
        <f>IF($A86="","",IF('Dec 2026'!Y65="","",'Dec 2026'!Y65))</f>
        <v/>
      </c>
      <c r="AM86" s="345">
        <f>IF($A86="","",IF('Dec 2026'!Y66="","",'Dec 2026'!Y66))</f>
        <v/>
      </c>
      <c r="AN86" s="345">
        <f>IF($A86="","",IF('Dec 2026'!Y67="","",'Dec 2026'!Y67))</f>
        <v/>
      </c>
      <c r="AO86" s="345">
        <f>IF($A86="",0,IF(AND($A86&gt;=TrackStart,$A86&lt;=TODAY()),1,0))</f>
        <v/>
      </c>
      <c r="AP86" s="345">
        <f>IF($A86="",0,IF(SUM(F86:AE86)+COUNT(AF86:AN86)&gt;0,1,0))</f>
        <v/>
      </c>
      <c r="AQ86" s="345">
        <f>IF($A86="","",INT(($A86-TrackStart)/7)+1)</f>
        <v/>
      </c>
      <c r="AR86" s="345">
        <f>IF($A86="","",IF(AQ86&lt;=1,Steps1,IF(AQ86=2,Steps2,Steps3)))</f>
        <v/>
      </c>
      <c r="AS86" s="345">
        <f>IF($A86="",0,IF(ISNUMBER(SEARCH(TEXT(D86,"0"),WorkDays&amp;"")),1,0))</f>
        <v/>
      </c>
      <c r="AT86" s="345">
        <f>IF($A86="",0,IF(ISNUMBER(SEARCH(TEXT(D86,"0"),StrDays&amp;"")),1,0))</f>
        <v/>
      </c>
      <c r="AU86" s="345">
        <f>IF($A86="",0,IF(ISNUMBER(AK86),IF(AK86&gt;=SleepMin,1,0),N86))</f>
        <v/>
      </c>
      <c r="AV86" s="345">
        <f>IF($A86="",0,MAX(I86,O86,S86,AC86))</f>
        <v/>
      </c>
      <c r="AW86" s="345">
        <f>IF($A86="",0,IF(ISNUMBER(AH86),IF(AH86&gt;=ProtHit,1,0),0))</f>
        <v/>
      </c>
      <c r="AX86" s="345">
        <f>IF($A86="",0,IF(ISNUMBER(AI86),IF(AI86&gt;=WaterHit,1,0),0))</f>
        <v/>
      </c>
      <c r="AY86" s="345">
        <f>IF($A86="",0,IF(ISNUMBER(AG86),IF(AG86&gt;=AR86,1,0),0))</f>
        <v/>
      </c>
      <c r="AZ86" s="345">
        <f>IF($A86="",0,G86)</f>
        <v/>
      </c>
      <c r="BA86" s="345">
        <f>IF($A86="",0,J86)</f>
        <v/>
      </c>
      <c r="BB86" s="345">
        <f>IF($A86="",0,K86)</f>
        <v/>
      </c>
      <c r="BC86" s="345">
        <f>IF($A86="",0,MAX(L86,AE86))</f>
        <v/>
      </c>
      <c r="BD86" s="344">
        <f>IF($A86="","",(AU86+AV86+AW86+AX86+AY86+AZ86+BB86+BC86+IF(AS86=1,BA86,0))/(8+AS86))</f>
        <v/>
      </c>
      <c r="BE86" s="344">
        <f>IF($A86="","",(IF(ISNUMBER(AI86),IF(AI86&gt;=WaterMVD,1,0),0)+AV86+IF(ISNUMBER(AH86),IF(AH86&gt;=ProtMVD,1,0),0)+MAX(H86,AD86)+AZ86+BB86+AU86)/7)</f>
        <v/>
      </c>
      <c r="BF86" s="344">
        <f>IF(AO86=0,"",IF(E86="S","",IF(AND(AP86=0,$A86=TODAY()),"",IF(E86="M",BE86,BD86))))</f>
        <v/>
      </c>
      <c r="BG86" s="344">
        <f>IF(AO86=0,"",IFERROR(AVERAGEIFS(Data!$BF$4:$BF$375,Data!$A$4:$A$375,"&gt;"&amp;($A86-7),Data!$A$4:$A$375,"&lt;="&amp;$A86),""))</f>
        <v/>
      </c>
      <c r="BH86" s="344">
        <f>IF(AO86=0,"",IFERROR(AVERAGEIFS(Data!$BF$4:$BF$375,Data!$A$4:$A$375,"&gt;"&amp;($A86-30),Data!$A$4:$A$375,"&lt;="&amp;$A86),""))</f>
        <v/>
      </c>
      <c r="BI86" s="359">
        <f>IF($A86="","",IFERROR(AVERAGEIFS(Data!$AF$4:$AF$375,Data!$A$4:$A$375,"&gt;"&amp;($A86-7),Data!$A$4:$A$375,"&lt;="&amp;$A86,Data!$AF$4:$AF$375,"&gt;0"),""))</f>
        <v/>
      </c>
      <c r="BJ86" s="345">
        <f>IF($A86="","",F86+G86+H86+I86+J86+K86+L86+M86+N86-IF(AS86=1,0,J86))</f>
        <v/>
      </c>
      <c r="BK86" s="345">
        <f>IF($A86="","",8+AS86)</f>
        <v/>
      </c>
      <c r="BL86" s="345">
        <f>IF(ISNUMBER(BF86),BF86,NA())</f>
        <v/>
      </c>
      <c r="BM86" s="345">
        <f>IF(ISNUMBER(AF86),AF86,NA())</f>
        <v/>
      </c>
      <c r="BN86" s="345">
        <f>IF(ISNUMBER(BI86),BI86,NA())</f>
        <v/>
      </c>
      <c r="BO86" s="345">
        <f>IF(ISNUMBER(AL86),AL86,NA())</f>
        <v/>
      </c>
      <c r="BP86" s="345">
        <f>IF(ISNUMBER(AM86),AM86,NA())</f>
        <v/>
      </c>
      <c r="BQ86" s="345">
        <f>IF(ISNUMBER(AN86),AN86,NA())</f>
        <v/>
      </c>
    </row>
    <row r="87">
      <c r="A87" s="358">
        <f>IF('Dec 2026'!Z7="","",'Dec 2026'!Z7)</f>
        <v/>
      </c>
      <c r="B87" s="345" t="n">
        <v>3</v>
      </c>
      <c r="C87" s="345">
        <f>IF($A87="","",22)</f>
        <v/>
      </c>
      <c r="D87" s="345">
        <f>IF($A87="","",WEEKDAY($A87,2))</f>
        <v/>
      </c>
      <c r="E87" s="345">
        <f>IF($A87="","",UPPER(TRIM('Dec 2026'!Z8)))</f>
        <v/>
      </c>
      <c r="F87" s="345">
        <f>IF($A87="","",IF(OR('Dec 2026'!Z10=TRUE,'Dec 2026'!Z10="x",'Dec 2026'!Z10="X"),1,0))</f>
        <v/>
      </c>
      <c r="G87" s="345">
        <f>IF($A87="","",IF(OR('Dec 2026'!Z11=TRUE,'Dec 2026'!Z11="x",'Dec 2026'!Z11="X"),1,0))</f>
        <v/>
      </c>
      <c r="H87" s="345">
        <f>IF($A87="","",IF(OR('Dec 2026'!Z12=TRUE,'Dec 2026'!Z12="x",'Dec 2026'!Z12="X"),1,0))</f>
        <v/>
      </c>
      <c r="I87" s="345">
        <f>IF($A87="","",IF(OR('Dec 2026'!Z13=TRUE,'Dec 2026'!Z13="x",'Dec 2026'!Z13="X"),1,0))</f>
        <v/>
      </c>
      <c r="J87" s="345">
        <f>IF($A87="","",IF(OR('Dec 2026'!Z14=TRUE,'Dec 2026'!Z14="x",'Dec 2026'!Z14="X"),1,0))</f>
        <v/>
      </c>
      <c r="K87" s="345">
        <f>IF($A87="","",IF(OR('Dec 2026'!Z15=TRUE,'Dec 2026'!Z15="x",'Dec 2026'!Z15="X"),1,0))</f>
        <v/>
      </c>
      <c r="L87" s="345">
        <f>IF($A87="","",IF(OR('Dec 2026'!Z16=TRUE,'Dec 2026'!Z16="x",'Dec 2026'!Z16="X"),1,0))</f>
        <v/>
      </c>
      <c r="M87" s="345">
        <f>IF($A87="","",IF(OR('Dec 2026'!Z17=TRUE,'Dec 2026'!Z17="x",'Dec 2026'!Z17="X"),1,0))</f>
        <v/>
      </c>
      <c r="N87" s="345">
        <f>IF($A87="","",IF(OR('Dec 2026'!Z18=TRUE,'Dec 2026'!Z18="x",'Dec 2026'!Z18="X"),1,0))</f>
        <v/>
      </c>
      <c r="O87" s="345">
        <f>IF($A87="","",IF(OR('Dec 2026'!Z20=TRUE,'Dec 2026'!Z20="x",'Dec 2026'!Z20="X"),1,0))</f>
        <v/>
      </c>
      <c r="P87" s="345">
        <f>IF($A87="","",IF(OR('Dec 2026'!Z21=TRUE,'Dec 2026'!Z21="x",'Dec 2026'!Z21="X"),1,0))</f>
        <v/>
      </c>
      <c r="Q87" s="345">
        <f>IF($A87="","",IF(OR('Dec 2026'!Z22=TRUE,'Dec 2026'!Z22="x",'Dec 2026'!Z22="X"),1,0))</f>
        <v/>
      </c>
      <c r="R87" s="345">
        <f>IF($A87="","",IF(OR('Dec 2026'!Z23=TRUE,'Dec 2026'!Z23="x",'Dec 2026'!Z23="X"),1,0))</f>
        <v/>
      </c>
      <c r="S87" s="345">
        <f>IF($A87="","",IF(OR('Dec 2026'!Z24=TRUE,'Dec 2026'!Z24="x",'Dec 2026'!Z24="X"),1,0))</f>
        <v/>
      </c>
      <c r="T87" s="345">
        <f>IF($A87="","",IF(OR('Dec 2026'!Z25=TRUE,'Dec 2026'!Z25="x",'Dec 2026'!Z25="X"),1,0))</f>
        <v/>
      </c>
      <c r="U87" s="345">
        <f>IF($A87="","",IF(OR('Dec 2026'!Z26=TRUE,'Dec 2026'!Z26="x",'Dec 2026'!Z26="X"),1,0))</f>
        <v/>
      </c>
      <c r="V87" s="345">
        <f>IF($A87="","",IF(OR('Dec 2026'!Z27=TRUE,'Dec 2026'!Z27="x",'Dec 2026'!Z27="X"),1,0))</f>
        <v/>
      </c>
      <c r="W87" s="345">
        <f>IF($A87="","",IF(OR('Dec 2026'!Z28=TRUE,'Dec 2026'!Z28="x",'Dec 2026'!Z28="X"),1,0))</f>
        <v/>
      </c>
      <c r="X87" s="345">
        <f>IF($A87="","",IF(OR('Dec 2026'!Z29=TRUE,'Dec 2026'!Z29="x",'Dec 2026'!Z29="X"),1,0))</f>
        <v/>
      </c>
      <c r="Y87" s="345">
        <f>IF($A87="","",IF(OR('Dec 2026'!Z30=TRUE,'Dec 2026'!Z30="x",'Dec 2026'!Z30="X"),1,0))</f>
        <v/>
      </c>
      <c r="Z87" s="345">
        <f>IF($A87="","",IF(OR('Dec 2026'!Z31=TRUE,'Dec 2026'!Z31="x",'Dec 2026'!Z31="X"),1,0))</f>
        <v/>
      </c>
      <c r="AA87" s="345">
        <f>IF($A87="","",IF(OR('Dec 2026'!Z32=TRUE,'Dec 2026'!Z32="x",'Dec 2026'!Z32="X"),1,0))</f>
        <v/>
      </c>
      <c r="AB87" s="345">
        <f>IF($A87="","",IF(OR('Dec 2026'!Z34=TRUE,'Dec 2026'!Z34="x",'Dec 2026'!Z34="X"),1,0))</f>
        <v/>
      </c>
      <c r="AC87" s="345">
        <f>IF($A87="","",IF(OR('Dec 2026'!Z35=TRUE,'Dec 2026'!Z35="x",'Dec 2026'!Z35="X"),1,0))</f>
        <v/>
      </c>
      <c r="AD87" s="345">
        <f>IF($A87="","",IF(OR('Dec 2026'!Z36=TRUE,'Dec 2026'!Z36="x",'Dec 2026'!Z36="X"),1,0))</f>
        <v/>
      </c>
      <c r="AE87" s="345">
        <f>IF($A87="","",IF(OR('Dec 2026'!Z37=TRUE,'Dec 2026'!Z37="x",'Dec 2026'!Z37="X"),1,0))</f>
        <v/>
      </c>
      <c r="AF87" s="345">
        <f>IF($A87="","",IF('Dec 2026'!Z59="","",'Dec 2026'!Z59))</f>
        <v/>
      </c>
      <c r="AG87" s="345">
        <f>IF($A87="","",IF('Dec 2026'!Z60="","",'Dec 2026'!Z60))</f>
        <v/>
      </c>
      <c r="AH87" s="345">
        <f>IF($A87="","",IF('Dec 2026'!Z61="","",'Dec 2026'!Z61))</f>
        <v/>
      </c>
      <c r="AI87" s="345">
        <f>IF($A87="","",IF('Dec 2026'!Z62="","",'Dec 2026'!Z62))</f>
        <v/>
      </c>
      <c r="AJ87" s="345">
        <f>IF($A87="","",IF('Dec 2026'!Z63="","",'Dec 2026'!Z63))</f>
        <v/>
      </c>
      <c r="AK87" s="345">
        <f>IF($A87="","",IF('Dec 2026'!Z64="","",'Dec 2026'!Z64))</f>
        <v/>
      </c>
      <c r="AL87" s="345">
        <f>IF($A87="","",IF('Dec 2026'!Z65="","",'Dec 2026'!Z65))</f>
        <v/>
      </c>
      <c r="AM87" s="345">
        <f>IF($A87="","",IF('Dec 2026'!Z66="","",'Dec 2026'!Z66))</f>
        <v/>
      </c>
      <c r="AN87" s="345">
        <f>IF($A87="","",IF('Dec 2026'!Z67="","",'Dec 2026'!Z67))</f>
        <v/>
      </c>
      <c r="AO87" s="345">
        <f>IF($A87="",0,IF(AND($A87&gt;=TrackStart,$A87&lt;=TODAY()),1,0))</f>
        <v/>
      </c>
      <c r="AP87" s="345">
        <f>IF($A87="",0,IF(SUM(F87:AE87)+COUNT(AF87:AN87)&gt;0,1,0))</f>
        <v/>
      </c>
      <c r="AQ87" s="345">
        <f>IF($A87="","",INT(($A87-TrackStart)/7)+1)</f>
        <v/>
      </c>
      <c r="AR87" s="345">
        <f>IF($A87="","",IF(AQ87&lt;=1,Steps1,IF(AQ87=2,Steps2,Steps3)))</f>
        <v/>
      </c>
      <c r="AS87" s="345">
        <f>IF($A87="",0,IF(ISNUMBER(SEARCH(TEXT(D87,"0"),WorkDays&amp;"")),1,0))</f>
        <v/>
      </c>
      <c r="AT87" s="345">
        <f>IF($A87="",0,IF(ISNUMBER(SEARCH(TEXT(D87,"0"),StrDays&amp;"")),1,0))</f>
        <v/>
      </c>
      <c r="AU87" s="345">
        <f>IF($A87="",0,IF(ISNUMBER(AK87),IF(AK87&gt;=SleepMin,1,0),N87))</f>
        <v/>
      </c>
      <c r="AV87" s="345">
        <f>IF($A87="",0,MAX(I87,O87,S87,AC87))</f>
        <v/>
      </c>
      <c r="AW87" s="345">
        <f>IF($A87="",0,IF(ISNUMBER(AH87),IF(AH87&gt;=ProtHit,1,0),0))</f>
        <v/>
      </c>
      <c r="AX87" s="345">
        <f>IF($A87="",0,IF(ISNUMBER(AI87),IF(AI87&gt;=WaterHit,1,0),0))</f>
        <v/>
      </c>
      <c r="AY87" s="345">
        <f>IF($A87="",0,IF(ISNUMBER(AG87),IF(AG87&gt;=AR87,1,0),0))</f>
        <v/>
      </c>
      <c r="AZ87" s="345">
        <f>IF($A87="",0,G87)</f>
        <v/>
      </c>
      <c r="BA87" s="345">
        <f>IF($A87="",0,J87)</f>
        <v/>
      </c>
      <c r="BB87" s="345">
        <f>IF($A87="",0,K87)</f>
        <v/>
      </c>
      <c r="BC87" s="345">
        <f>IF($A87="",0,MAX(L87,AE87))</f>
        <v/>
      </c>
      <c r="BD87" s="344">
        <f>IF($A87="","",(AU87+AV87+AW87+AX87+AY87+AZ87+BB87+BC87+IF(AS87=1,BA87,0))/(8+AS87))</f>
        <v/>
      </c>
      <c r="BE87" s="344">
        <f>IF($A87="","",(IF(ISNUMBER(AI87),IF(AI87&gt;=WaterMVD,1,0),0)+AV87+IF(ISNUMBER(AH87),IF(AH87&gt;=ProtMVD,1,0),0)+MAX(H87,AD87)+AZ87+BB87+AU87)/7)</f>
        <v/>
      </c>
      <c r="BF87" s="344">
        <f>IF(AO87=0,"",IF(E87="S","",IF(AND(AP87=0,$A87=TODAY()),"",IF(E87="M",BE87,BD87))))</f>
        <v/>
      </c>
      <c r="BG87" s="344">
        <f>IF(AO87=0,"",IFERROR(AVERAGEIFS(Data!$BF$4:$BF$375,Data!$A$4:$A$375,"&gt;"&amp;($A87-7),Data!$A$4:$A$375,"&lt;="&amp;$A87),""))</f>
        <v/>
      </c>
      <c r="BH87" s="344">
        <f>IF(AO87=0,"",IFERROR(AVERAGEIFS(Data!$BF$4:$BF$375,Data!$A$4:$A$375,"&gt;"&amp;($A87-30),Data!$A$4:$A$375,"&lt;="&amp;$A87),""))</f>
        <v/>
      </c>
      <c r="BI87" s="359">
        <f>IF($A87="","",IFERROR(AVERAGEIFS(Data!$AF$4:$AF$375,Data!$A$4:$A$375,"&gt;"&amp;($A87-7),Data!$A$4:$A$375,"&lt;="&amp;$A87,Data!$AF$4:$AF$375,"&gt;0"),""))</f>
        <v/>
      </c>
      <c r="BJ87" s="345">
        <f>IF($A87="","",F87+G87+H87+I87+J87+K87+L87+M87+N87-IF(AS87=1,0,J87))</f>
        <v/>
      </c>
      <c r="BK87" s="345">
        <f>IF($A87="","",8+AS87)</f>
        <v/>
      </c>
      <c r="BL87" s="345">
        <f>IF(ISNUMBER(BF87),BF87,NA())</f>
        <v/>
      </c>
      <c r="BM87" s="345">
        <f>IF(ISNUMBER(AF87),AF87,NA())</f>
        <v/>
      </c>
      <c r="BN87" s="345">
        <f>IF(ISNUMBER(BI87),BI87,NA())</f>
        <v/>
      </c>
      <c r="BO87" s="345">
        <f>IF(ISNUMBER(AL87),AL87,NA())</f>
        <v/>
      </c>
      <c r="BP87" s="345">
        <f>IF(ISNUMBER(AM87),AM87,NA())</f>
        <v/>
      </c>
      <c r="BQ87" s="345">
        <f>IF(ISNUMBER(AN87),AN87,NA())</f>
        <v/>
      </c>
    </row>
    <row r="88">
      <c r="A88" s="358">
        <f>IF('Dec 2026'!AA7="","",'Dec 2026'!AA7)</f>
        <v/>
      </c>
      <c r="B88" s="345" t="n">
        <v>3</v>
      </c>
      <c r="C88" s="345">
        <f>IF($A88="","",23)</f>
        <v/>
      </c>
      <c r="D88" s="345">
        <f>IF($A88="","",WEEKDAY($A88,2))</f>
        <v/>
      </c>
      <c r="E88" s="345">
        <f>IF($A88="","",UPPER(TRIM('Dec 2026'!AA8)))</f>
        <v/>
      </c>
      <c r="F88" s="345">
        <f>IF($A88="","",IF(OR('Dec 2026'!AA10=TRUE,'Dec 2026'!AA10="x",'Dec 2026'!AA10="X"),1,0))</f>
        <v/>
      </c>
      <c r="G88" s="345">
        <f>IF($A88="","",IF(OR('Dec 2026'!AA11=TRUE,'Dec 2026'!AA11="x",'Dec 2026'!AA11="X"),1,0))</f>
        <v/>
      </c>
      <c r="H88" s="345">
        <f>IF($A88="","",IF(OR('Dec 2026'!AA12=TRUE,'Dec 2026'!AA12="x",'Dec 2026'!AA12="X"),1,0))</f>
        <v/>
      </c>
      <c r="I88" s="345">
        <f>IF($A88="","",IF(OR('Dec 2026'!AA13=TRUE,'Dec 2026'!AA13="x",'Dec 2026'!AA13="X"),1,0))</f>
        <v/>
      </c>
      <c r="J88" s="345">
        <f>IF($A88="","",IF(OR('Dec 2026'!AA14=TRUE,'Dec 2026'!AA14="x",'Dec 2026'!AA14="X"),1,0))</f>
        <v/>
      </c>
      <c r="K88" s="345">
        <f>IF($A88="","",IF(OR('Dec 2026'!AA15=TRUE,'Dec 2026'!AA15="x",'Dec 2026'!AA15="X"),1,0))</f>
        <v/>
      </c>
      <c r="L88" s="345">
        <f>IF($A88="","",IF(OR('Dec 2026'!AA16=TRUE,'Dec 2026'!AA16="x",'Dec 2026'!AA16="X"),1,0))</f>
        <v/>
      </c>
      <c r="M88" s="345">
        <f>IF($A88="","",IF(OR('Dec 2026'!AA17=TRUE,'Dec 2026'!AA17="x",'Dec 2026'!AA17="X"),1,0))</f>
        <v/>
      </c>
      <c r="N88" s="345">
        <f>IF($A88="","",IF(OR('Dec 2026'!AA18=TRUE,'Dec 2026'!AA18="x",'Dec 2026'!AA18="X"),1,0))</f>
        <v/>
      </c>
      <c r="O88" s="345">
        <f>IF($A88="","",IF(OR('Dec 2026'!AA20=TRUE,'Dec 2026'!AA20="x",'Dec 2026'!AA20="X"),1,0))</f>
        <v/>
      </c>
      <c r="P88" s="345">
        <f>IF($A88="","",IF(OR('Dec 2026'!AA21=TRUE,'Dec 2026'!AA21="x",'Dec 2026'!AA21="X"),1,0))</f>
        <v/>
      </c>
      <c r="Q88" s="345">
        <f>IF($A88="","",IF(OR('Dec 2026'!AA22=TRUE,'Dec 2026'!AA22="x",'Dec 2026'!AA22="X"),1,0))</f>
        <v/>
      </c>
      <c r="R88" s="345">
        <f>IF($A88="","",IF(OR('Dec 2026'!AA23=TRUE,'Dec 2026'!AA23="x",'Dec 2026'!AA23="X"),1,0))</f>
        <v/>
      </c>
      <c r="S88" s="345">
        <f>IF($A88="","",IF(OR('Dec 2026'!AA24=TRUE,'Dec 2026'!AA24="x",'Dec 2026'!AA24="X"),1,0))</f>
        <v/>
      </c>
      <c r="T88" s="345">
        <f>IF($A88="","",IF(OR('Dec 2026'!AA25=TRUE,'Dec 2026'!AA25="x",'Dec 2026'!AA25="X"),1,0))</f>
        <v/>
      </c>
      <c r="U88" s="345">
        <f>IF($A88="","",IF(OR('Dec 2026'!AA26=TRUE,'Dec 2026'!AA26="x",'Dec 2026'!AA26="X"),1,0))</f>
        <v/>
      </c>
      <c r="V88" s="345">
        <f>IF($A88="","",IF(OR('Dec 2026'!AA27=TRUE,'Dec 2026'!AA27="x",'Dec 2026'!AA27="X"),1,0))</f>
        <v/>
      </c>
      <c r="W88" s="345">
        <f>IF($A88="","",IF(OR('Dec 2026'!AA28=TRUE,'Dec 2026'!AA28="x",'Dec 2026'!AA28="X"),1,0))</f>
        <v/>
      </c>
      <c r="X88" s="345">
        <f>IF($A88="","",IF(OR('Dec 2026'!AA29=TRUE,'Dec 2026'!AA29="x",'Dec 2026'!AA29="X"),1,0))</f>
        <v/>
      </c>
      <c r="Y88" s="345">
        <f>IF($A88="","",IF(OR('Dec 2026'!AA30=TRUE,'Dec 2026'!AA30="x",'Dec 2026'!AA30="X"),1,0))</f>
        <v/>
      </c>
      <c r="Z88" s="345">
        <f>IF($A88="","",IF(OR('Dec 2026'!AA31=TRUE,'Dec 2026'!AA31="x",'Dec 2026'!AA31="X"),1,0))</f>
        <v/>
      </c>
      <c r="AA88" s="345">
        <f>IF($A88="","",IF(OR('Dec 2026'!AA32=TRUE,'Dec 2026'!AA32="x",'Dec 2026'!AA32="X"),1,0))</f>
        <v/>
      </c>
      <c r="AB88" s="345">
        <f>IF($A88="","",IF(OR('Dec 2026'!AA34=TRUE,'Dec 2026'!AA34="x",'Dec 2026'!AA34="X"),1,0))</f>
        <v/>
      </c>
      <c r="AC88" s="345">
        <f>IF($A88="","",IF(OR('Dec 2026'!AA35=TRUE,'Dec 2026'!AA35="x",'Dec 2026'!AA35="X"),1,0))</f>
        <v/>
      </c>
      <c r="AD88" s="345">
        <f>IF($A88="","",IF(OR('Dec 2026'!AA36=TRUE,'Dec 2026'!AA36="x",'Dec 2026'!AA36="X"),1,0))</f>
        <v/>
      </c>
      <c r="AE88" s="345">
        <f>IF($A88="","",IF(OR('Dec 2026'!AA37=TRUE,'Dec 2026'!AA37="x",'Dec 2026'!AA37="X"),1,0))</f>
        <v/>
      </c>
      <c r="AF88" s="345">
        <f>IF($A88="","",IF('Dec 2026'!AA59="","",'Dec 2026'!AA59))</f>
        <v/>
      </c>
      <c r="AG88" s="345">
        <f>IF($A88="","",IF('Dec 2026'!AA60="","",'Dec 2026'!AA60))</f>
        <v/>
      </c>
      <c r="AH88" s="345">
        <f>IF($A88="","",IF('Dec 2026'!AA61="","",'Dec 2026'!AA61))</f>
        <v/>
      </c>
      <c r="AI88" s="345">
        <f>IF($A88="","",IF('Dec 2026'!AA62="","",'Dec 2026'!AA62))</f>
        <v/>
      </c>
      <c r="AJ88" s="345">
        <f>IF($A88="","",IF('Dec 2026'!AA63="","",'Dec 2026'!AA63))</f>
        <v/>
      </c>
      <c r="AK88" s="345">
        <f>IF($A88="","",IF('Dec 2026'!AA64="","",'Dec 2026'!AA64))</f>
        <v/>
      </c>
      <c r="AL88" s="345">
        <f>IF($A88="","",IF('Dec 2026'!AA65="","",'Dec 2026'!AA65))</f>
        <v/>
      </c>
      <c r="AM88" s="345">
        <f>IF($A88="","",IF('Dec 2026'!AA66="","",'Dec 2026'!AA66))</f>
        <v/>
      </c>
      <c r="AN88" s="345">
        <f>IF($A88="","",IF('Dec 2026'!AA67="","",'Dec 2026'!AA67))</f>
        <v/>
      </c>
      <c r="AO88" s="345">
        <f>IF($A88="",0,IF(AND($A88&gt;=TrackStart,$A88&lt;=TODAY()),1,0))</f>
        <v/>
      </c>
      <c r="AP88" s="345">
        <f>IF($A88="",0,IF(SUM(F88:AE88)+COUNT(AF88:AN88)&gt;0,1,0))</f>
        <v/>
      </c>
      <c r="AQ88" s="345">
        <f>IF($A88="","",INT(($A88-TrackStart)/7)+1)</f>
        <v/>
      </c>
      <c r="AR88" s="345">
        <f>IF($A88="","",IF(AQ88&lt;=1,Steps1,IF(AQ88=2,Steps2,Steps3)))</f>
        <v/>
      </c>
      <c r="AS88" s="345">
        <f>IF($A88="",0,IF(ISNUMBER(SEARCH(TEXT(D88,"0"),WorkDays&amp;"")),1,0))</f>
        <v/>
      </c>
      <c r="AT88" s="345">
        <f>IF($A88="",0,IF(ISNUMBER(SEARCH(TEXT(D88,"0"),StrDays&amp;"")),1,0))</f>
        <v/>
      </c>
      <c r="AU88" s="345">
        <f>IF($A88="",0,IF(ISNUMBER(AK88),IF(AK88&gt;=SleepMin,1,0),N88))</f>
        <v/>
      </c>
      <c r="AV88" s="345">
        <f>IF($A88="",0,MAX(I88,O88,S88,AC88))</f>
        <v/>
      </c>
      <c r="AW88" s="345">
        <f>IF($A88="",0,IF(ISNUMBER(AH88),IF(AH88&gt;=ProtHit,1,0),0))</f>
        <v/>
      </c>
      <c r="AX88" s="345">
        <f>IF($A88="",0,IF(ISNUMBER(AI88),IF(AI88&gt;=WaterHit,1,0),0))</f>
        <v/>
      </c>
      <c r="AY88" s="345">
        <f>IF($A88="",0,IF(ISNUMBER(AG88),IF(AG88&gt;=AR88,1,0),0))</f>
        <v/>
      </c>
      <c r="AZ88" s="345">
        <f>IF($A88="",0,G88)</f>
        <v/>
      </c>
      <c r="BA88" s="345">
        <f>IF($A88="",0,J88)</f>
        <v/>
      </c>
      <c r="BB88" s="345">
        <f>IF($A88="",0,K88)</f>
        <v/>
      </c>
      <c r="BC88" s="345">
        <f>IF($A88="",0,MAX(L88,AE88))</f>
        <v/>
      </c>
      <c r="BD88" s="344">
        <f>IF($A88="","",(AU88+AV88+AW88+AX88+AY88+AZ88+BB88+BC88+IF(AS88=1,BA88,0))/(8+AS88))</f>
        <v/>
      </c>
      <c r="BE88" s="344">
        <f>IF($A88="","",(IF(ISNUMBER(AI88),IF(AI88&gt;=WaterMVD,1,0),0)+AV88+IF(ISNUMBER(AH88),IF(AH88&gt;=ProtMVD,1,0),0)+MAX(H88,AD88)+AZ88+BB88+AU88)/7)</f>
        <v/>
      </c>
      <c r="BF88" s="344">
        <f>IF(AO88=0,"",IF(E88="S","",IF(AND(AP88=0,$A88=TODAY()),"",IF(E88="M",BE88,BD88))))</f>
        <v/>
      </c>
      <c r="BG88" s="344">
        <f>IF(AO88=0,"",IFERROR(AVERAGEIFS(Data!$BF$4:$BF$375,Data!$A$4:$A$375,"&gt;"&amp;($A88-7),Data!$A$4:$A$375,"&lt;="&amp;$A88),""))</f>
        <v/>
      </c>
      <c r="BH88" s="344">
        <f>IF(AO88=0,"",IFERROR(AVERAGEIFS(Data!$BF$4:$BF$375,Data!$A$4:$A$375,"&gt;"&amp;($A88-30),Data!$A$4:$A$375,"&lt;="&amp;$A88),""))</f>
        <v/>
      </c>
      <c r="BI88" s="359">
        <f>IF($A88="","",IFERROR(AVERAGEIFS(Data!$AF$4:$AF$375,Data!$A$4:$A$375,"&gt;"&amp;($A88-7),Data!$A$4:$A$375,"&lt;="&amp;$A88,Data!$AF$4:$AF$375,"&gt;0"),""))</f>
        <v/>
      </c>
      <c r="BJ88" s="345">
        <f>IF($A88="","",F88+G88+H88+I88+J88+K88+L88+M88+N88-IF(AS88=1,0,J88))</f>
        <v/>
      </c>
      <c r="BK88" s="345">
        <f>IF($A88="","",8+AS88)</f>
        <v/>
      </c>
      <c r="BL88" s="345">
        <f>IF(ISNUMBER(BF88),BF88,NA())</f>
        <v/>
      </c>
      <c r="BM88" s="345">
        <f>IF(ISNUMBER(AF88),AF88,NA())</f>
        <v/>
      </c>
      <c r="BN88" s="345">
        <f>IF(ISNUMBER(BI88),BI88,NA())</f>
        <v/>
      </c>
      <c r="BO88" s="345">
        <f>IF(ISNUMBER(AL88),AL88,NA())</f>
        <v/>
      </c>
      <c r="BP88" s="345">
        <f>IF(ISNUMBER(AM88),AM88,NA())</f>
        <v/>
      </c>
      <c r="BQ88" s="345">
        <f>IF(ISNUMBER(AN88),AN88,NA())</f>
        <v/>
      </c>
    </row>
    <row r="89">
      <c r="A89" s="358">
        <f>IF('Dec 2026'!AB7="","",'Dec 2026'!AB7)</f>
        <v/>
      </c>
      <c r="B89" s="345" t="n">
        <v>3</v>
      </c>
      <c r="C89" s="345">
        <f>IF($A89="","",24)</f>
        <v/>
      </c>
      <c r="D89" s="345">
        <f>IF($A89="","",WEEKDAY($A89,2))</f>
        <v/>
      </c>
      <c r="E89" s="345">
        <f>IF($A89="","",UPPER(TRIM('Dec 2026'!AB8)))</f>
        <v/>
      </c>
      <c r="F89" s="345">
        <f>IF($A89="","",IF(OR('Dec 2026'!AB10=TRUE,'Dec 2026'!AB10="x",'Dec 2026'!AB10="X"),1,0))</f>
        <v/>
      </c>
      <c r="G89" s="345">
        <f>IF($A89="","",IF(OR('Dec 2026'!AB11=TRUE,'Dec 2026'!AB11="x",'Dec 2026'!AB11="X"),1,0))</f>
        <v/>
      </c>
      <c r="H89" s="345">
        <f>IF($A89="","",IF(OR('Dec 2026'!AB12=TRUE,'Dec 2026'!AB12="x",'Dec 2026'!AB12="X"),1,0))</f>
        <v/>
      </c>
      <c r="I89" s="345">
        <f>IF($A89="","",IF(OR('Dec 2026'!AB13=TRUE,'Dec 2026'!AB13="x",'Dec 2026'!AB13="X"),1,0))</f>
        <v/>
      </c>
      <c r="J89" s="345">
        <f>IF($A89="","",IF(OR('Dec 2026'!AB14=TRUE,'Dec 2026'!AB14="x",'Dec 2026'!AB14="X"),1,0))</f>
        <v/>
      </c>
      <c r="K89" s="345">
        <f>IF($A89="","",IF(OR('Dec 2026'!AB15=TRUE,'Dec 2026'!AB15="x",'Dec 2026'!AB15="X"),1,0))</f>
        <v/>
      </c>
      <c r="L89" s="345">
        <f>IF($A89="","",IF(OR('Dec 2026'!AB16=TRUE,'Dec 2026'!AB16="x",'Dec 2026'!AB16="X"),1,0))</f>
        <v/>
      </c>
      <c r="M89" s="345">
        <f>IF($A89="","",IF(OR('Dec 2026'!AB17=TRUE,'Dec 2026'!AB17="x",'Dec 2026'!AB17="X"),1,0))</f>
        <v/>
      </c>
      <c r="N89" s="345">
        <f>IF($A89="","",IF(OR('Dec 2026'!AB18=TRUE,'Dec 2026'!AB18="x",'Dec 2026'!AB18="X"),1,0))</f>
        <v/>
      </c>
      <c r="O89" s="345">
        <f>IF($A89="","",IF(OR('Dec 2026'!AB20=TRUE,'Dec 2026'!AB20="x",'Dec 2026'!AB20="X"),1,0))</f>
        <v/>
      </c>
      <c r="P89" s="345">
        <f>IF($A89="","",IF(OR('Dec 2026'!AB21=TRUE,'Dec 2026'!AB21="x",'Dec 2026'!AB21="X"),1,0))</f>
        <v/>
      </c>
      <c r="Q89" s="345">
        <f>IF($A89="","",IF(OR('Dec 2026'!AB22=TRUE,'Dec 2026'!AB22="x",'Dec 2026'!AB22="X"),1,0))</f>
        <v/>
      </c>
      <c r="R89" s="345">
        <f>IF($A89="","",IF(OR('Dec 2026'!AB23=TRUE,'Dec 2026'!AB23="x",'Dec 2026'!AB23="X"),1,0))</f>
        <v/>
      </c>
      <c r="S89" s="345">
        <f>IF($A89="","",IF(OR('Dec 2026'!AB24=TRUE,'Dec 2026'!AB24="x",'Dec 2026'!AB24="X"),1,0))</f>
        <v/>
      </c>
      <c r="T89" s="345">
        <f>IF($A89="","",IF(OR('Dec 2026'!AB25=TRUE,'Dec 2026'!AB25="x",'Dec 2026'!AB25="X"),1,0))</f>
        <v/>
      </c>
      <c r="U89" s="345">
        <f>IF($A89="","",IF(OR('Dec 2026'!AB26=TRUE,'Dec 2026'!AB26="x",'Dec 2026'!AB26="X"),1,0))</f>
        <v/>
      </c>
      <c r="V89" s="345">
        <f>IF($A89="","",IF(OR('Dec 2026'!AB27=TRUE,'Dec 2026'!AB27="x",'Dec 2026'!AB27="X"),1,0))</f>
        <v/>
      </c>
      <c r="W89" s="345">
        <f>IF($A89="","",IF(OR('Dec 2026'!AB28=TRUE,'Dec 2026'!AB28="x",'Dec 2026'!AB28="X"),1,0))</f>
        <v/>
      </c>
      <c r="X89" s="345">
        <f>IF($A89="","",IF(OR('Dec 2026'!AB29=TRUE,'Dec 2026'!AB29="x",'Dec 2026'!AB29="X"),1,0))</f>
        <v/>
      </c>
      <c r="Y89" s="345">
        <f>IF($A89="","",IF(OR('Dec 2026'!AB30=TRUE,'Dec 2026'!AB30="x",'Dec 2026'!AB30="X"),1,0))</f>
        <v/>
      </c>
      <c r="Z89" s="345">
        <f>IF($A89="","",IF(OR('Dec 2026'!AB31=TRUE,'Dec 2026'!AB31="x",'Dec 2026'!AB31="X"),1,0))</f>
        <v/>
      </c>
      <c r="AA89" s="345">
        <f>IF($A89="","",IF(OR('Dec 2026'!AB32=TRUE,'Dec 2026'!AB32="x",'Dec 2026'!AB32="X"),1,0))</f>
        <v/>
      </c>
      <c r="AB89" s="345">
        <f>IF($A89="","",IF(OR('Dec 2026'!AB34=TRUE,'Dec 2026'!AB34="x",'Dec 2026'!AB34="X"),1,0))</f>
        <v/>
      </c>
      <c r="AC89" s="345">
        <f>IF($A89="","",IF(OR('Dec 2026'!AB35=TRUE,'Dec 2026'!AB35="x",'Dec 2026'!AB35="X"),1,0))</f>
        <v/>
      </c>
      <c r="AD89" s="345">
        <f>IF($A89="","",IF(OR('Dec 2026'!AB36=TRUE,'Dec 2026'!AB36="x",'Dec 2026'!AB36="X"),1,0))</f>
        <v/>
      </c>
      <c r="AE89" s="345">
        <f>IF($A89="","",IF(OR('Dec 2026'!AB37=TRUE,'Dec 2026'!AB37="x",'Dec 2026'!AB37="X"),1,0))</f>
        <v/>
      </c>
      <c r="AF89" s="345">
        <f>IF($A89="","",IF('Dec 2026'!AB59="","",'Dec 2026'!AB59))</f>
        <v/>
      </c>
      <c r="AG89" s="345">
        <f>IF($A89="","",IF('Dec 2026'!AB60="","",'Dec 2026'!AB60))</f>
        <v/>
      </c>
      <c r="AH89" s="345">
        <f>IF($A89="","",IF('Dec 2026'!AB61="","",'Dec 2026'!AB61))</f>
        <v/>
      </c>
      <c r="AI89" s="345">
        <f>IF($A89="","",IF('Dec 2026'!AB62="","",'Dec 2026'!AB62))</f>
        <v/>
      </c>
      <c r="AJ89" s="345">
        <f>IF($A89="","",IF('Dec 2026'!AB63="","",'Dec 2026'!AB63))</f>
        <v/>
      </c>
      <c r="AK89" s="345">
        <f>IF($A89="","",IF('Dec 2026'!AB64="","",'Dec 2026'!AB64))</f>
        <v/>
      </c>
      <c r="AL89" s="345">
        <f>IF($A89="","",IF('Dec 2026'!AB65="","",'Dec 2026'!AB65))</f>
        <v/>
      </c>
      <c r="AM89" s="345">
        <f>IF($A89="","",IF('Dec 2026'!AB66="","",'Dec 2026'!AB66))</f>
        <v/>
      </c>
      <c r="AN89" s="345">
        <f>IF($A89="","",IF('Dec 2026'!AB67="","",'Dec 2026'!AB67))</f>
        <v/>
      </c>
      <c r="AO89" s="345">
        <f>IF($A89="",0,IF(AND($A89&gt;=TrackStart,$A89&lt;=TODAY()),1,0))</f>
        <v/>
      </c>
      <c r="AP89" s="345">
        <f>IF($A89="",0,IF(SUM(F89:AE89)+COUNT(AF89:AN89)&gt;0,1,0))</f>
        <v/>
      </c>
      <c r="AQ89" s="345">
        <f>IF($A89="","",INT(($A89-TrackStart)/7)+1)</f>
        <v/>
      </c>
      <c r="AR89" s="345">
        <f>IF($A89="","",IF(AQ89&lt;=1,Steps1,IF(AQ89=2,Steps2,Steps3)))</f>
        <v/>
      </c>
      <c r="AS89" s="345">
        <f>IF($A89="",0,IF(ISNUMBER(SEARCH(TEXT(D89,"0"),WorkDays&amp;"")),1,0))</f>
        <v/>
      </c>
      <c r="AT89" s="345">
        <f>IF($A89="",0,IF(ISNUMBER(SEARCH(TEXT(D89,"0"),StrDays&amp;"")),1,0))</f>
        <v/>
      </c>
      <c r="AU89" s="345">
        <f>IF($A89="",0,IF(ISNUMBER(AK89),IF(AK89&gt;=SleepMin,1,0),N89))</f>
        <v/>
      </c>
      <c r="AV89" s="345">
        <f>IF($A89="",0,MAX(I89,O89,S89,AC89))</f>
        <v/>
      </c>
      <c r="AW89" s="345">
        <f>IF($A89="",0,IF(ISNUMBER(AH89),IF(AH89&gt;=ProtHit,1,0),0))</f>
        <v/>
      </c>
      <c r="AX89" s="345">
        <f>IF($A89="",0,IF(ISNUMBER(AI89),IF(AI89&gt;=WaterHit,1,0),0))</f>
        <v/>
      </c>
      <c r="AY89" s="345">
        <f>IF($A89="",0,IF(ISNUMBER(AG89),IF(AG89&gt;=AR89,1,0),0))</f>
        <v/>
      </c>
      <c r="AZ89" s="345">
        <f>IF($A89="",0,G89)</f>
        <v/>
      </c>
      <c r="BA89" s="345">
        <f>IF($A89="",0,J89)</f>
        <v/>
      </c>
      <c r="BB89" s="345">
        <f>IF($A89="",0,K89)</f>
        <v/>
      </c>
      <c r="BC89" s="345">
        <f>IF($A89="",0,MAX(L89,AE89))</f>
        <v/>
      </c>
      <c r="BD89" s="344">
        <f>IF($A89="","",(AU89+AV89+AW89+AX89+AY89+AZ89+BB89+BC89+IF(AS89=1,BA89,0))/(8+AS89))</f>
        <v/>
      </c>
      <c r="BE89" s="344">
        <f>IF($A89="","",(IF(ISNUMBER(AI89),IF(AI89&gt;=WaterMVD,1,0),0)+AV89+IF(ISNUMBER(AH89),IF(AH89&gt;=ProtMVD,1,0),0)+MAX(H89,AD89)+AZ89+BB89+AU89)/7)</f>
        <v/>
      </c>
      <c r="BF89" s="344">
        <f>IF(AO89=0,"",IF(E89="S","",IF(AND(AP89=0,$A89=TODAY()),"",IF(E89="M",BE89,BD89))))</f>
        <v/>
      </c>
      <c r="BG89" s="344">
        <f>IF(AO89=0,"",IFERROR(AVERAGEIFS(Data!$BF$4:$BF$375,Data!$A$4:$A$375,"&gt;"&amp;($A89-7),Data!$A$4:$A$375,"&lt;="&amp;$A89),""))</f>
        <v/>
      </c>
      <c r="BH89" s="344">
        <f>IF(AO89=0,"",IFERROR(AVERAGEIFS(Data!$BF$4:$BF$375,Data!$A$4:$A$375,"&gt;"&amp;($A89-30),Data!$A$4:$A$375,"&lt;="&amp;$A89),""))</f>
        <v/>
      </c>
      <c r="BI89" s="359">
        <f>IF($A89="","",IFERROR(AVERAGEIFS(Data!$AF$4:$AF$375,Data!$A$4:$A$375,"&gt;"&amp;($A89-7),Data!$A$4:$A$375,"&lt;="&amp;$A89,Data!$AF$4:$AF$375,"&gt;0"),""))</f>
        <v/>
      </c>
      <c r="BJ89" s="345">
        <f>IF($A89="","",F89+G89+H89+I89+J89+K89+L89+M89+N89-IF(AS89=1,0,J89))</f>
        <v/>
      </c>
      <c r="BK89" s="345">
        <f>IF($A89="","",8+AS89)</f>
        <v/>
      </c>
      <c r="BL89" s="345">
        <f>IF(ISNUMBER(BF89),BF89,NA())</f>
        <v/>
      </c>
      <c r="BM89" s="345">
        <f>IF(ISNUMBER(AF89),AF89,NA())</f>
        <v/>
      </c>
      <c r="BN89" s="345">
        <f>IF(ISNUMBER(BI89),BI89,NA())</f>
        <v/>
      </c>
      <c r="BO89" s="345">
        <f>IF(ISNUMBER(AL89),AL89,NA())</f>
        <v/>
      </c>
      <c r="BP89" s="345">
        <f>IF(ISNUMBER(AM89),AM89,NA())</f>
        <v/>
      </c>
      <c r="BQ89" s="345">
        <f>IF(ISNUMBER(AN89),AN89,NA())</f>
        <v/>
      </c>
    </row>
    <row r="90">
      <c r="A90" s="358">
        <f>IF('Dec 2026'!AC7="","",'Dec 2026'!AC7)</f>
        <v/>
      </c>
      <c r="B90" s="345" t="n">
        <v>3</v>
      </c>
      <c r="C90" s="345">
        <f>IF($A90="","",25)</f>
        <v/>
      </c>
      <c r="D90" s="345">
        <f>IF($A90="","",WEEKDAY($A90,2))</f>
        <v/>
      </c>
      <c r="E90" s="345">
        <f>IF($A90="","",UPPER(TRIM('Dec 2026'!AC8)))</f>
        <v/>
      </c>
      <c r="F90" s="345">
        <f>IF($A90="","",IF(OR('Dec 2026'!AC10=TRUE,'Dec 2026'!AC10="x",'Dec 2026'!AC10="X"),1,0))</f>
        <v/>
      </c>
      <c r="G90" s="345">
        <f>IF($A90="","",IF(OR('Dec 2026'!AC11=TRUE,'Dec 2026'!AC11="x",'Dec 2026'!AC11="X"),1,0))</f>
        <v/>
      </c>
      <c r="H90" s="345">
        <f>IF($A90="","",IF(OR('Dec 2026'!AC12=TRUE,'Dec 2026'!AC12="x",'Dec 2026'!AC12="X"),1,0))</f>
        <v/>
      </c>
      <c r="I90" s="345">
        <f>IF($A90="","",IF(OR('Dec 2026'!AC13=TRUE,'Dec 2026'!AC13="x",'Dec 2026'!AC13="X"),1,0))</f>
        <v/>
      </c>
      <c r="J90" s="345">
        <f>IF($A90="","",IF(OR('Dec 2026'!AC14=TRUE,'Dec 2026'!AC14="x",'Dec 2026'!AC14="X"),1,0))</f>
        <v/>
      </c>
      <c r="K90" s="345">
        <f>IF($A90="","",IF(OR('Dec 2026'!AC15=TRUE,'Dec 2026'!AC15="x",'Dec 2026'!AC15="X"),1,0))</f>
        <v/>
      </c>
      <c r="L90" s="345">
        <f>IF($A90="","",IF(OR('Dec 2026'!AC16=TRUE,'Dec 2026'!AC16="x",'Dec 2026'!AC16="X"),1,0))</f>
        <v/>
      </c>
      <c r="M90" s="345">
        <f>IF($A90="","",IF(OR('Dec 2026'!AC17=TRUE,'Dec 2026'!AC17="x",'Dec 2026'!AC17="X"),1,0))</f>
        <v/>
      </c>
      <c r="N90" s="345">
        <f>IF($A90="","",IF(OR('Dec 2026'!AC18=TRUE,'Dec 2026'!AC18="x",'Dec 2026'!AC18="X"),1,0))</f>
        <v/>
      </c>
      <c r="O90" s="345">
        <f>IF($A90="","",IF(OR('Dec 2026'!AC20=TRUE,'Dec 2026'!AC20="x",'Dec 2026'!AC20="X"),1,0))</f>
        <v/>
      </c>
      <c r="P90" s="345">
        <f>IF($A90="","",IF(OR('Dec 2026'!AC21=TRUE,'Dec 2026'!AC21="x",'Dec 2026'!AC21="X"),1,0))</f>
        <v/>
      </c>
      <c r="Q90" s="345">
        <f>IF($A90="","",IF(OR('Dec 2026'!AC22=TRUE,'Dec 2026'!AC22="x",'Dec 2026'!AC22="X"),1,0))</f>
        <v/>
      </c>
      <c r="R90" s="345">
        <f>IF($A90="","",IF(OR('Dec 2026'!AC23=TRUE,'Dec 2026'!AC23="x",'Dec 2026'!AC23="X"),1,0))</f>
        <v/>
      </c>
      <c r="S90" s="345">
        <f>IF($A90="","",IF(OR('Dec 2026'!AC24=TRUE,'Dec 2026'!AC24="x",'Dec 2026'!AC24="X"),1,0))</f>
        <v/>
      </c>
      <c r="T90" s="345">
        <f>IF($A90="","",IF(OR('Dec 2026'!AC25=TRUE,'Dec 2026'!AC25="x",'Dec 2026'!AC25="X"),1,0))</f>
        <v/>
      </c>
      <c r="U90" s="345">
        <f>IF($A90="","",IF(OR('Dec 2026'!AC26=TRUE,'Dec 2026'!AC26="x",'Dec 2026'!AC26="X"),1,0))</f>
        <v/>
      </c>
      <c r="V90" s="345">
        <f>IF($A90="","",IF(OR('Dec 2026'!AC27=TRUE,'Dec 2026'!AC27="x",'Dec 2026'!AC27="X"),1,0))</f>
        <v/>
      </c>
      <c r="W90" s="345">
        <f>IF($A90="","",IF(OR('Dec 2026'!AC28=TRUE,'Dec 2026'!AC28="x",'Dec 2026'!AC28="X"),1,0))</f>
        <v/>
      </c>
      <c r="X90" s="345">
        <f>IF($A90="","",IF(OR('Dec 2026'!AC29=TRUE,'Dec 2026'!AC29="x",'Dec 2026'!AC29="X"),1,0))</f>
        <v/>
      </c>
      <c r="Y90" s="345">
        <f>IF($A90="","",IF(OR('Dec 2026'!AC30=TRUE,'Dec 2026'!AC30="x",'Dec 2026'!AC30="X"),1,0))</f>
        <v/>
      </c>
      <c r="Z90" s="345">
        <f>IF($A90="","",IF(OR('Dec 2026'!AC31=TRUE,'Dec 2026'!AC31="x",'Dec 2026'!AC31="X"),1,0))</f>
        <v/>
      </c>
      <c r="AA90" s="345">
        <f>IF($A90="","",IF(OR('Dec 2026'!AC32=TRUE,'Dec 2026'!AC32="x",'Dec 2026'!AC32="X"),1,0))</f>
        <v/>
      </c>
      <c r="AB90" s="345">
        <f>IF($A90="","",IF(OR('Dec 2026'!AC34=TRUE,'Dec 2026'!AC34="x",'Dec 2026'!AC34="X"),1,0))</f>
        <v/>
      </c>
      <c r="AC90" s="345">
        <f>IF($A90="","",IF(OR('Dec 2026'!AC35=TRUE,'Dec 2026'!AC35="x",'Dec 2026'!AC35="X"),1,0))</f>
        <v/>
      </c>
      <c r="AD90" s="345">
        <f>IF($A90="","",IF(OR('Dec 2026'!AC36=TRUE,'Dec 2026'!AC36="x",'Dec 2026'!AC36="X"),1,0))</f>
        <v/>
      </c>
      <c r="AE90" s="345">
        <f>IF($A90="","",IF(OR('Dec 2026'!AC37=TRUE,'Dec 2026'!AC37="x",'Dec 2026'!AC37="X"),1,0))</f>
        <v/>
      </c>
      <c r="AF90" s="345">
        <f>IF($A90="","",IF('Dec 2026'!AC59="","",'Dec 2026'!AC59))</f>
        <v/>
      </c>
      <c r="AG90" s="345">
        <f>IF($A90="","",IF('Dec 2026'!AC60="","",'Dec 2026'!AC60))</f>
        <v/>
      </c>
      <c r="AH90" s="345">
        <f>IF($A90="","",IF('Dec 2026'!AC61="","",'Dec 2026'!AC61))</f>
        <v/>
      </c>
      <c r="AI90" s="345">
        <f>IF($A90="","",IF('Dec 2026'!AC62="","",'Dec 2026'!AC62))</f>
        <v/>
      </c>
      <c r="AJ90" s="345">
        <f>IF($A90="","",IF('Dec 2026'!AC63="","",'Dec 2026'!AC63))</f>
        <v/>
      </c>
      <c r="AK90" s="345">
        <f>IF($A90="","",IF('Dec 2026'!AC64="","",'Dec 2026'!AC64))</f>
        <v/>
      </c>
      <c r="AL90" s="345">
        <f>IF($A90="","",IF('Dec 2026'!AC65="","",'Dec 2026'!AC65))</f>
        <v/>
      </c>
      <c r="AM90" s="345">
        <f>IF($A90="","",IF('Dec 2026'!AC66="","",'Dec 2026'!AC66))</f>
        <v/>
      </c>
      <c r="AN90" s="345">
        <f>IF($A90="","",IF('Dec 2026'!AC67="","",'Dec 2026'!AC67))</f>
        <v/>
      </c>
      <c r="AO90" s="345">
        <f>IF($A90="",0,IF(AND($A90&gt;=TrackStart,$A90&lt;=TODAY()),1,0))</f>
        <v/>
      </c>
      <c r="AP90" s="345">
        <f>IF($A90="",0,IF(SUM(F90:AE90)+COUNT(AF90:AN90)&gt;0,1,0))</f>
        <v/>
      </c>
      <c r="AQ90" s="345">
        <f>IF($A90="","",INT(($A90-TrackStart)/7)+1)</f>
        <v/>
      </c>
      <c r="AR90" s="345">
        <f>IF($A90="","",IF(AQ90&lt;=1,Steps1,IF(AQ90=2,Steps2,Steps3)))</f>
        <v/>
      </c>
      <c r="AS90" s="345">
        <f>IF($A90="",0,IF(ISNUMBER(SEARCH(TEXT(D90,"0"),WorkDays&amp;"")),1,0))</f>
        <v/>
      </c>
      <c r="AT90" s="345">
        <f>IF($A90="",0,IF(ISNUMBER(SEARCH(TEXT(D90,"0"),StrDays&amp;"")),1,0))</f>
        <v/>
      </c>
      <c r="AU90" s="345">
        <f>IF($A90="",0,IF(ISNUMBER(AK90),IF(AK90&gt;=SleepMin,1,0),N90))</f>
        <v/>
      </c>
      <c r="AV90" s="345">
        <f>IF($A90="",0,MAX(I90,O90,S90,AC90))</f>
        <v/>
      </c>
      <c r="AW90" s="345">
        <f>IF($A90="",0,IF(ISNUMBER(AH90),IF(AH90&gt;=ProtHit,1,0),0))</f>
        <v/>
      </c>
      <c r="AX90" s="345">
        <f>IF($A90="",0,IF(ISNUMBER(AI90),IF(AI90&gt;=WaterHit,1,0),0))</f>
        <v/>
      </c>
      <c r="AY90" s="345">
        <f>IF($A90="",0,IF(ISNUMBER(AG90),IF(AG90&gt;=AR90,1,0),0))</f>
        <v/>
      </c>
      <c r="AZ90" s="345">
        <f>IF($A90="",0,G90)</f>
        <v/>
      </c>
      <c r="BA90" s="345">
        <f>IF($A90="",0,J90)</f>
        <v/>
      </c>
      <c r="BB90" s="345">
        <f>IF($A90="",0,K90)</f>
        <v/>
      </c>
      <c r="BC90" s="345">
        <f>IF($A90="",0,MAX(L90,AE90))</f>
        <v/>
      </c>
      <c r="BD90" s="344">
        <f>IF($A90="","",(AU90+AV90+AW90+AX90+AY90+AZ90+BB90+BC90+IF(AS90=1,BA90,0))/(8+AS90))</f>
        <v/>
      </c>
      <c r="BE90" s="344">
        <f>IF($A90="","",(IF(ISNUMBER(AI90),IF(AI90&gt;=WaterMVD,1,0),0)+AV90+IF(ISNUMBER(AH90),IF(AH90&gt;=ProtMVD,1,0),0)+MAX(H90,AD90)+AZ90+BB90+AU90)/7)</f>
        <v/>
      </c>
      <c r="BF90" s="344">
        <f>IF(AO90=0,"",IF(E90="S","",IF(AND(AP90=0,$A90=TODAY()),"",IF(E90="M",BE90,BD90))))</f>
        <v/>
      </c>
      <c r="BG90" s="344">
        <f>IF(AO90=0,"",IFERROR(AVERAGEIFS(Data!$BF$4:$BF$375,Data!$A$4:$A$375,"&gt;"&amp;($A90-7),Data!$A$4:$A$375,"&lt;="&amp;$A90),""))</f>
        <v/>
      </c>
      <c r="BH90" s="344">
        <f>IF(AO90=0,"",IFERROR(AVERAGEIFS(Data!$BF$4:$BF$375,Data!$A$4:$A$375,"&gt;"&amp;($A90-30),Data!$A$4:$A$375,"&lt;="&amp;$A90),""))</f>
        <v/>
      </c>
      <c r="BI90" s="359">
        <f>IF($A90="","",IFERROR(AVERAGEIFS(Data!$AF$4:$AF$375,Data!$A$4:$A$375,"&gt;"&amp;($A90-7),Data!$A$4:$A$375,"&lt;="&amp;$A90,Data!$AF$4:$AF$375,"&gt;0"),""))</f>
        <v/>
      </c>
      <c r="BJ90" s="345">
        <f>IF($A90="","",F90+G90+H90+I90+J90+K90+L90+M90+N90-IF(AS90=1,0,J90))</f>
        <v/>
      </c>
      <c r="BK90" s="345">
        <f>IF($A90="","",8+AS90)</f>
        <v/>
      </c>
      <c r="BL90" s="345">
        <f>IF(ISNUMBER(BF90),BF90,NA())</f>
        <v/>
      </c>
      <c r="BM90" s="345">
        <f>IF(ISNUMBER(AF90),AF90,NA())</f>
        <v/>
      </c>
      <c r="BN90" s="345">
        <f>IF(ISNUMBER(BI90),BI90,NA())</f>
        <v/>
      </c>
      <c r="BO90" s="345">
        <f>IF(ISNUMBER(AL90),AL90,NA())</f>
        <v/>
      </c>
      <c r="BP90" s="345">
        <f>IF(ISNUMBER(AM90),AM90,NA())</f>
        <v/>
      </c>
      <c r="BQ90" s="345">
        <f>IF(ISNUMBER(AN90),AN90,NA())</f>
        <v/>
      </c>
    </row>
    <row r="91">
      <c r="A91" s="358">
        <f>IF('Dec 2026'!AD7="","",'Dec 2026'!AD7)</f>
        <v/>
      </c>
      <c r="B91" s="345" t="n">
        <v>3</v>
      </c>
      <c r="C91" s="345">
        <f>IF($A91="","",26)</f>
        <v/>
      </c>
      <c r="D91" s="345">
        <f>IF($A91="","",WEEKDAY($A91,2))</f>
        <v/>
      </c>
      <c r="E91" s="345">
        <f>IF($A91="","",UPPER(TRIM('Dec 2026'!AD8)))</f>
        <v/>
      </c>
      <c r="F91" s="345">
        <f>IF($A91="","",IF(OR('Dec 2026'!AD10=TRUE,'Dec 2026'!AD10="x",'Dec 2026'!AD10="X"),1,0))</f>
        <v/>
      </c>
      <c r="G91" s="345">
        <f>IF($A91="","",IF(OR('Dec 2026'!AD11=TRUE,'Dec 2026'!AD11="x",'Dec 2026'!AD11="X"),1,0))</f>
        <v/>
      </c>
      <c r="H91" s="345">
        <f>IF($A91="","",IF(OR('Dec 2026'!AD12=TRUE,'Dec 2026'!AD12="x",'Dec 2026'!AD12="X"),1,0))</f>
        <v/>
      </c>
      <c r="I91" s="345">
        <f>IF($A91="","",IF(OR('Dec 2026'!AD13=TRUE,'Dec 2026'!AD13="x",'Dec 2026'!AD13="X"),1,0))</f>
        <v/>
      </c>
      <c r="J91" s="345">
        <f>IF($A91="","",IF(OR('Dec 2026'!AD14=TRUE,'Dec 2026'!AD14="x",'Dec 2026'!AD14="X"),1,0))</f>
        <v/>
      </c>
      <c r="K91" s="345">
        <f>IF($A91="","",IF(OR('Dec 2026'!AD15=TRUE,'Dec 2026'!AD15="x",'Dec 2026'!AD15="X"),1,0))</f>
        <v/>
      </c>
      <c r="L91" s="345">
        <f>IF($A91="","",IF(OR('Dec 2026'!AD16=TRUE,'Dec 2026'!AD16="x",'Dec 2026'!AD16="X"),1,0))</f>
        <v/>
      </c>
      <c r="M91" s="345">
        <f>IF($A91="","",IF(OR('Dec 2026'!AD17=TRUE,'Dec 2026'!AD17="x",'Dec 2026'!AD17="X"),1,0))</f>
        <v/>
      </c>
      <c r="N91" s="345">
        <f>IF($A91="","",IF(OR('Dec 2026'!AD18=TRUE,'Dec 2026'!AD18="x",'Dec 2026'!AD18="X"),1,0))</f>
        <v/>
      </c>
      <c r="O91" s="345">
        <f>IF($A91="","",IF(OR('Dec 2026'!AD20=TRUE,'Dec 2026'!AD20="x",'Dec 2026'!AD20="X"),1,0))</f>
        <v/>
      </c>
      <c r="P91" s="345">
        <f>IF($A91="","",IF(OR('Dec 2026'!AD21=TRUE,'Dec 2026'!AD21="x",'Dec 2026'!AD21="X"),1,0))</f>
        <v/>
      </c>
      <c r="Q91" s="345">
        <f>IF($A91="","",IF(OR('Dec 2026'!AD22=TRUE,'Dec 2026'!AD22="x",'Dec 2026'!AD22="X"),1,0))</f>
        <v/>
      </c>
      <c r="R91" s="345">
        <f>IF($A91="","",IF(OR('Dec 2026'!AD23=TRUE,'Dec 2026'!AD23="x",'Dec 2026'!AD23="X"),1,0))</f>
        <v/>
      </c>
      <c r="S91" s="345">
        <f>IF($A91="","",IF(OR('Dec 2026'!AD24=TRUE,'Dec 2026'!AD24="x",'Dec 2026'!AD24="X"),1,0))</f>
        <v/>
      </c>
      <c r="T91" s="345">
        <f>IF($A91="","",IF(OR('Dec 2026'!AD25=TRUE,'Dec 2026'!AD25="x",'Dec 2026'!AD25="X"),1,0))</f>
        <v/>
      </c>
      <c r="U91" s="345">
        <f>IF($A91="","",IF(OR('Dec 2026'!AD26=TRUE,'Dec 2026'!AD26="x",'Dec 2026'!AD26="X"),1,0))</f>
        <v/>
      </c>
      <c r="V91" s="345">
        <f>IF($A91="","",IF(OR('Dec 2026'!AD27=TRUE,'Dec 2026'!AD27="x",'Dec 2026'!AD27="X"),1,0))</f>
        <v/>
      </c>
      <c r="W91" s="345">
        <f>IF($A91="","",IF(OR('Dec 2026'!AD28=TRUE,'Dec 2026'!AD28="x",'Dec 2026'!AD28="X"),1,0))</f>
        <v/>
      </c>
      <c r="X91" s="345">
        <f>IF($A91="","",IF(OR('Dec 2026'!AD29=TRUE,'Dec 2026'!AD29="x",'Dec 2026'!AD29="X"),1,0))</f>
        <v/>
      </c>
      <c r="Y91" s="345">
        <f>IF($A91="","",IF(OR('Dec 2026'!AD30=TRUE,'Dec 2026'!AD30="x",'Dec 2026'!AD30="X"),1,0))</f>
        <v/>
      </c>
      <c r="Z91" s="345">
        <f>IF($A91="","",IF(OR('Dec 2026'!AD31=TRUE,'Dec 2026'!AD31="x",'Dec 2026'!AD31="X"),1,0))</f>
        <v/>
      </c>
      <c r="AA91" s="345">
        <f>IF($A91="","",IF(OR('Dec 2026'!AD32=TRUE,'Dec 2026'!AD32="x",'Dec 2026'!AD32="X"),1,0))</f>
        <v/>
      </c>
      <c r="AB91" s="345">
        <f>IF($A91="","",IF(OR('Dec 2026'!AD34=TRUE,'Dec 2026'!AD34="x",'Dec 2026'!AD34="X"),1,0))</f>
        <v/>
      </c>
      <c r="AC91" s="345">
        <f>IF($A91="","",IF(OR('Dec 2026'!AD35=TRUE,'Dec 2026'!AD35="x",'Dec 2026'!AD35="X"),1,0))</f>
        <v/>
      </c>
      <c r="AD91" s="345">
        <f>IF($A91="","",IF(OR('Dec 2026'!AD36=TRUE,'Dec 2026'!AD36="x",'Dec 2026'!AD36="X"),1,0))</f>
        <v/>
      </c>
      <c r="AE91" s="345">
        <f>IF($A91="","",IF(OR('Dec 2026'!AD37=TRUE,'Dec 2026'!AD37="x",'Dec 2026'!AD37="X"),1,0))</f>
        <v/>
      </c>
      <c r="AF91" s="345">
        <f>IF($A91="","",IF('Dec 2026'!AD59="","",'Dec 2026'!AD59))</f>
        <v/>
      </c>
      <c r="AG91" s="345">
        <f>IF($A91="","",IF('Dec 2026'!AD60="","",'Dec 2026'!AD60))</f>
        <v/>
      </c>
      <c r="AH91" s="345">
        <f>IF($A91="","",IF('Dec 2026'!AD61="","",'Dec 2026'!AD61))</f>
        <v/>
      </c>
      <c r="AI91" s="345">
        <f>IF($A91="","",IF('Dec 2026'!AD62="","",'Dec 2026'!AD62))</f>
        <v/>
      </c>
      <c r="AJ91" s="345">
        <f>IF($A91="","",IF('Dec 2026'!AD63="","",'Dec 2026'!AD63))</f>
        <v/>
      </c>
      <c r="AK91" s="345">
        <f>IF($A91="","",IF('Dec 2026'!AD64="","",'Dec 2026'!AD64))</f>
        <v/>
      </c>
      <c r="AL91" s="345">
        <f>IF($A91="","",IF('Dec 2026'!AD65="","",'Dec 2026'!AD65))</f>
        <v/>
      </c>
      <c r="AM91" s="345">
        <f>IF($A91="","",IF('Dec 2026'!AD66="","",'Dec 2026'!AD66))</f>
        <v/>
      </c>
      <c r="AN91" s="345">
        <f>IF($A91="","",IF('Dec 2026'!AD67="","",'Dec 2026'!AD67))</f>
        <v/>
      </c>
      <c r="AO91" s="345">
        <f>IF($A91="",0,IF(AND($A91&gt;=TrackStart,$A91&lt;=TODAY()),1,0))</f>
        <v/>
      </c>
      <c r="AP91" s="345">
        <f>IF($A91="",0,IF(SUM(F91:AE91)+COUNT(AF91:AN91)&gt;0,1,0))</f>
        <v/>
      </c>
      <c r="AQ91" s="345">
        <f>IF($A91="","",INT(($A91-TrackStart)/7)+1)</f>
        <v/>
      </c>
      <c r="AR91" s="345">
        <f>IF($A91="","",IF(AQ91&lt;=1,Steps1,IF(AQ91=2,Steps2,Steps3)))</f>
        <v/>
      </c>
      <c r="AS91" s="345">
        <f>IF($A91="",0,IF(ISNUMBER(SEARCH(TEXT(D91,"0"),WorkDays&amp;"")),1,0))</f>
        <v/>
      </c>
      <c r="AT91" s="345">
        <f>IF($A91="",0,IF(ISNUMBER(SEARCH(TEXT(D91,"0"),StrDays&amp;"")),1,0))</f>
        <v/>
      </c>
      <c r="AU91" s="345">
        <f>IF($A91="",0,IF(ISNUMBER(AK91),IF(AK91&gt;=SleepMin,1,0),N91))</f>
        <v/>
      </c>
      <c r="AV91" s="345">
        <f>IF($A91="",0,MAX(I91,O91,S91,AC91))</f>
        <v/>
      </c>
      <c r="AW91" s="345">
        <f>IF($A91="",0,IF(ISNUMBER(AH91),IF(AH91&gt;=ProtHit,1,0),0))</f>
        <v/>
      </c>
      <c r="AX91" s="345">
        <f>IF($A91="",0,IF(ISNUMBER(AI91),IF(AI91&gt;=WaterHit,1,0),0))</f>
        <v/>
      </c>
      <c r="AY91" s="345">
        <f>IF($A91="",0,IF(ISNUMBER(AG91),IF(AG91&gt;=AR91,1,0),0))</f>
        <v/>
      </c>
      <c r="AZ91" s="345">
        <f>IF($A91="",0,G91)</f>
        <v/>
      </c>
      <c r="BA91" s="345">
        <f>IF($A91="",0,J91)</f>
        <v/>
      </c>
      <c r="BB91" s="345">
        <f>IF($A91="",0,K91)</f>
        <v/>
      </c>
      <c r="BC91" s="345">
        <f>IF($A91="",0,MAX(L91,AE91))</f>
        <v/>
      </c>
      <c r="BD91" s="344">
        <f>IF($A91="","",(AU91+AV91+AW91+AX91+AY91+AZ91+BB91+BC91+IF(AS91=1,BA91,0))/(8+AS91))</f>
        <v/>
      </c>
      <c r="BE91" s="344">
        <f>IF($A91="","",(IF(ISNUMBER(AI91),IF(AI91&gt;=WaterMVD,1,0),0)+AV91+IF(ISNUMBER(AH91),IF(AH91&gt;=ProtMVD,1,0),0)+MAX(H91,AD91)+AZ91+BB91+AU91)/7)</f>
        <v/>
      </c>
      <c r="BF91" s="344">
        <f>IF(AO91=0,"",IF(E91="S","",IF(AND(AP91=0,$A91=TODAY()),"",IF(E91="M",BE91,BD91))))</f>
        <v/>
      </c>
      <c r="BG91" s="344">
        <f>IF(AO91=0,"",IFERROR(AVERAGEIFS(Data!$BF$4:$BF$375,Data!$A$4:$A$375,"&gt;"&amp;($A91-7),Data!$A$4:$A$375,"&lt;="&amp;$A91),""))</f>
        <v/>
      </c>
      <c r="BH91" s="344">
        <f>IF(AO91=0,"",IFERROR(AVERAGEIFS(Data!$BF$4:$BF$375,Data!$A$4:$A$375,"&gt;"&amp;($A91-30),Data!$A$4:$A$375,"&lt;="&amp;$A91),""))</f>
        <v/>
      </c>
      <c r="BI91" s="359">
        <f>IF($A91="","",IFERROR(AVERAGEIFS(Data!$AF$4:$AF$375,Data!$A$4:$A$375,"&gt;"&amp;($A91-7),Data!$A$4:$A$375,"&lt;="&amp;$A91,Data!$AF$4:$AF$375,"&gt;0"),""))</f>
        <v/>
      </c>
      <c r="BJ91" s="345">
        <f>IF($A91="","",F91+G91+H91+I91+J91+K91+L91+M91+N91-IF(AS91=1,0,J91))</f>
        <v/>
      </c>
      <c r="BK91" s="345">
        <f>IF($A91="","",8+AS91)</f>
        <v/>
      </c>
      <c r="BL91" s="345">
        <f>IF(ISNUMBER(BF91),BF91,NA())</f>
        <v/>
      </c>
      <c r="BM91" s="345">
        <f>IF(ISNUMBER(AF91),AF91,NA())</f>
        <v/>
      </c>
      <c r="BN91" s="345">
        <f>IF(ISNUMBER(BI91),BI91,NA())</f>
        <v/>
      </c>
      <c r="BO91" s="345">
        <f>IF(ISNUMBER(AL91),AL91,NA())</f>
        <v/>
      </c>
      <c r="BP91" s="345">
        <f>IF(ISNUMBER(AM91),AM91,NA())</f>
        <v/>
      </c>
      <c r="BQ91" s="345">
        <f>IF(ISNUMBER(AN91),AN91,NA())</f>
        <v/>
      </c>
    </row>
    <row r="92">
      <c r="A92" s="358">
        <f>IF('Dec 2026'!AE7="","",'Dec 2026'!AE7)</f>
        <v/>
      </c>
      <c r="B92" s="345" t="n">
        <v>3</v>
      </c>
      <c r="C92" s="345">
        <f>IF($A92="","",27)</f>
        <v/>
      </c>
      <c r="D92" s="345">
        <f>IF($A92="","",WEEKDAY($A92,2))</f>
        <v/>
      </c>
      <c r="E92" s="345">
        <f>IF($A92="","",UPPER(TRIM('Dec 2026'!AE8)))</f>
        <v/>
      </c>
      <c r="F92" s="345">
        <f>IF($A92="","",IF(OR('Dec 2026'!AE10=TRUE,'Dec 2026'!AE10="x",'Dec 2026'!AE10="X"),1,0))</f>
        <v/>
      </c>
      <c r="G92" s="345">
        <f>IF($A92="","",IF(OR('Dec 2026'!AE11=TRUE,'Dec 2026'!AE11="x",'Dec 2026'!AE11="X"),1,0))</f>
        <v/>
      </c>
      <c r="H92" s="345">
        <f>IF($A92="","",IF(OR('Dec 2026'!AE12=TRUE,'Dec 2026'!AE12="x",'Dec 2026'!AE12="X"),1,0))</f>
        <v/>
      </c>
      <c r="I92" s="345">
        <f>IF($A92="","",IF(OR('Dec 2026'!AE13=TRUE,'Dec 2026'!AE13="x",'Dec 2026'!AE13="X"),1,0))</f>
        <v/>
      </c>
      <c r="J92" s="345">
        <f>IF($A92="","",IF(OR('Dec 2026'!AE14=TRUE,'Dec 2026'!AE14="x",'Dec 2026'!AE14="X"),1,0))</f>
        <v/>
      </c>
      <c r="K92" s="345">
        <f>IF($A92="","",IF(OR('Dec 2026'!AE15=TRUE,'Dec 2026'!AE15="x",'Dec 2026'!AE15="X"),1,0))</f>
        <v/>
      </c>
      <c r="L92" s="345">
        <f>IF($A92="","",IF(OR('Dec 2026'!AE16=TRUE,'Dec 2026'!AE16="x",'Dec 2026'!AE16="X"),1,0))</f>
        <v/>
      </c>
      <c r="M92" s="345">
        <f>IF($A92="","",IF(OR('Dec 2026'!AE17=TRUE,'Dec 2026'!AE17="x",'Dec 2026'!AE17="X"),1,0))</f>
        <v/>
      </c>
      <c r="N92" s="345">
        <f>IF($A92="","",IF(OR('Dec 2026'!AE18=TRUE,'Dec 2026'!AE18="x",'Dec 2026'!AE18="X"),1,0))</f>
        <v/>
      </c>
      <c r="O92" s="345">
        <f>IF($A92="","",IF(OR('Dec 2026'!AE20=TRUE,'Dec 2026'!AE20="x",'Dec 2026'!AE20="X"),1,0))</f>
        <v/>
      </c>
      <c r="P92" s="345">
        <f>IF($A92="","",IF(OR('Dec 2026'!AE21=TRUE,'Dec 2026'!AE21="x",'Dec 2026'!AE21="X"),1,0))</f>
        <v/>
      </c>
      <c r="Q92" s="345">
        <f>IF($A92="","",IF(OR('Dec 2026'!AE22=TRUE,'Dec 2026'!AE22="x",'Dec 2026'!AE22="X"),1,0))</f>
        <v/>
      </c>
      <c r="R92" s="345">
        <f>IF($A92="","",IF(OR('Dec 2026'!AE23=TRUE,'Dec 2026'!AE23="x",'Dec 2026'!AE23="X"),1,0))</f>
        <v/>
      </c>
      <c r="S92" s="345">
        <f>IF($A92="","",IF(OR('Dec 2026'!AE24=TRUE,'Dec 2026'!AE24="x",'Dec 2026'!AE24="X"),1,0))</f>
        <v/>
      </c>
      <c r="T92" s="345">
        <f>IF($A92="","",IF(OR('Dec 2026'!AE25=TRUE,'Dec 2026'!AE25="x",'Dec 2026'!AE25="X"),1,0))</f>
        <v/>
      </c>
      <c r="U92" s="345">
        <f>IF($A92="","",IF(OR('Dec 2026'!AE26=TRUE,'Dec 2026'!AE26="x",'Dec 2026'!AE26="X"),1,0))</f>
        <v/>
      </c>
      <c r="V92" s="345">
        <f>IF($A92="","",IF(OR('Dec 2026'!AE27=TRUE,'Dec 2026'!AE27="x",'Dec 2026'!AE27="X"),1,0))</f>
        <v/>
      </c>
      <c r="W92" s="345">
        <f>IF($A92="","",IF(OR('Dec 2026'!AE28=TRUE,'Dec 2026'!AE28="x",'Dec 2026'!AE28="X"),1,0))</f>
        <v/>
      </c>
      <c r="X92" s="345">
        <f>IF($A92="","",IF(OR('Dec 2026'!AE29=TRUE,'Dec 2026'!AE29="x",'Dec 2026'!AE29="X"),1,0))</f>
        <v/>
      </c>
      <c r="Y92" s="345">
        <f>IF($A92="","",IF(OR('Dec 2026'!AE30=TRUE,'Dec 2026'!AE30="x",'Dec 2026'!AE30="X"),1,0))</f>
        <v/>
      </c>
      <c r="Z92" s="345">
        <f>IF($A92="","",IF(OR('Dec 2026'!AE31=TRUE,'Dec 2026'!AE31="x",'Dec 2026'!AE31="X"),1,0))</f>
        <v/>
      </c>
      <c r="AA92" s="345">
        <f>IF($A92="","",IF(OR('Dec 2026'!AE32=TRUE,'Dec 2026'!AE32="x",'Dec 2026'!AE32="X"),1,0))</f>
        <v/>
      </c>
      <c r="AB92" s="345">
        <f>IF($A92="","",IF(OR('Dec 2026'!AE34=TRUE,'Dec 2026'!AE34="x",'Dec 2026'!AE34="X"),1,0))</f>
        <v/>
      </c>
      <c r="AC92" s="345">
        <f>IF($A92="","",IF(OR('Dec 2026'!AE35=TRUE,'Dec 2026'!AE35="x",'Dec 2026'!AE35="X"),1,0))</f>
        <v/>
      </c>
      <c r="AD92" s="345">
        <f>IF($A92="","",IF(OR('Dec 2026'!AE36=TRUE,'Dec 2026'!AE36="x",'Dec 2026'!AE36="X"),1,0))</f>
        <v/>
      </c>
      <c r="AE92" s="345">
        <f>IF($A92="","",IF(OR('Dec 2026'!AE37=TRUE,'Dec 2026'!AE37="x",'Dec 2026'!AE37="X"),1,0))</f>
        <v/>
      </c>
      <c r="AF92" s="345">
        <f>IF($A92="","",IF('Dec 2026'!AE59="","",'Dec 2026'!AE59))</f>
        <v/>
      </c>
      <c r="AG92" s="345">
        <f>IF($A92="","",IF('Dec 2026'!AE60="","",'Dec 2026'!AE60))</f>
        <v/>
      </c>
      <c r="AH92" s="345">
        <f>IF($A92="","",IF('Dec 2026'!AE61="","",'Dec 2026'!AE61))</f>
        <v/>
      </c>
      <c r="AI92" s="345">
        <f>IF($A92="","",IF('Dec 2026'!AE62="","",'Dec 2026'!AE62))</f>
        <v/>
      </c>
      <c r="AJ92" s="345">
        <f>IF($A92="","",IF('Dec 2026'!AE63="","",'Dec 2026'!AE63))</f>
        <v/>
      </c>
      <c r="AK92" s="345">
        <f>IF($A92="","",IF('Dec 2026'!AE64="","",'Dec 2026'!AE64))</f>
        <v/>
      </c>
      <c r="AL92" s="345">
        <f>IF($A92="","",IF('Dec 2026'!AE65="","",'Dec 2026'!AE65))</f>
        <v/>
      </c>
      <c r="AM92" s="345">
        <f>IF($A92="","",IF('Dec 2026'!AE66="","",'Dec 2026'!AE66))</f>
        <v/>
      </c>
      <c r="AN92" s="345">
        <f>IF($A92="","",IF('Dec 2026'!AE67="","",'Dec 2026'!AE67))</f>
        <v/>
      </c>
      <c r="AO92" s="345">
        <f>IF($A92="",0,IF(AND($A92&gt;=TrackStart,$A92&lt;=TODAY()),1,0))</f>
        <v/>
      </c>
      <c r="AP92" s="345">
        <f>IF($A92="",0,IF(SUM(F92:AE92)+COUNT(AF92:AN92)&gt;0,1,0))</f>
        <v/>
      </c>
      <c r="AQ92" s="345">
        <f>IF($A92="","",INT(($A92-TrackStart)/7)+1)</f>
        <v/>
      </c>
      <c r="AR92" s="345">
        <f>IF($A92="","",IF(AQ92&lt;=1,Steps1,IF(AQ92=2,Steps2,Steps3)))</f>
        <v/>
      </c>
      <c r="AS92" s="345">
        <f>IF($A92="",0,IF(ISNUMBER(SEARCH(TEXT(D92,"0"),WorkDays&amp;"")),1,0))</f>
        <v/>
      </c>
      <c r="AT92" s="345">
        <f>IF($A92="",0,IF(ISNUMBER(SEARCH(TEXT(D92,"0"),StrDays&amp;"")),1,0))</f>
        <v/>
      </c>
      <c r="AU92" s="345">
        <f>IF($A92="",0,IF(ISNUMBER(AK92),IF(AK92&gt;=SleepMin,1,0),N92))</f>
        <v/>
      </c>
      <c r="AV92" s="345">
        <f>IF($A92="",0,MAX(I92,O92,S92,AC92))</f>
        <v/>
      </c>
      <c r="AW92" s="345">
        <f>IF($A92="",0,IF(ISNUMBER(AH92),IF(AH92&gt;=ProtHit,1,0),0))</f>
        <v/>
      </c>
      <c r="AX92" s="345">
        <f>IF($A92="",0,IF(ISNUMBER(AI92),IF(AI92&gt;=WaterHit,1,0),0))</f>
        <v/>
      </c>
      <c r="AY92" s="345">
        <f>IF($A92="",0,IF(ISNUMBER(AG92),IF(AG92&gt;=AR92,1,0),0))</f>
        <v/>
      </c>
      <c r="AZ92" s="345">
        <f>IF($A92="",0,G92)</f>
        <v/>
      </c>
      <c r="BA92" s="345">
        <f>IF($A92="",0,J92)</f>
        <v/>
      </c>
      <c r="BB92" s="345">
        <f>IF($A92="",0,K92)</f>
        <v/>
      </c>
      <c r="BC92" s="345">
        <f>IF($A92="",0,MAX(L92,AE92))</f>
        <v/>
      </c>
      <c r="BD92" s="344">
        <f>IF($A92="","",(AU92+AV92+AW92+AX92+AY92+AZ92+BB92+BC92+IF(AS92=1,BA92,0))/(8+AS92))</f>
        <v/>
      </c>
      <c r="BE92" s="344">
        <f>IF($A92="","",(IF(ISNUMBER(AI92),IF(AI92&gt;=WaterMVD,1,0),0)+AV92+IF(ISNUMBER(AH92),IF(AH92&gt;=ProtMVD,1,0),0)+MAX(H92,AD92)+AZ92+BB92+AU92)/7)</f>
        <v/>
      </c>
      <c r="BF92" s="344">
        <f>IF(AO92=0,"",IF(E92="S","",IF(AND(AP92=0,$A92=TODAY()),"",IF(E92="M",BE92,BD92))))</f>
        <v/>
      </c>
      <c r="BG92" s="344">
        <f>IF(AO92=0,"",IFERROR(AVERAGEIFS(Data!$BF$4:$BF$375,Data!$A$4:$A$375,"&gt;"&amp;($A92-7),Data!$A$4:$A$375,"&lt;="&amp;$A92),""))</f>
        <v/>
      </c>
      <c r="BH92" s="344">
        <f>IF(AO92=0,"",IFERROR(AVERAGEIFS(Data!$BF$4:$BF$375,Data!$A$4:$A$375,"&gt;"&amp;($A92-30),Data!$A$4:$A$375,"&lt;="&amp;$A92),""))</f>
        <v/>
      </c>
      <c r="BI92" s="359">
        <f>IF($A92="","",IFERROR(AVERAGEIFS(Data!$AF$4:$AF$375,Data!$A$4:$A$375,"&gt;"&amp;($A92-7),Data!$A$4:$A$375,"&lt;="&amp;$A92,Data!$AF$4:$AF$375,"&gt;0"),""))</f>
        <v/>
      </c>
      <c r="BJ92" s="345">
        <f>IF($A92="","",F92+G92+H92+I92+J92+K92+L92+M92+N92-IF(AS92=1,0,J92))</f>
        <v/>
      </c>
      <c r="BK92" s="345">
        <f>IF($A92="","",8+AS92)</f>
        <v/>
      </c>
      <c r="BL92" s="345">
        <f>IF(ISNUMBER(BF92),BF92,NA())</f>
        <v/>
      </c>
      <c r="BM92" s="345">
        <f>IF(ISNUMBER(AF92),AF92,NA())</f>
        <v/>
      </c>
      <c r="BN92" s="345">
        <f>IF(ISNUMBER(BI92),BI92,NA())</f>
        <v/>
      </c>
      <c r="BO92" s="345">
        <f>IF(ISNUMBER(AL92),AL92,NA())</f>
        <v/>
      </c>
      <c r="BP92" s="345">
        <f>IF(ISNUMBER(AM92),AM92,NA())</f>
        <v/>
      </c>
      <c r="BQ92" s="345">
        <f>IF(ISNUMBER(AN92),AN92,NA())</f>
        <v/>
      </c>
    </row>
    <row r="93">
      <c r="A93" s="358">
        <f>IF('Dec 2026'!AF7="","",'Dec 2026'!AF7)</f>
        <v/>
      </c>
      <c r="B93" s="345" t="n">
        <v>3</v>
      </c>
      <c r="C93" s="345">
        <f>IF($A93="","",28)</f>
        <v/>
      </c>
      <c r="D93" s="345">
        <f>IF($A93="","",WEEKDAY($A93,2))</f>
        <v/>
      </c>
      <c r="E93" s="345">
        <f>IF($A93="","",UPPER(TRIM('Dec 2026'!AF8)))</f>
        <v/>
      </c>
      <c r="F93" s="345">
        <f>IF($A93="","",IF(OR('Dec 2026'!AF10=TRUE,'Dec 2026'!AF10="x",'Dec 2026'!AF10="X"),1,0))</f>
        <v/>
      </c>
      <c r="G93" s="345">
        <f>IF($A93="","",IF(OR('Dec 2026'!AF11=TRUE,'Dec 2026'!AF11="x",'Dec 2026'!AF11="X"),1,0))</f>
        <v/>
      </c>
      <c r="H93" s="345">
        <f>IF($A93="","",IF(OR('Dec 2026'!AF12=TRUE,'Dec 2026'!AF12="x",'Dec 2026'!AF12="X"),1,0))</f>
        <v/>
      </c>
      <c r="I93" s="345">
        <f>IF($A93="","",IF(OR('Dec 2026'!AF13=TRUE,'Dec 2026'!AF13="x",'Dec 2026'!AF13="X"),1,0))</f>
        <v/>
      </c>
      <c r="J93" s="345">
        <f>IF($A93="","",IF(OR('Dec 2026'!AF14=TRUE,'Dec 2026'!AF14="x",'Dec 2026'!AF14="X"),1,0))</f>
        <v/>
      </c>
      <c r="K93" s="345">
        <f>IF($A93="","",IF(OR('Dec 2026'!AF15=TRUE,'Dec 2026'!AF15="x",'Dec 2026'!AF15="X"),1,0))</f>
        <v/>
      </c>
      <c r="L93" s="345">
        <f>IF($A93="","",IF(OR('Dec 2026'!AF16=TRUE,'Dec 2026'!AF16="x",'Dec 2026'!AF16="X"),1,0))</f>
        <v/>
      </c>
      <c r="M93" s="345">
        <f>IF($A93="","",IF(OR('Dec 2026'!AF17=TRUE,'Dec 2026'!AF17="x",'Dec 2026'!AF17="X"),1,0))</f>
        <v/>
      </c>
      <c r="N93" s="345">
        <f>IF($A93="","",IF(OR('Dec 2026'!AF18=TRUE,'Dec 2026'!AF18="x",'Dec 2026'!AF18="X"),1,0))</f>
        <v/>
      </c>
      <c r="O93" s="345">
        <f>IF($A93="","",IF(OR('Dec 2026'!AF20=TRUE,'Dec 2026'!AF20="x",'Dec 2026'!AF20="X"),1,0))</f>
        <v/>
      </c>
      <c r="P93" s="345">
        <f>IF($A93="","",IF(OR('Dec 2026'!AF21=TRUE,'Dec 2026'!AF21="x",'Dec 2026'!AF21="X"),1,0))</f>
        <v/>
      </c>
      <c r="Q93" s="345">
        <f>IF($A93="","",IF(OR('Dec 2026'!AF22=TRUE,'Dec 2026'!AF22="x",'Dec 2026'!AF22="X"),1,0))</f>
        <v/>
      </c>
      <c r="R93" s="345">
        <f>IF($A93="","",IF(OR('Dec 2026'!AF23=TRUE,'Dec 2026'!AF23="x",'Dec 2026'!AF23="X"),1,0))</f>
        <v/>
      </c>
      <c r="S93" s="345">
        <f>IF($A93="","",IF(OR('Dec 2026'!AF24=TRUE,'Dec 2026'!AF24="x",'Dec 2026'!AF24="X"),1,0))</f>
        <v/>
      </c>
      <c r="T93" s="345">
        <f>IF($A93="","",IF(OR('Dec 2026'!AF25=TRUE,'Dec 2026'!AF25="x",'Dec 2026'!AF25="X"),1,0))</f>
        <v/>
      </c>
      <c r="U93" s="345">
        <f>IF($A93="","",IF(OR('Dec 2026'!AF26=TRUE,'Dec 2026'!AF26="x",'Dec 2026'!AF26="X"),1,0))</f>
        <v/>
      </c>
      <c r="V93" s="345">
        <f>IF($A93="","",IF(OR('Dec 2026'!AF27=TRUE,'Dec 2026'!AF27="x",'Dec 2026'!AF27="X"),1,0))</f>
        <v/>
      </c>
      <c r="W93" s="345">
        <f>IF($A93="","",IF(OR('Dec 2026'!AF28=TRUE,'Dec 2026'!AF28="x",'Dec 2026'!AF28="X"),1,0))</f>
        <v/>
      </c>
      <c r="X93" s="345">
        <f>IF($A93="","",IF(OR('Dec 2026'!AF29=TRUE,'Dec 2026'!AF29="x",'Dec 2026'!AF29="X"),1,0))</f>
        <v/>
      </c>
      <c r="Y93" s="345">
        <f>IF($A93="","",IF(OR('Dec 2026'!AF30=TRUE,'Dec 2026'!AF30="x",'Dec 2026'!AF30="X"),1,0))</f>
        <v/>
      </c>
      <c r="Z93" s="345">
        <f>IF($A93="","",IF(OR('Dec 2026'!AF31=TRUE,'Dec 2026'!AF31="x",'Dec 2026'!AF31="X"),1,0))</f>
        <v/>
      </c>
      <c r="AA93" s="345">
        <f>IF($A93="","",IF(OR('Dec 2026'!AF32=TRUE,'Dec 2026'!AF32="x",'Dec 2026'!AF32="X"),1,0))</f>
        <v/>
      </c>
      <c r="AB93" s="345">
        <f>IF($A93="","",IF(OR('Dec 2026'!AF34=TRUE,'Dec 2026'!AF34="x",'Dec 2026'!AF34="X"),1,0))</f>
        <v/>
      </c>
      <c r="AC93" s="345">
        <f>IF($A93="","",IF(OR('Dec 2026'!AF35=TRUE,'Dec 2026'!AF35="x",'Dec 2026'!AF35="X"),1,0))</f>
        <v/>
      </c>
      <c r="AD93" s="345">
        <f>IF($A93="","",IF(OR('Dec 2026'!AF36=TRUE,'Dec 2026'!AF36="x",'Dec 2026'!AF36="X"),1,0))</f>
        <v/>
      </c>
      <c r="AE93" s="345">
        <f>IF($A93="","",IF(OR('Dec 2026'!AF37=TRUE,'Dec 2026'!AF37="x",'Dec 2026'!AF37="X"),1,0))</f>
        <v/>
      </c>
      <c r="AF93" s="345">
        <f>IF($A93="","",IF('Dec 2026'!AF59="","",'Dec 2026'!AF59))</f>
        <v/>
      </c>
      <c r="AG93" s="345">
        <f>IF($A93="","",IF('Dec 2026'!AF60="","",'Dec 2026'!AF60))</f>
        <v/>
      </c>
      <c r="AH93" s="345">
        <f>IF($A93="","",IF('Dec 2026'!AF61="","",'Dec 2026'!AF61))</f>
        <v/>
      </c>
      <c r="AI93" s="345">
        <f>IF($A93="","",IF('Dec 2026'!AF62="","",'Dec 2026'!AF62))</f>
        <v/>
      </c>
      <c r="AJ93" s="345">
        <f>IF($A93="","",IF('Dec 2026'!AF63="","",'Dec 2026'!AF63))</f>
        <v/>
      </c>
      <c r="AK93" s="345">
        <f>IF($A93="","",IF('Dec 2026'!AF64="","",'Dec 2026'!AF64))</f>
        <v/>
      </c>
      <c r="AL93" s="345">
        <f>IF($A93="","",IF('Dec 2026'!AF65="","",'Dec 2026'!AF65))</f>
        <v/>
      </c>
      <c r="AM93" s="345">
        <f>IF($A93="","",IF('Dec 2026'!AF66="","",'Dec 2026'!AF66))</f>
        <v/>
      </c>
      <c r="AN93" s="345">
        <f>IF($A93="","",IF('Dec 2026'!AF67="","",'Dec 2026'!AF67))</f>
        <v/>
      </c>
      <c r="AO93" s="345">
        <f>IF($A93="",0,IF(AND($A93&gt;=TrackStart,$A93&lt;=TODAY()),1,0))</f>
        <v/>
      </c>
      <c r="AP93" s="345">
        <f>IF($A93="",0,IF(SUM(F93:AE93)+COUNT(AF93:AN93)&gt;0,1,0))</f>
        <v/>
      </c>
      <c r="AQ93" s="345">
        <f>IF($A93="","",INT(($A93-TrackStart)/7)+1)</f>
        <v/>
      </c>
      <c r="AR93" s="345">
        <f>IF($A93="","",IF(AQ93&lt;=1,Steps1,IF(AQ93=2,Steps2,Steps3)))</f>
        <v/>
      </c>
      <c r="AS93" s="345">
        <f>IF($A93="",0,IF(ISNUMBER(SEARCH(TEXT(D93,"0"),WorkDays&amp;"")),1,0))</f>
        <v/>
      </c>
      <c r="AT93" s="345">
        <f>IF($A93="",0,IF(ISNUMBER(SEARCH(TEXT(D93,"0"),StrDays&amp;"")),1,0))</f>
        <v/>
      </c>
      <c r="AU93" s="345">
        <f>IF($A93="",0,IF(ISNUMBER(AK93),IF(AK93&gt;=SleepMin,1,0),N93))</f>
        <v/>
      </c>
      <c r="AV93" s="345">
        <f>IF($A93="",0,MAX(I93,O93,S93,AC93))</f>
        <v/>
      </c>
      <c r="AW93" s="345">
        <f>IF($A93="",0,IF(ISNUMBER(AH93),IF(AH93&gt;=ProtHit,1,0),0))</f>
        <v/>
      </c>
      <c r="AX93" s="345">
        <f>IF($A93="",0,IF(ISNUMBER(AI93),IF(AI93&gt;=WaterHit,1,0),0))</f>
        <v/>
      </c>
      <c r="AY93" s="345">
        <f>IF($A93="",0,IF(ISNUMBER(AG93),IF(AG93&gt;=AR93,1,0),0))</f>
        <v/>
      </c>
      <c r="AZ93" s="345">
        <f>IF($A93="",0,G93)</f>
        <v/>
      </c>
      <c r="BA93" s="345">
        <f>IF($A93="",0,J93)</f>
        <v/>
      </c>
      <c r="BB93" s="345">
        <f>IF($A93="",0,K93)</f>
        <v/>
      </c>
      <c r="BC93" s="345">
        <f>IF($A93="",0,MAX(L93,AE93))</f>
        <v/>
      </c>
      <c r="BD93" s="344">
        <f>IF($A93="","",(AU93+AV93+AW93+AX93+AY93+AZ93+BB93+BC93+IF(AS93=1,BA93,0))/(8+AS93))</f>
        <v/>
      </c>
      <c r="BE93" s="344">
        <f>IF($A93="","",(IF(ISNUMBER(AI93),IF(AI93&gt;=WaterMVD,1,0),0)+AV93+IF(ISNUMBER(AH93),IF(AH93&gt;=ProtMVD,1,0),0)+MAX(H93,AD93)+AZ93+BB93+AU93)/7)</f>
        <v/>
      </c>
      <c r="BF93" s="344">
        <f>IF(AO93=0,"",IF(E93="S","",IF(AND(AP93=0,$A93=TODAY()),"",IF(E93="M",BE93,BD93))))</f>
        <v/>
      </c>
      <c r="BG93" s="344">
        <f>IF(AO93=0,"",IFERROR(AVERAGEIFS(Data!$BF$4:$BF$375,Data!$A$4:$A$375,"&gt;"&amp;($A93-7),Data!$A$4:$A$375,"&lt;="&amp;$A93),""))</f>
        <v/>
      </c>
      <c r="BH93" s="344">
        <f>IF(AO93=0,"",IFERROR(AVERAGEIFS(Data!$BF$4:$BF$375,Data!$A$4:$A$375,"&gt;"&amp;($A93-30),Data!$A$4:$A$375,"&lt;="&amp;$A93),""))</f>
        <v/>
      </c>
      <c r="BI93" s="359">
        <f>IF($A93="","",IFERROR(AVERAGEIFS(Data!$AF$4:$AF$375,Data!$A$4:$A$375,"&gt;"&amp;($A93-7),Data!$A$4:$A$375,"&lt;="&amp;$A93,Data!$AF$4:$AF$375,"&gt;0"),""))</f>
        <v/>
      </c>
      <c r="BJ93" s="345">
        <f>IF($A93="","",F93+G93+H93+I93+J93+K93+L93+M93+N93-IF(AS93=1,0,J93))</f>
        <v/>
      </c>
      <c r="BK93" s="345">
        <f>IF($A93="","",8+AS93)</f>
        <v/>
      </c>
      <c r="BL93" s="345">
        <f>IF(ISNUMBER(BF93),BF93,NA())</f>
        <v/>
      </c>
      <c r="BM93" s="345">
        <f>IF(ISNUMBER(AF93),AF93,NA())</f>
        <v/>
      </c>
      <c r="BN93" s="345">
        <f>IF(ISNUMBER(BI93),BI93,NA())</f>
        <v/>
      </c>
      <c r="BO93" s="345">
        <f>IF(ISNUMBER(AL93),AL93,NA())</f>
        <v/>
      </c>
      <c r="BP93" s="345">
        <f>IF(ISNUMBER(AM93),AM93,NA())</f>
        <v/>
      </c>
      <c r="BQ93" s="345">
        <f>IF(ISNUMBER(AN93),AN93,NA())</f>
        <v/>
      </c>
    </row>
    <row r="94">
      <c r="A94" s="358">
        <f>IF('Dec 2026'!AG7="","",'Dec 2026'!AG7)</f>
        <v/>
      </c>
      <c r="B94" s="345" t="n">
        <v>3</v>
      </c>
      <c r="C94" s="345">
        <f>IF($A94="","",29)</f>
        <v/>
      </c>
      <c r="D94" s="345">
        <f>IF($A94="","",WEEKDAY($A94,2))</f>
        <v/>
      </c>
      <c r="E94" s="345">
        <f>IF($A94="","",UPPER(TRIM('Dec 2026'!AG8)))</f>
        <v/>
      </c>
      <c r="F94" s="345">
        <f>IF($A94="","",IF(OR('Dec 2026'!AG10=TRUE,'Dec 2026'!AG10="x",'Dec 2026'!AG10="X"),1,0))</f>
        <v/>
      </c>
      <c r="G94" s="345">
        <f>IF($A94="","",IF(OR('Dec 2026'!AG11=TRUE,'Dec 2026'!AG11="x",'Dec 2026'!AG11="X"),1,0))</f>
        <v/>
      </c>
      <c r="H94" s="345">
        <f>IF($A94="","",IF(OR('Dec 2026'!AG12=TRUE,'Dec 2026'!AG12="x",'Dec 2026'!AG12="X"),1,0))</f>
        <v/>
      </c>
      <c r="I94" s="345">
        <f>IF($A94="","",IF(OR('Dec 2026'!AG13=TRUE,'Dec 2026'!AG13="x",'Dec 2026'!AG13="X"),1,0))</f>
        <v/>
      </c>
      <c r="J94" s="345">
        <f>IF($A94="","",IF(OR('Dec 2026'!AG14=TRUE,'Dec 2026'!AG14="x",'Dec 2026'!AG14="X"),1,0))</f>
        <v/>
      </c>
      <c r="K94" s="345">
        <f>IF($A94="","",IF(OR('Dec 2026'!AG15=TRUE,'Dec 2026'!AG15="x",'Dec 2026'!AG15="X"),1,0))</f>
        <v/>
      </c>
      <c r="L94" s="345">
        <f>IF($A94="","",IF(OR('Dec 2026'!AG16=TRUE,'Dec 2026'!AG16="x",'Dec 2026'!AG16="X"),1,0))</f>
        <v/>
      </c>
      <c r="M94" s="345">
        <f>IF($A94="","",IF(OR('Dec 2026'!AG17=TRUE,'Dec 2026'!AG17="x",'Dec 2026'!AG17="X"),1,0))</f>
        <v/>
      </c>
      <c r="N94" s="345">
        <f>IF($A94="","",IF(OR('Dec 2026'!AG18=TRUE,'Dec 2026'!AG18="x",'Dec 2026'!AG18="X"),1,0))</f>
        <v/>
      </c>
      <c r="O94" s="345">
        <f>IF($A94="","",IF(OR('Dec 2026'!AG20=TRUE,'Dec 2026'!AG20="x",'Dec 2026'!AG20="X"),1,0))</f>
        <v/>
      </c>
      <c r="P94" s="345">
        <f>IF($A94="","",IF(OR('Dec 2026'!AG21=TRUE,'Dec 2026'!AG21="x",'Dec 2026'!AG21="X"),1,0))</f>
        <v/>
      </c>
      <c r="Q94" s="345">
        <f>IF($A94="","",IF(OR('Dec 2026'!AG22=TRUE,'Dec 2026'!AG22="x",'Dec 2026'!AG22="X"),1,0))</f>
        <v/>
      </c>
      <c r="R94" s="345">
        <f>IF($A94="","",IF(OR('Dec 2026'!AG23=TRUE,'Dec 2026'!AG23="x",'Dec 2026'!AG23="X"),1,0))</f>
        <v/>
      </c>
      <c r="S94" s="345">
        <f>IF($A94="","",IF(OR('Dec 2026'!AG24=TRUE,'Dec 2026'!AG24="x",'Dec 2026'!AG24="X"),1,0))</f>
        <v/>
      </c>
      <c r="T94" s="345">
        <f>IF($A94="","",IF(OR('Dec 2026'!AG25=TRUE,'Dec 2026'!AG25="x",'Dec 2026'!AG25="X"),1,0))</f>
        <v/>
      </c>
      <c r="U94" s="345">
        <f>IF($A94="","",IF(OR('Dec 2026'!AG26=TRUE,'Dec 2026'!AG26="x",'Dec 2026'!AG26="X"),1,0))</f>
        <v/>
      </c>
      <c r="V94" s="345">
        <f>IF($A94="","",IF(OR('Dec 2026'!AG27=TRUE,'Dec 2026'!AG27="x",'Dec 2026'!AG27="X"),1,0))</f>
        <v/>
      </c>
      <c r="W94" s="345">
        <f>IF($A94="","",IF(OR('Dec 2026'!AG28=TRUE,'Dec 2026'!AG28="x",'Dec 2026'!AG28="X"),1,0))</f>
        <v/>
      </c>
      <c r="X94" s="345">
        <f>IF($A94="","",IF(OR('Dec 2026'!AG29=TRUE,'Dec 2026'!AG29="x",'Dec 2026'!AG29="X"),1,0))</f>
        <v/>
      </c>
      <c r="Y94" s="345">
        <f>IF($A94="","",IF(OR('Dec 2026'!AG30=TRUE,'Dec 2026'!AG30="x",'Dec 2026'!AG30="X"),1,0))</f>
        <v/>
      </c>
      <c r="Z94" s="345">
        <f>IF($A94="","",IF(OR('Dec 2026'!AG31=TRUE,'Dec 2026'!AG31="x",'Dec 2026'!AG31="X"),1,0))</f>
        <v/>
      </c>
      <c r="AA94" s="345">
        <f>IF($A94="","",IF(OR('Dec 2026'!AG32=TRUE,'Dec 2026'!AG32="x",'Dec 2026'!AG32="X"),1,0))</f>
        <v/>
      </c>
      <c r="AB94" s="345">
        <f>IF($A94="","",IF(OR('Dec 2026'!AG34=TRUE,'Dec 2026'!AG34="x",'Dec 2026'!AG34="X"),1,0))</f>
        <v/>
      </c>
      <c r="AC94" s="345">
        <f>IF($A94="","",IF(OR('Dec 2026'!AG35=TRUE,'Dec 2026'!AG35="x",'Dec 2026'!AG35="X"),1,0))</f>
        <v/>
      </c>
      <c r="AD94" s="345">
        <f>IF($A94="","",IF(OR('Dec 2026'!AG36=TRUE,'Dec 2026'!AG36="x",'Dec 2026'!AG36="X"),1,0))</f>
        <v/>
      </c>
      <c r="AE94" s="345">
        <f>IF($A94="","",IF(OR('Dec 2026'!AG37=TRUE,'Dec 2026'!AG37="x",'Dec 2026'!AG37="X"),1,0))</f>
        <v/>
      </c>
      <c r="AF94" s="345">
        <f>IF($A94="","",IF('Dec 2026'!AG59="","",'Dec 2026'!AG59))</f>
        <v/>
      </c>
      <c r="AG94" s="345">
        <f>IF($A94="","",IF('Dec 2026'!AG60="","",'Dec 2026'!AG60))</f>
        <v/>
      </c>
      <c r="AH94" s="345">
        <f>IF($A94="","",IF('Dec 2026'!AG61="","",'Dec 2026'!AG61))</f>
        <v/>
      </c>
      <c r="AI94" s="345">
        <f>IF($A94="","",IF('Dec 2026'!AG62="","",'Dec 2026'!AG62))</f>
        <v/>
      </c>
      <c r="AJ94" s="345">
        <f>IF($A94="","",IF('Dec 2026'!AG63="","",'Dec 2026'!AG63))</f>
        <v/>
      </c>
      <c r="AK94" s="345">
        <f>IF($A94="","",IF('Dec 2026'!AG64="","",'Dec 2026'!AG64))</f>
        <v/>
      </c>
      <c r="AL94" s="345">
        <f>IF($A94="","",IF('Dec 2026'!AG65="","",'Dec 2026'!AG65))</f>
        <v/>
      </c>
      <c r="AM94" s="345">
        <f>IF($A94="","",IF('Dec 2026'!AG66="","",'Dec 2026'!AG66))</f>
        <v/>
      </c>
      <c r="AN94" s="345">
        <f>IF($A94="","",IF('Dec 2026'!AG67="","",'Dec 2026'!AG67))</f>
        <v/>
      </c>
      <c r="AO94" s="345">
        <f>IF($A94="",0,IF(AND($A94&gt;=TrackStart,$A94&lt;=TODAY()),1,0))</f>
        <v/>
      </c>
      <c r="AP94" s="345">
        <f>IF($A94="",0,IF(SUM(F94:AE94)+COUNT(AF94:AN94)&gt;0,1,0))</f>
        <v/>
      </c>
      <c r="AQ94" s="345">
        <f>IF($A94="","",INT(($A94-TrackStart)/7)+1)</f>
        <v/>
      </c>
      <c r="AR94" s="345">
        <f>IF($A94="","",IF(AQ94&lt;=1,Steps1,IF(AQ94=2,Steps2,Steps3)))</f>
        <v/>
      </c>
      <c r="AS94" s="345">
        <f>IF($A94="",0,IF(ISNUMBER(SEARCH(TEXT(D94,"0"),WorkDays&amp;"")),1,0))</f>
        <v/>
      </c>
      <c r="AT94" s="345">
        <f>IF($A94="",0,IF(ISNUMBER(SEARCH(TEXT(D94,"0"),StrDays&amp;"")),1,0))</f>
        <v/>
      </c>
      <c r="AU94" s="345">
        <f>IF($A94="",0,IF(ISNUMBER(AK94),IF(AK94&gt;=SleepMin,1,0),N94))</f>
        <v/>
      </c>
      <c r="AV94" s="345">
        <f>IF($A94="",0,MAX(I94,O94,S94,AC94))</f>
        <v/>
      </c>
      <c r="AW94" s="345">
        <f>IF($A94="",0,IF(ISNUMBER(AH94),IF(AH94&gt;=ProtHit,1,0),0))</f>
        <v/>
      </c>
      <c r="AX94" s="345">
        <f>IF($A94="",0,IF(ISNUMBER(AI94),IF(AI94&gt;=WaterHit,1,0),0))</f>
        <v/>
      </c>
      <c r="AY94" s="345">
        <f>IF($A94="",0,IF(ISNUMBER(AG94),IF(AG94&gt;=AR94,1,0),0))</f>
        <v/>
      </c>
      <c r="AZ94" s="345">
        <f>IF($A94="",0,G94)</f>
        <v/>
      </c>
      <c r="BA94" s="345">
        <f>IF($A94="",0,J94)</f>
        <v/>
      </c>
      <c r="BB94" s="345">
        <f>IF($A94="",0,K94)</f>
        <v/>
      </c>
      <c r="BC94" s="345">
        <f>IF($A94="",0,MAX(L94,AE94))</f>
        <v/>
      </c>
      <c r="BD94" s="344">
        <f>IF($A94="","",(AU94+AV94+AW94+AX94+AY94+AZ94+BB94+BC94+IF(AS94=1,BA94,0))/(8+AS94))</f>
        <v/>
      </c>
      <c r="BE94" s="344">
        <f>IF($A94="","",(IF(ISNUMBER(AI94),IF(AI94&gt;=WaterMVD,1,0),0)+AV94+IF(ISNUMBER(AH94),IF(AH94&gt;=ProtMVD,1,0),0)+MAX(H94,AD94)+AZ94+BB94+AU94)/7)</f>
        <v/>
      </c>
      <c r="BF94" s="344">
        <f>IF(AO94=0,"",IF(E94="S","",IF(AND(AP94=0,$A94=TODAY()),"",IF(E94="M",BE94,BD94))))</f>
        <v/>
      </c>
      <c r="BG94" s="344">
        <f>IF(AO94=0,"",IFERROR(AVERAGEIFS(Data!$BF$4:$BF$375,Data!$A$4:$A$375,"&gt;"&amp;($A94-7),Data!$A$4:$A$375,"&lt;="&amp;$A94),""))</f>
        <v/>
      </c>
      <c r="BH94" s="344">
        <f>IF(AO94=0,"",IFERROR(AVERAGEIFS(Data!$BF$4:$BF$375,Data!$A$4:$A$375,"&gt;"&amp;($A94-30),Data!$A$4:$A$375,"&lt;="&amp;$A94),""))</f>
        <v/>
      </c>
      <c r="BI94" s="359">
        <f>IF($A94="","",IFERROR(AVERAGEIFS(Data!$AF$4:$AF$375,Data!$A$4:$A$375,"&gt;"&amp;($A94-7),Data!$A$4:$A$375,"&lt;="&amp;$A94,Data!$AF$4:$AF$375,"&gt;0"),""))</f>
        <v/>
      </c>
      <c r="BJ94" s="345">
        <f>IF($A94="","",F94+G94+H94+I94+J94+K94+L94+M94+N94-IF(AS94=1,0,J94))</f>
        <v/>
      </c>
      <c r="BK94" s="345">
        <f>IF($A94="","",8+AS94)</f>
        <v/>
      </c>
      <c r="BL94" s="345">
        <f>IF(ISNUMBER(BF94),BF94,NA())</f>
        <v/>
      </c>
      <c r="BM94" s="345">
        <f>IF(ISNUMBER(AF94),AF94,NA())</f>
        <v/>
      </c>
      <c r="BN94" s="345">
        <f>IF(ISNUMBER(BI94),BI94,NA())</f>
        <v/>
      </c>
      <c r="BO94" s="345">
        <f>IF(ISNUMBER(AL94),AL94,NA())</f>
        <v/>
      </c>
      <c r="BP94" s="345">
        <f>IF(ISNUMBER(AM94),AM94,NA())</f>
        <v/>
      </c>
      <c r="BQ94" s="345">
        <f>IF(ISNUMBER(AN94),AN94,NA())</f>
        <v/>
      </c>
    </row>
    <row r="95">
      <c r="A95" s="358">
        <f>IF('Dec 2026'!AH7="","",'Dec 2026'!AH7)</f>
        <v/>
      </c>
      <c r="B95" s="345" t="n">
        <v>3</v>
      </c>
      <c r="C95" s="345">
        <f>IF($A95="","",30)</f>
        <v/>
      </c>
      <c r="D95" s="345">
        <f>IF($A95="","",WEEKDAY($A95,2))</f>
        <v/>
      </c>
      <c r="E95" s="345">
        <f>IF($A95="","",UPPER(TRIM('Dec 2026'!AH8)))</f>
        <v/>
      </c>
      <c r="F95" s="345">
        <f>IF($A95="","",IF(OR('Dec 2026'!AH10=TRUE,'Dec 2026'!AH10="x",'Dec 2026'!AH10="X"),1,0))</f>
        <v/>
      </c>
      <c r="G95" s="345">
        <f>IF($A95="","",IF(OR('Dec 2026'!AH11=TRUE,'Dec 2026'!AH11="x",'Dec 2026'!AH11="X"),1,0))</f>
        <v/>
      </c>
      <c r="H95" s="345">
        <f>IF($A95="","",IF(OR('Dec 2026'!AH12=TRUE,'Dec 2026'!AH12="x",'Dec 2026'!AH12="X"),1,0))</f>
        <v/>
      </c>
      <c r="I95" s="345">
        <f>IF($A95="","",IF(OR('Dec 2026'!AH13=TRUE,'Dec 2026'!AH13="x",'Dec 2026'!AH13="X"),1,0))</f>
        <v/>
      </c>
      <c r="J95" s="345">
        <f>IF($A95="","",IF(OR('Dec 2026'!AH14=TRUE,'Dec 2026'!AH14="x",'Dec 2026'!AH14="X"),1,0))</f>
        <v/>
      </c>
      <c r="K95" s="345">
        <f>IF($A95="","",IF(OR('Dec 2026'!AH15=TRUE,'Dec 2026'!AH15="x",'Dec 2026'!AH15="X"),1,0))</f>
        <v/>
      </c>
      <c r="L95" s="345">
        <f>IF($A95="","",IF(OR('Dec 2026'!AH16=TRUE,'Dec 2026'!AH16="x",'Dec 2026'!AH16="X"),1,0))</f>
        <v/>
      </c>
      <c r="M95" s="345">
        <f>IF($A95="","",IF(OR('Dec 2026'!AH17=TRUE,'Dec 2026'!AH17="x",'Dec 2026'!AH17="X"),1,0))</f>
        <v/>
      </c>
      <c r="N95" s="345">
        <f>IF($A95="","",IF(OR('Dec 2026'!AH18=TRUE,'Dec 2026'!AH18="x",'Dec 2026'!AH18="X"),1,0))</f>
        <v/>
      </c>
      <c r="O95" s="345">
        <f>IF($A95="","",IF(OR('Dec 2026'!AH20=TRUE,'Dec 2026'!AH20="x",'Dec 2026'!AH20="X"),1,0))</f>
        <v/>
      </c>
      <c r="P95" s="345">
        <f>IF($A95="","",IF(OR('Dec 2026'!AH21=TRUE,'Dec 2026'!AH21="x",'Dec 2026'!AH21="X"),1,0))</f>
        <v/>
      </c>
      <c r="Q95" s="345">
        <f>IF($A95="","",IF(OR('Dec 2026'!AH22=TRUE,'Dec 2026'!AH22="x",'Dec 2026'!AH22="X"),1,0))</f>
        <v/>
      </c>
      <c r="R95" s="345">
        <f>IF($A95="","",IF(OR('Dec 2026'!AH23=TRUE,'Dec 2026'!AH23="x",'Dec 2026'!AH23="X"),1,0))</f>
        <v/>
      </c>
      <c r="S95" s="345">
        <f>IF($A95="","",IF(OR('Dec 2026'!AH24=TRUE,'Dec 2026'!AH24="x",'Dec 2026'!AH24="X"),1,0))</f>
        <v/>
      </c>
      <c r="T95" s="345">
        <f>IF($A95="","",IF(OR('Dec 2026'!AH25=TRUE,'Dec 2026'!AH25="x",'Dec 2026'!AH25="X"),1,0))</f>
        <v/>
      </c>
      <c r="U95" s="345">
        <f>IF($A95="","",IF(OR('Dec 2026'!AH26=TRUE,'Dec 2026'!AH26="x",'Dec 2026'!AH26="X"),1,0))</f>
        <v/>
      </c>
      <c r="V95" s="345">
        <f>IF($A95="","",IF(OR('Dec 2026'!AH27=TRUE,'Dec 2026'!AH27="x",'Dec 2026'!AH27="X"),1,0))</f>
        <v/>
      </c>
      <c r="W95" s="345">
        <f>IF($A95="","",IF(OR('Dec 2026'!AH28=TRUE,'Dec 2026'!AH28="x",'Dec 2026'!AH28="X"),1,0))</f>
        <v/>
      </c>
      <c r="X95" s="345">
        <f>IF($A95="","",IF(OR('Dec 2026'!AH29=TRUE,'Dec 2026'!AH29="x",'Dec 2026'!AH29="X"),1,0))</f>
        <v/>
      </c>
      <c r="Y95" s="345">
        <f>IF($A95="","",IF(OR('Dec 2026'!AH30=TRUE,'Dec 2026'!AH30="x",'Dec 2026'!AH30="X"),1,0))</f>
        <v/>
      </c>
      <c r="Z95" s="345">
        <f>IF($A95="","",IF(OR('Dec 2026'!AH31=TRUE,'Dec 2026'!AH31="x",'Dec 2026'!AH31="X"),1,0))</f>
        <v/>
      </c>
      <c r="AA95" s="345">
        <f>IF($A95="","",IF(OR('Dec 2026'!AH32=TRUE,'Dec 2026'!AH32="x",'Dec 2026'!AH32="X"),1,0))</f>
        <v/>
      </c>
      <c r="AB95" s="345">
        <f>IF($A95="","",IF(OR('Dec 2026'!AH34=TRUE,'Dec 2026'!AH34="x",'Dec 2026'!AH34="X"),1,0))</f>
        <v/>
      </c>
      <c r="AC95" s="345">
        <f>IF($A95="","",IF(OR('Dec 2026'!AH35=TRUE,'Dec 2026'!AH35="x",'Dec 2026'!AH35="X"),1,0))</f>
        <v/>
      </c>
      <c r="AD95" s="345">
        <f>IF($A95="","",IF(OR('Dec 2026'!AH36=TRUE,'Dec 2026'!AH36="x",'Dec 2026'!AH36="X"),1,0))</f>
        <v/>
      </c>
      <c r="AE95" s="345">
        <f>IF($A95="","",IF(OR('Dec 2026'!AH37=TRUE,'Dec 2026'!AH37="x",'Dec 2026'!AH37="X"),1,0))</f>
        <v/>
      </c>
      <c r="AF95" s="345">
        <f>IF($A95="","",IF('Dec 2026'!AH59="","",'Dec 2026'!AH59))</f>
        <v/>
      </c>
      <c r="AG95" s="345">
        <f>IF($A95="","",IF('Dec 2026'!AH60="","",'Dec 2026'!AH60))</f>
        <v/>
      </c>
      <c r="AH95" s="345">
        <f>IF($A95="","",IF('Dec 2026'!AH61="","",'Dec 2026'!AH61))</f>
        <v/>
      </c>
      <c r="AI95" s="345">
        <f>IF($A95="","",IF('Dec 2026'!AH62="","",'Dec 2026'!AH62))</f>
        <v/>
      </c>
      <c r="AJ95" s="345">
        <f>IF($A95="","",IF('Dec 2026'!AH63="","",'Dec 2026'!AH63))</f>
        <v/>
      </c>
      <c r="AK95" s="345">
        <f>IF($A95="","",IF('Dec 2026'!AH64="","",'Dec 2026'!AH64))</f>
        <v/>
      </c>
      <c r="AL95" s="345">
        <f>IF($A95="","",IF('Dec 2026'!AH65="","",'Dec 2026'!AH65))</f>
        <v/>
      </c>
      <c r="AM95" s="345">
        <f>IF($A95="","",IF('Dec 2026'!AH66="","",'Dec 2026'!AH66))</f>
        <v/>
      </c>
      <c r="AN95" s="345">
        <f>IF($A95="","",IF('Dec 2026'!AH67="","",'Dec 2026'!AH67))</f>
        <v/>
      </c>
      <c r="AO95" s="345">
        <f>IF($A95="",0,IF(AND($A95&gt;=TrackStart,$A95&lt;=TODAY()),1,0))</f>
        <v/>
      </c>
      <c r="AP95" s="345">
        <f>IF($A95="",0,IF(SUM(F95:AE95)+COUNT(AF95:AN95)&gt;0,1,0))</f>
        <v/>
      </c>
      <c r="AQ95" s="345">
        <f>IF($A95="","",INT(($A95-TrackStart)/7)+1)</f>
        <v/>
      </c>
      <c r="AR95" s="345">
        <f>IF($A95="","",IF(AQ95&lt;=1,Steps1,IF(AQ95=2,Steps2,Steps3)))</f>
        <v/>
      </c>
      <c r="AS95" s="345">
        <f>IF($A95="",0,IF(ISNUMBER(SEARCH(TEXT(D95,"0"),WorkDays&amp;"")),1,0))</f>
        <v/>
      </c>
      <c r="AT95" s="345">
        <f>IF($A95="",0,IF(ISNUMBER(SEARCH(TEXT(D95,"0"),StrDays&amp;"")),1,0))</f>
        <v/>
      </c>
      <c r="AU95" s="345">
        <f>IF($A95="",0,IF(ISNUMBER(AK95),IF(AK95&gt;=SleepMin,1,0),N95))</f>
        <v/>
      </c>
      <c r="AV95" s="345">
        <f>IF($A95="",0,MAX(I95,O95,S95,AC95))</f>
        <v/>
      </c>
      <c r="AW95" s="345">
        <f>IF($A95="",0,IF(ISNUMBER(AH95),IF(AH95&gt;=ProtHit,1,0),0))</f>
        <v/>
      </c>
      <c r="AX95" s="345">
        <f>IF($A95="",0,IF(ISNUMBER(AI95),IF(AI95&gt;=WaterHit,1,0),0))</f>
        <v/>
      </c>
      <c r="AY95" s="345">
        <f>IF($A95="",0,IF(ISNUMBER(AG95),IF(AG95&gt;=AR95,1,0),0))</f>
        <v/>
      </c>
      <c r="AZ95" s="345">
        <f>IF($A95="",0,G95)</f>
        <v/>
      </c>
      <c r="BA95" s="345">
        <f>IF($A95="",0,J95)</f>
        <v/>
      </c>
      <c r="BB95" s="345">
        <f>IF($A95="",0,K95)</f>
        <v/>
      </c>
      <c r="BC95" s="345">
        <f>IF($A95="",0,MAX(L95,AE95))</f>
        <v/>
      </c>
      <c r="BD95" s="344">
        <f>IF($A95="","",(AU95+AV95+AW95+AX95+AY95+AZ95+BB95+BC95+IF(AS95=1,BA95,0))/(8+AS95))</f>
        <v/>
      </c>
      <c r="BE95" s="344">
        <f>IF($A95="","",(IF(ISNUMBER(AI95),IF(AI95&gt;=WaterMVD,1,0),0)+AV95+IF(ISNUMBER(AH95),IF(AH95&gt;=ProtMVD,1,0),0)+MAX(H95,AD95)+AZ95+BB95+AU95)/7)</f>
        <v/>
      </c>
      <c r="BF95" s="344">
        <f>IF(AO95=0,"",IF(E95="S","",IF(AND(AP95=0,$A95=TODAY()),"",IF(E95="M",BE95,BD95))))</f>
        <v/>
      </c>
      <c r="BG95" s="344">
        <f>IF(AO95=0,"",IFERROR(AVERAGEIFS(Data!$BF$4:$BF$375,Data!$A$4:$A$375,"&gt;"&amp;($A95-7),Data!$A$4:$A$375,"&lt;="&amp;$A95),""))</f>
        <v/>
      </c>
      <c r="BH95" s="344">
        <f>IF(AO95=0,"",IFERROR(AVERAGEIFS(Data!$BF$4:$BF$375,Data!$A$4:$A$375,"&gt;"&amp;($A95-30),Data!$A$4:$A$375,"&lt;="&amp;$A95),""))</f>
        <v/>
      </c>
      <c r="BI95" s="359">
        <f>IF($A95="","",IFERROR(AVERAGEIFS(Data!$AF$4:$AF$375,Data!$A$4:$A$375,"&gt;"&amp;($A95-7),Data!$A$4:$A$375,"&lt;="&amp;$A95,Data!$AF$4:$AF$375,"&gt;0"),""))</f>
        <v/>
      </c>
      <c r="BJ95" s="345">
        <f>IF($A95="","",F95+G95+H95+I95+J95+K95+L95+M95+N95-IF(AS95=1,0,J95))</f>
        <v/>
      </c>
      <c r="BK95" s="345">
        <f>IF($A95="","",8+AS95)</f>
        <v/>
      </c>
      <c r="BL95" s="345">
        <f>IF(ISNUMBER(BF95),BF95,NA())</f>
        <v/>
      </c>
      <c r="BM95" s="345">
        <f>IF(ISNUMBER(AF95),AF95,NA())</f>
        <v/>
      </c>
      <c r="BN95" s="345">
        <f>IF(ISNUMBER(BI95),BI95,NA())</f>
        <v/>
      </c>
      <c r="BO95" s="345">
        <f>IF(ISNUMBER(AL95),AL95,NA())</f>
        <v/>
      </c>
      <c r="BP95" s="345">
        <f>IF(ISNUMBER(AM95),AM95,NA())</f>
        <v/>
      </c>
      <c r="BQ95" s="345">
        <f>IF(ISNUMBER(AN95),AN95,NA())</f>
        <v/>
      </c>
    </row>
    <row r="96">
      <c r="A96" s="358">
        <f>IF('Dec 2026'!AI7="","",'Dec 2026'!AI7)</f>
        <v/>
      </c>
      <c r="B96" s="345" t="n">
        <v>3</v>
      </c>
      <c r="C96" s="345">
        <f>IF($A96="","",31)</f>
        <v/>
      </c>
      <c r="D96" s="345">
        <f>IF($A96="","",WEEKDAY($A96,2))</f>
        <v/>
      </c>
      <c r="E96" s="345">
        <f>IF($A96="","",UPPER(TRIM('Dec 2026'!AI8)))</f>
        <v/>
      </c>
      <c r="F96" s="345">
        <f>IF($A96="","",IF(OR('Dec 2026'!AI10=TRUE,'Dec 2026'!AI10="x",'Dec 2026'!AI10="X"),1,0))</f>
        <v/>
      </c>
      <c r="G96" s="345">
        <f>IF($A96="","",IF(OR('Dec 2026'!AI11=TRUE,'Dec 2026'!AI11="x",'Dec 2026'!AI11="X"),1,0))</f>
        <v/>
      </c>
      <c r="H96" s="345">
        <f>IF($A96="","",IF(OR('Dec 2026'!AI12=TRUE,'Dec 2026'!AI12="x",'Dec 2026'!AI12="X"),1,0))</f>
        <v/>
      </c>
      <c r="I96" s="345">
        <f>IF($A96="","",IF(OR('Dec 2026'!AI13=TRUE,'Dec 2026'!AI13="x",'Dec 2026'!AI13="X"),1,0))</f>
        <v/>
      </c>
      <c r="J96" s="345">
        <f>IF($A96="","",IF(OR('Dec 2026'!AI14=TRUE,'Dec 2026'!AI14="x",'Dec 2026'!AI14="X"),1,0))</f>
        <v/>
      </c>
      <c r="K96" s="345">
        <f>IF($A96="","",IF(OR('Dec 2026'!AI15=TRUE,'Dec 2026'!AI15="x",'Dec 2026'!AI15="X"),1,0))</f>
        <v/>
      </c>
      <c r="L96" s="345">
        <f>IF($A96="","",IF(OR('Dec 2026'!AI16=TRUE,'Dec 2026'!AI16="x",'Dec 2026'!AI16="X"),1,0))</f>
        <v/>
      </c>
      <c r="M96" s="345">
        <f>IF($A96="","",IF(OR('Dec 2026'!AI17=TRUE,'Dec 2026'!AI17="x",'Dec 2026'!AI17="X"),1,0))</f>
        <v/>
      </c>
      <c r="N96" s="345">
        <f>IF($A96="","",IF(OR('Dec 2026'!AI18=TRUE,'Dec 2026'!AI18="x",'Dec 2026'!AI18="X"),1,0))</f>
        <v/>
      </c>
      <c r="O96" s="345">
        <f>IF($A96="","",IF(OR('Dec 2026'!AI20=TRUE,'Dec 2026'!AI20="x",'Dec 2026'!AI20="X"),1,0))</f>
        <v/>
      </c>
      <c r="P96" s="345">
        <f>IF($A96="","",IF(OR('Dec 2026'!AI21=TRUE,'Dec 2026'!AI21="x",'Dec 2026'!AI21="X"),1,0))</f>
        <v/>
      </c>
      <c r="Q96" s="345">
        <f>IF($A96="","",IF(OR('Dec 2026'!AI22=TRUE,'Dec 2026'!AI22="x",'Dec 2026'!AI22="X"),1,0))</f>
        <v/>
      </c>
      <c r="R96" s="345">
        <f>IF($A96="","",IF(OR('Dec 2026'!AI23=TRUE,'Dec 2026'!AI23="x",'Dec 2026'!AI23="X"),1,0))</f>
        <v/>
      </c>
      <c r="S96" s="345">
        <f>IF($A96="","",IF(OR('Dec 2026'!AI24=TRUE,'Dec 2026'!AI24="x",'Dec 2026'!AI24="X"),1,0))</f>
        <v/>
      </c>
      <c r="T96" s="345">
        <f>IF($A96="","",IF(OR('Dec 2026'!AI25=TRUE,'Dec 2026'!AI25="x",'Dec 2026'!AI25="X"),1,0))</f>
        <v/>
      </c>
      <c r="U96" s="345">
        <f>IF($A96="","",IF(OR('Dec 2026'!AI26=TRUE,'Dec 2026'!AI26="x",'Dec 2026'!AI26="X"),1,0))</f>
        <v/>
      </c>
      <c r="V96" s="345">
        <f>IF($A96="","",IF(OR('Dec 2026'!AI27=TRUE,'Dec 2026'!AI27="x",'Dec 2026'!AI27="X"),1,0))</f>
        <v/>
      </c>
      <c r="W96" s="345">
        <f>IF($A96="","",IF(OR('Dec 2026'!AI28=TRUE,'Dec 2026'!AI28="x",'Dec 2026'!AI28="X"),1,0))</f>
        <v/>
      </c>
      <c r="X96" s="345">
        <f>IF($A96="","",IF(OR('Dec 2026'!AI29=TRUE,'Dec 2026'!AI29="x",'Dec 2026'!AI29="X"),1,0))</f>
        <v/>
      </c>
      <c r="Y96" s="345">
        <f>IF($A96="","",IF(OR('Dec 2026'!AI30=TRUE,'Dec 2026'!AI30="x",'Dec 2026'!AI30="X"),1,0))</f>
        <v/>
      </c>
      <c r="Z96" s="345">
        <f>IF($A96="","",IF(OR('Dec 2026'!AI31=TRUE,'Dec 2026'!AI31="x",'Dec 2026'!AI31="X"),1,0))</f>
        <v/>
      </c>
      <c r="AA96" s="345">
        <f>IF($A96="","",IF(OR('Dec 2026'!AI32=TRUE,'Dec 2026'!AI32="x",'Dec 2026'!AI32="X"),1,0))</f>
        <v/>
      </c>
      <c r="AB96" s="345">
        <f>IF($A96="","",IF(OR('Dec 2026'!AI34=TRUE,'Dec 2026'!AI34="x",'Dec 2026'!AI34="X"),1,0))</f>
        <v/>
      </c>
      <c r="AC96" s="345">
        <f>IF($A96="","",IF(OR('Dec 2026'!AI35=TRUE,'Dec 2026'!AI35="x",'Dec 2026'!AI35="X"),1,0))</f>
        <v/>
      </c>
      <c r="AD96" s="345">
        <f>IF($A96="","",IF(OR('Dec 2026'!AI36=TRUE,'Dec 2026'!AI36="x",'Dec 2026'!AI36="X"),1,0))</f>
        <v/>
      </c>
      <c r="AE96" s="345">
        <f>IF($A96="","",IF(OR('Dec 2026'!AI37=TRUE,'Dec 2026'!AI37="x",'Dec 2026'!AI37="X"),1,0))</f>
        <v/>
      </c>
      <c r="AF96" s="345">
        <f>IF($A96="","",IF('Dec 2026'!AI59="","",'Dec 2026'!AI59))</f>
        <v/>
      </c>
      <c r="AG96" s="345">
        <f>IF($A96="","",IF('Dec 2026'!AI60="","",'Dec 2026'!AI60))</f>
        <v/>
      </c>
      <c r="AH96" s="345">
        <f>IF($A96="","",IF('Dec 2026'!AI61="","",'Dec 2026'!AI61))</f>
        <v/>
      </c>
      <c r="AI96" s="345">
        <f>IF($A96="","",IF('Dec 2026'!AI62="","",'Dec 2026'!AI62))</f>
        <v/>
      </c>
      <c r="AJ96" s="345">
        <f>IF($A96="","",IF('Dec 2026'!AI63="","",'Dec 2026'!AI63))</f>
        <v/>
      </c>
      <c r="AK96" s="345">
        <f>IF($A96="","",IF('Dec 2026'!AI64="","",'Dec 2026'!AI64))</f>
        <v/>
      </c>
      <c r="AL96" s="345">
        <f>IF($A96="","",IF('Dec 2026'!AI65="","",'Dec 2026'!AI65))</f>
        <v/>
      </c>
      <c r="AM96" s="345">
        <f>IF($A96="","",IF('Dec 2026'!AI66="","",'Dec 2026'!AI66))</f>
        <v/>
      </c>
      <c r="AN96" s="345">
        <f>IF($A96="","",IF('Dec 2026'!AI67="","",'Dec 2026'!AI67))</f>
        <v/>
      </c>
      <c r="AO96" s="345">
        <f>IF($A96="",0,IF(AND($A96&gt;=TrackStart,$A96&lt;=TODAY()),1,0))</f>
        <v/>
      </c>
      <c r="AP96" s="345">
        <f>IF($A96="",0,IF(SUM(F96:AE96)+COUNT(AF96:AN96)&gt;0,1,0))</f>
        <v/>
      </c>
      <c r="AQ96" s="345">
        <f>IF($A96="","",INT(($A96-TrackStart)/7)+1)</f>
        <v/>
      </c>
      <c r="AR96" s="345">
        <f>IF($A96="","",IF(AQ96&lt;=1,Steps1,IF(AQ96=2,Steps2,Steps3)))</f>
        <v/>
      </c>
      <c r="AS96" s="345">
        <f>IF($A96="",0,IF(ISNUMBER(SEARCH(TEXT(D96,"0"),WorkDays&amp;"")),1,0))</f>
        <v/>
      </c>
      <c r="AT96" s="345">
        <f>IF($A96="",0,IF(ISNUMBER(SEARCH(TEXT(D96,"0"),StrDays&amp;"")),1,0))</f>
        <v/>
      </c>
      <c r="AU96" s="345">
        <f>IF($A96="",0,IF(ISNUMBER(AK96),IF(AK96&gt;=SleepMin,1,0),N96))</f>
        <v/>
      </c>
      <c r="AV96" s="345">
        <f>IF($A96="",0,MAX(I96,O96,S96,AC96))</f>
        <v/>
      </c>
      <c r="AW96" s="345">
        <f>IF($A96="",0,IF(ISNUMBER(AH96),IF(AH96&gt;=ProtHit,1,0),0))</f>
        <v/>
      </c>
      <c r="AX96" s="345">
        <f>IF($A96="",0,IF(ISNUMBER(AI96),IF(AI96&gt;=WaterHit,1,0),0))</f>
        <v/>
      </c>
      <c r="AY96" s="345">
        <f>IF($A96="",0,IF(ISNUMBER(AG96),IF(AG96&gt;=AR96,1,0),0))</f>
        <v/>
      </c>
      <c r="AZ96" s="345">
        <f>IF($A96="",0,G96)</f>
        <v/>
      </c>
      <c r="BA96" s="345">
        <f>IF($A96="",0,J96)</f>
        <v/>
      </c>
      <c r="BB96" s="345">
        <f>IF($A96="",0,K96)</f>
        <v/>
      </c>
      <c r="BC96" s="345">
        <f>IF($A96="",0,MAX(L96,AE96))</f>
        <v/>
      </c>
      <c r="BD96" s="344">
        <f>IF($A96="","",(AU96+AV96+AW96+AX96+AY96+AZ96+BB96+BC96+IF(AS96=1,BA96,0))/(8+AS96))</f>
        <v/>
      </c>
      <c r="BE96" s="344">
        <f>IF($A96="","",(IF(ISNUMBER(AI96),IF(AI96&gt;=WaterMVD,1,0),0)+AV96+IF(ISNUMBER(AH96),IF(AH96&gt;=ProtMVD,1,0),0)+MAX(H96,AD96)+AZ96+BB96+AU96)/7)</f>
        <v/>
      </c>
      <c r="BF96" s="344">
        <f>IF(AO96=0,"",IF(E96="S","",IF(AND(AP96=0,$A96=TODAY()),"",IF(E96="M",BE96,BD96))))</f>
        <v/>
      </c>
      <c r="BG96" s="344">
        <f>IF(AO96=0,"",IFERROR(AVERAGEIFS(Data!$BF$4:$BF$375,Data!$A$4:$A$375,"&gt;"&amp;($A96-7),Data!$A$4:$A$375,"&lt;="&amp;$A96),""))</f>
        <v/>
      </c>
      <c r="BH96" s="344">
        <f>IF(AO96=0,"",IFERROR(AVERAGEIFS(Data!$BF$4:$BF$375,Data!$A$4:$A$375,"&gt;"&amp;($A96-30),Data!$A$4:$A$375,"&lt;="&amp;$A96),""))</f>
        <v/>
      </c>
      <c r="BI96" s="359">
        <f>IF($A96="","",IFERROR(AVERAGEIFS(Data!$AF$4:$AF$375,Data!$A$4:$A$375,"&gt;"&amp;($A96-7),Data!$A$4:$A$375,"&lt;="&amp;$A96,Data!$AF$4:$AF$375,"&gt;0"),""))</f>
        <v/>
      </c>
      <c r="BJ96" s="345">
        <f>IF($A96="","",F96+G96+H96+I96+J96+K96+L96+M96+N96-IF(AS96=1,0,J96))</f>
        <v/>
      </c>
      <c r="BK96" s="345">
        <f>IF($A96="","",8+AS96)</f>
        <v/>
      </c>
      <c r="BL96" s="345">
        <f>IF(ISNUMBER(BF96),BF96,NA())</f>
        <v/>
      </c>
      <c r="BM96" s="345">
        <f>IF(ISNUMBER(AF96),AF96,NA())</f>
        <v/>
      </c>
      <c r="BN96" s="345">
        <f>IF(ISNUMBER(BI96),BI96,NA())</f>
        <v/>
      </c>
      <c r="BO96" s="345">
        <f>IF(ISNUMBER(AL96),AL96,NA())</f>
        <v/>
      </c>
      <c r="BP96" s="345">
        <f>IF(ISNUMBER(AM96),AM96,NA())</f>
        <v/>
      </c>
      <c r="BQ96" s="345">
        <f>IF(ISNUMBER(AN96),AN96,NA())</f>
        <v/>
      </c>
    </row>
    <row r="97">
      <c r="A97" s="358">
        <f>IF('Jan 2027'!E7="","",'Jan 2027'!E7)</f>
        <v/>
      </c>
      <c r="B97" s="345" t="n">
        <v>4</v>
      </c>
      <c r="C97" s="345">
        <f>IF($A97="","",1)</f>
        <v/>
      </c>
      <c r="D97" s="345">
        <f>IF($A97="","",WEEKDAY($A97,2))</f>
        <v/>
      </c>
      <c r="E97" s="345">
        <f>IF($A97="","",UPPER(TRIM('Jan 2027'!E8)))</f>
        <v/>
      </c>
      <c r="F97" s="345">
        <f>IF($A97="","",IF(OR('Jan 2027'!E10=TRUE,'Jan 2027'!E10="x",'Jan 2027'!E10="X"),1,0))</f>
        <v/>
      </c>
      <c r="G97" s="345">
        <f>IF($A97="","",IF(OR('Jan 2027'!E11=TRUE,'Jan 2027'!E11="x",'Jan 2027'!E11="X"),1,0))</f>
        <v/>
      </c>
      <c r="H97" s="345">
        <f>IF($A97="","",IF(OR('Jan 2027'!E12=TRUE,'Jan 2027'!E12="x",'Jan 2027'!E12="X"),1,0))</f>
        <v/>
      </c>
      <c r="I97" s="345">
        <f>IF($A97="","",IF(OR('Jan 2027'!E13=TRUE,'Jan 2027'!E13="x",'Jan 2027'!E13="X"),1,0))</f>
        <v/>
      </c>
      <c r="J97" s="345">
        <f>IF($A97="","",IF(OR('Jan 2027'!E14=TRUE,'Jan 2027'!E14="x",'Jan 2027'!E14="X"),1,0))</f>
        <v/>
      </c>
      <c r="K97" s="345">
        <f>IF($A97="","",IF(OR('Jan 2027'!E15=TRUE,'Jan 2027'!E15="x",'Jan 2027'!E15="X"),1,0))</f>
        <v/>
      </c>
      <c r="L97" s="345">
        <f>IF($A97="","",IF(OR('Jan 2027'!E16=TRUE,'Jan 2027'!E16="x",'Jan 2027'!E16="X"),1,0))</f>
        <v/>
      </c>
      <c r="M97" s="345">
        <f>IF($A97="","",IF(OR('Jan 2027'!E17=TRUE,'Jan 2027'!E17="x",'Jan 2027'!E17="X"),1,0))</f>
        <v/>
      </c>
      <c r="N97" s="345">
        <f>IF($A97="","",IF(OR('Jan 2027'!E18=TRUE,'Jan 2027'!E18="x",'Jan 2027'!E18="X"),1,0))</f>
        <v/>
      </c>
      <c r="O97" s="345">
        <f>IF($A97="","",IF(OR('Jan 2027'!E20=TRUE,'Jan 2027'!E20="x",'Jan 2027'!E20="X"),1,0))</f>
        <v/>
      </c>
      <c r="P97" s="345">
        <f>IF($A97="","",IF(OR('Jan 2027'!E21=TRUE,'Jan 2027'!E21="x",'Jan 2027'!E21="X"),1,0))</f>
        <v/>
      </c>
      <c r="Q97" s="345">
        <f>IF($A97="","",IF(OR('Jan 2027'!E22=TRUE,'Jan 2027'!E22="x",'Jan 2027'!E22="X"),1,0))</f>
        <v/>
      </c>
      <c r="R97" s="345">
        <f>IF($A97="","",IF(OR('Jan 2027'!E23=TRUE,'Jan 2027'!E23="x",'Jan 2027'!E23="X"),1,0))</f>
        <v/>
      </c>
      <c r="S97" s="345">
        <f>IF($A97="","",IF(OR('Jan 2027'!E24=TRUE,'Jan 2027'!E24="x",'Jan 2027'!E24="X"),1,0))</f>
        <v/>
      </c>
      <c r="T97" s="345">
        <f>IF($A97="","",IF(OR('Jan 2027'!E25=TRUE,'Jan 2027'!E25="x",'Jan 2027'!E25="X"),1,0))</f>
        <v/>
      </c>
      <c r="U97" s="345">
        <f>IF($A97="","",IF(OR('Jan 2027'!E26=TRUE,'Jan 2027'!E26="x",'Jan 2027'!E26="X"),1,0))</f>
        <v/>
      </c>
      <c r="V97" s="345">
        <f>IF($A97="","",IF(OR('Jan 2027'!E27=TRUE,'Jan 2027'!E27="x",'Jan 2027'!E27="X"),1,0))</f>
        <v/>
      </c>
      <c r="W97" s="345">
        <f>IF($A97="","",IF(OR('Jan 2027'!E28=TRUE,'Jan 2027'!E28="x",'Jan 2027'!E28="X"),1,0))</f>
        <v/>
      </c>
      <c r="X97" s="345">
        <f>IF($A97="","",IF(OR('Jan 2027'!E29=TRUE,'Jan 2027'!E29="x",'Jan 2027'!E29="X"),1,0))</f>
        <v/>
      </c>
      <c r="Y97" s="345">
        <f>IF($A97="","",IF(OR('Jan 2027'!E30=TRUE,'Jan 2027'!E30="x",'Jan 2027'!E30="X"),1,0))</f>
        <v/>
      </c>
      <c r="Z97" s="345">
        <f>IF($A97="","",IF(OR('Jan 2027'!E31=TRUE,'Jan 2027'!E31="x",'Jan 2027'!E31="X"),1,0))</f>
        <v/>
      </c>
      <c r="AA97" s="345">
        <f>IF($A97="","",IF(OR('Jan 2027'!E32=TRUE,'Jan 2027'!E32="x",'Jan 2027'!E32="X"),1,0))</f>
        <v/>
      </c>
      <c r="AB97" s="345">
        <f>IF($A97="","",IF(OR('Jan 2027'!E34=TRUE,'Jan 2027'!E34="x",'Jan 2027'!E34="X"),1,0))</f>
        <v/>
      </c>
      <c r="AC97" s="345">
        <f>IF($A97="","",IF(OR('Jan 2027'!E35=TRUE,'Jan 2027'!E35="x",'Jan 2027'!E35="X"),1,0))</f>
        <v/>
      </c>
      <c r="AD97" s="345">
        <f>IF($A97="","",IF(OR('Jan 2027'!E36=TRUE,'Jan 2027'!E36="x",'Jan 2027'!E36="X"),1,0))</f>
        <v/>
      </c>
      <c r="AE97" s="345">
        <f>IF($A97="","",IF(OR('Jan 2027'!E37=TRUE,'Jan 2027'!E37="x",'Jan 2027'!E37="X"),1,0))</f>
        <v/>
      </c>
      <c r="AF97" s="345">
        <f>IF($A97="","",IF('Jan 2027'!E59="","",'Jan 2027'!E59))</f>
        <v/>
      </c>
      <c r="AG97" s="345">
        <f>IF($A97="","",IF('Jan 2027'!E60="","",'Jan 2027'!E60))</f>
        <v/>
      </c>
      <c r="AH97" s="345">
        <f>IF($A97="","",IF('Jan 2027'!E61="","",'Jan 2027'!E61))</f>
        <v/>
      </c>
      <c r="AI97" s="345">
        <f>IF($A97="","",IF('Jan 2027'!E62="","",'Jan 2027'!E62))</f>
        <v/>
      </c>
      <c r="AJ97" s="345">
        <f>IF($A97="","",IF('Jan 2027'!E63="","",'Jan 2027'!E63))</f>
        <v/>
      </c>
      <c r="AK97" s="345">
        <f>IF($A97="","",IF('Jan 2027'!E64="","",'Jan 2027'!E64))</f>
        <v/>
      </c>
      <c r="AL97" s="345">
        <f>IF($A97="","",IF('Jan 2027'!E65="","",'Jan 2027'!E65))</f>
        <v/>
      </c>
      <c r="AM97" s="345">
        <f>IF($A97="","",IF('Jan 2027'!E66="","",'Jan 2027'!E66))</f>
        <v/>
      </c>
      <c r="AN97" s="345">
        <f>IF($A97="","",IF('Jan 2027'!E67="","",'Jan 2027'!E67))</f>
        <v/>
      </c>
      <c r="AO97" s="345">
        <f>IF($A97="",0,IF(AND($A97&gt;=TrackStart,$A97&lt;=TODAY()),1,0))</f>
        <v/>
      </c>
      <c r="AP97" s="345">
        <f>IF($A97="",0,IF(SUM(F97:AE97)+COUNT(AF97:AN97)&gt;0,1,0))</f>
        <v/>
      </c>
      <c r="AQ97" s="345">
        <f>IF($A97="","",INT(($A97-TrackStart)/7)+1)</f>
        <v/>
      </c>
      <c r="AR97" s="345">
        <f>IF($A97="","",IF(AQ97&lt;=1,Steps1,IF(AQ97=2,Steps2,Steps3)))</f>
        <v/>
      </c>
      <c r="AS97" s="345">
        <f>IF($A97="",0,IF(ISNUMBER(SEARCH(TEXT(D97,"0"),WorkDays&amp;"")),1,0))</f>
        <v/>
      </c>
      <c r="AT97" s="345">
        <f>IF($A97="",0,IF(ISNUMBER(SEARCH(TEXT(D97,"0"),StrDays&amp;"")),1,0))</f>
        <v/>
      </c>
      <c r="AU97" s="345">
        <f>IF($A97="",0,IF(ISNUMBER(AK97),IF(AK97&gt;=SleepMin,1,0),N97))</f>
        <v/>
      </c>
      <c r="AV97" s="345">
        <f>IF($A97="",0,MAX(I97,O97,S97,AC97))</f>
        <v/>
      </c>
      <c r="AW97" s="345">
        <f>IF($A97="",0,IF(ISNUMBER(AH97),IF(AH97&gt;=ProtHit,1,0),0))</f>
        <v/>
      </c>
      <c r="AX97" s="345">
        <f>IF($A97="",0,IF(ISNUMBER(AI97),IF(AI97&gt;=WaterHit,1,0),0))</f>
        <v/>
      </c>
      <c r="AY97" s="345">
        <f>IF($A97="",0,IF(ISNUMBER(AG97),IF(AG97&gt;=AR97,1,0),0))</f>
        <v/>
      </c>
      <c r="AZ97" s="345">
        <f>IF($A97="",0,G97)</f>
        <v/>
      </c>
      <c r="BA97" s="345">
        <f>IF($A97="",0,J97)</f>
        <v/>
      </c>
      <c r="BB97" s="345">
        <f>IF($A97="",0,K97)</f>
        <v/>
      </c>
      <c r="BC97" s="345">
        <f>IF($A97="",0,MAX(L97,AE97))</f>
        <v/>
      </c>
      <c r="BD97" s="344">
        <f>IF($A97="","",(AU97+AV97+AW97+AX97+AY97+AZ97+BB97+BC97+IF(AS97=1,BA97,0))/(8+AS97))</f>
        <v/>
      </c>
      <c r="BE97" s="344">
        <f>IF($A97="","",(IF(ISNUMBER(AI97),IF(AI97&gt;=WaterMVD,1,0),0)+AV97+IF(ISNUMBER(AH97),IF(AH97&gt;=ProtMVD,1,0),0)+MAX(H97,AD97)+AZ97+BB97+AU97)/7)</f>
        <v/>
      </c>
      <c r="BF97" s="344">
        <f>IF(AO97=0,"",IF(E97="S","",IF(AND(AP97=0,$A97=TODAY()),"",IF(E97="M",BE97,BD97))))</f>
        <v/>
      </c>
      <c r="BG97" s="344">
        <f>IF(AO97=0,"",IFERROR(AVERAGEIFS(Data!$BF$4:$BF$375,Data!$A$4:$A$375,"&gt;"&amp;($A97-7),Data!$A$4:$A$375,"&lt;="&amp;$A97),""))</f>
        <v/>
      </c>
      <c r="BH97" s="344">
        <f>IF(AO97=0,"",IFERROR(AVERAGEIFS(Data!$BF$4:$BF$375,Data!$A$4:$A$375,"&gt;"&amp;($A97-30),Data!$A$4:$A$375,"&lt;="&amp;$A97),""))</f>
        <v/>
      </c>
      <c r="BI97" s="359">
        <f>IF($A97="","",IFERROR(AVERAGEIFS(Data!$AF$4:$AF$375,Data!$A$4:$A$375,"&gt;"&amp;($A97-7),Data!$A$4:$A$375,"&lt;="&amp;$A97,Data!$AF$4:$AF$375,"&gt;0"),""))</f>
        <v/>
      </c>
      <c r="BJ97" s="345">
        <f>IF($A97="","",F97+G97+H97+I97+J97+K97+L97+M97+N97-IF(AS97=1,0,J97))</f>
        <v/>
      </c>
      <c r="BK97" s="345">
        <f>IF($A97="","",8+AS97)</f>
        <v/>
      </c>
      <c r="BL97" s="345">
        <f>IF(ISNUMBER(BF97),BF97,NA())</f>
        <v/>
      </c>
      <c r="BM97" s="345">
        <f>IF(ISNUMBER(AF97),AF97,NA())</f>
        <v/>
      </c>
      <c r="BN97" s="345">
        <f>IF(ISNUMBER(BI97),BI97,NA())</f>
        <v/>
      </c>
      <c r="BO97" s="345">
        <f>IF(ISNUMBER(AL97),AL97,NA())</f>
        <v/>
      </c>
      <c r="BP97" s="345">
        <f>IF(ISNUMBER(AM97),AM97,NA())</f>
        <v/>
      </c>
      <c r="BQ97" s="345">
        <f>IF(ISNUMBER(AN97),AN97,NA())</f>
        <v/>
      </c>
    </row>
    <row r="98">
      <c r="A98" s="358">
        <f>IF('Jan 2027'!F7="","",'Jan 2027'!F7)</f>
        <v/>
      </c>
      <c r="B98" s="345" t="n">
        <v>4</v>
      </c>
      <c r="C98" s="345">
        <f>IF($A98="","",2)</f>
        <v/>
      </c>
      <c r="D98" s="345">
        <f>IF($A98="","",WEEKDAY($A98,2))</f>
        <v/>
      </c>
      <c r="E98" s="345">
        <f>IF($A98="","",UPPER(TRIM('Jan 2027'!F8)))</f>
        <v/>
      </c>
      <c r="F98" s="345">
        <f>IF($A98="","",IF(OR('Jan 2027'!F10=TRUE,'Jan 2027'!F10="x",'Jan 2027'!F10="X"),1,0))</f>
        <v/>
      </c>
      <c r="G98" s="345">
        <f>IF($A98="","",IF(OR('Jan 2027'!F11=TRUE,'Jan 2027'!F11="x",'Jan 2027'!F11="X"),1,0))</f>
        <v/>
      </c>
      <c r="H98" s="345">
        <f>IF($A98="","",IF(OR('Jan 2027'!F12=TRUE,'Jan 2027'!F12="x",'Jan 2027'!F12="X"),1,0))</f>
        <v/>
      </c>
      <c r="I98" s="345">
        <f>IF($A98="","",IF(OR('Jan 2027'!F13=TRUE,'Jan 2027'!F13="x",'Jan 2027'!F13="X"),1,0))</f>
        <v/>
      </c>
      <c r="J98" s="345">
        <f>IF($A98="","",IF(OR('Jan 2027'!F14=TRUE,'Jan 2027'!F14="x",'Jan 2027'!F14="X"),1,0))</f>
        <v/>
      </c>
      <c r="K98" s="345">
        <f>IF($A98="","",IF(OR('Jan 2027'!F15=TRUE,'Jan 2027'!F15="x",'Jan 2027'!F15="X"),1,0))</f>
        <v/>
      </c>
      <c r="L98" s="345">
        <f>IF($A98="","",IF(OR('Jan 2027'!F16=TRUE,'Jan 2027'!F16="x",'Jan 2027'!F16="X"),1,0))</f>
        <v/>
      </c>
      <c r="M98" s="345">
        <f>IF($A98="","",IF(OR('Jan 2027'!F17=TRUE,'Jan 2027'!F17="x",'Jan 2027'!F17="X"),1,0))</f>
        <v/>
      </c>
      <c r="N98" s="345">
        <f>IF($A98="","",IF(OR('Jan 2027'!F18=TRUE,'Jan 2027'!F18="x",'Jan 2027'!F18="X"),1,0))</f>
        <v/>
      </c>
      <c r="O98" s="345">
        <f>IF($A98="","",IF(OR('Jan 2027'!F20=TRUE,'Jan 2027'!F20="x",'Jan 2027'!F20="X"),1,0))</f>
        <v/>
      </c>
      <c r="P98" s="345">
        <f>IF($A98="","",IF(OR('Jan 2027'!F21=TRUE,'Jan 2027'!F21="x",'Jan 2027'!F21="X"),1,0))</f>
        <v/>
      </c>
      <c r="Q98" s="345">
        <f>IF($A98="","",IF(OR('Jan 2027'!F22=TRUE,'Jan 2027'!F22="x",'Jan 2027'!F22="X"),1,0))</f>
        <v/>
      </c>
      <c r="R98" s="345">
        <f>IF($A98="","",IF(OR('Jan 2027'!F23=TRUE,'Jan 2027'!F23="x",'Jan 2027'!F23="X"),1,0))</f>
        <v/>
      </c>
      <c r="S98" s="345">
        <f>IF($A98="","",IF(OR('Jan 2027'!F24=TRUE,'Jan 2027'!F24="x",'Jan 2027'!F24="X"),1,0))</f>
        <v/>
      </c>
      <c r="T98" s="345">
        <f>IF($A98="","",IF(OR('Jan 2027'!F25=TRUE,'Jan 2027'!F25="x",'Jan 2027'!F25="X"),1,0))</f>
        <v/>
      </c>
      <c r="U98" s="345">
        <f>IF($A98="","",IF(OR('Jan 2027'!F26=TRUE,'Jan 2027'!F26="x",'Jan 2027'!F26="X"),1,0))</f>
        <v/>
      </c>
      <c r="V98" s="345">
        <f>IF($A98="","",IF(OR('Jan 2027'!F27=TRUE,'Jan 2027'!F27="x",'Jan 2027'!F27="X"),1,0))</f>
        <v/>
      </c>
      <c r="W98" s="345">
        <f>IF($A98="","",IF(OR('Jan 2027'!F28=TRUE,'Jan 2027'!F28="x",'Jan 2027'!F28="X"),1,0))</f>
        <v/>
      </c>
      <c r="X98" s="345">
        <f>IF($A98="","",IF(OR('Jan 2027'!F29=TRUE,'Jan 2027'!F29="x",'Jan 2027'!F29="X"),1,0))</f>
        <v/>
      </c>
      <c r="Y98" s="345">
        <f>IF($A98="","",IF(OR('Jan 2027'!F30=TRUE,'Jan 2027'!F30="x",'Jan 2027'!F30="X"),1,0))</f>
        <v/>
      </c>
      <c r="Z98" s="345">
        <f>IF($A98="","",IF(OR('Jan 2027'!F31=TRUE,'Jan 2027'!F31="x",'Jan 2027'!F31="X"),1,0))</f>
        <v/>
      </c>
      <c r="AA98" s="345">
        <f>IF($A98="","",IF(OR('Jan 2027'!F32=TRUE,'Jan 2027'!F32="x",'Jan 2027'!F32="X"),1,0))</f>
        <v/>
      </c>
      <c r="AB98" s="345">
        <f>IF($A98="","",IF(OR('Jan 2027'!F34=TRUE,'Jan 2027'!F34="x",'Jan 2027'!F34="X"),1,0))</f>
        <v/>
      </c>
      <c r="AC98" s="345">
        <f>IF($A98="","",IF(OR('Jan 2027'!F35=TRUE,'Jan 2027'!F35="x",'Jan 2027'!F35="X"),1,0))</f>
        <v/>
      </c>
      <c r="AD98" s="345">
        <f>IF($A98="","",IF(OR('Jan 2027'!F36=TRUE,'Jan 2027'!F36="x",'Jan 2027'!F36="X"),1,0))</f>
        <v/>
      </c>
      <c r="AE98" s="345">
        <f>IF($A98="","",IF(OR('Jan 2027'!F37=TRUE,'Jan 2027'!F37="x",'Jan 2027'!F37="X"),1,0))</f>
        <v/>
      </c>
      <c r="AF98" s="345">
        <f>IF($A98="","",IF('Jan 2027'!F59="","",'Jan 2027'!F59))</f>
        <v/>
      </c>
      <c r="AG98" s="345">
        <f>IF($A98="","",IF('Jan 2027'!F60="","",'Jan 2027'!F60))</f>
        <v/>
      </c>
      <c r="AH98" s="345">
        <f>IF($A98="","",IF('Jan 2027'!F61="","",'Jan 2027'!F61))</f>
        <v/>
      </c>
      <c r="AI98" s="345">
        <f>IF($A98="","",IF('Jan 2027'!F62="","",'Jan 2027'!F62))</f>
        <v/>
      </c>
      <c r="AJ98" s="345">
        <f>IF($A98="","",IF('Jan 2027'!F63="","",'Jan 2027'!F63))</f>
        <v/>
      </c>
      <c r="AK98" s="345">
        <f>IF($A98="","",IF('Jan 2027'!F64="","",'Jan 2027'!F64))</f>
        <v/>
      </c>
      <c r="AL98" s="345">
        <f>IF($A98="","",IF('Jan 2027'!F65="","",'Jan 2027'!F65))</f>
        <v/>
      </c>
      <c r="AM98" s="345">
        <f>IF($A98="","",IF('Jan 2027'!F66="","",'Jan 2027'!F66))</f>
        <v/>
      </c>
      <c r="AN98" s="345">
        <f>IF($A98="","",IF('Jan 2027'!F67="","",'Jan 2027'!F67))</f>
        <v/>
      </c>
      <c r="AO98" s="345">
        <f>IF($A98="",0,IF(AND($A98&gt;=TrackStart,$A98&lt;=TODAY()),1,0))</f>
        <v/>
      </c>
      <c r="AP98" s="345">
        <f>IF($A98="",0,IF(SUM(F98:AE98)+COUNT(AF98:AN98)&gt;0,1,0))</f>
        <v/>
      </c>
      <c r="AQ98" s="345">
        <f>IF($A98="","",INT(($A98-TrackStart)/7)+1)</f>
        <v/>
      </c>
      <c r="AR98" s="345">
        <f>IF($A98="","",IF(AQ98&lt;=1,Steps1,IF(AQ98=2,Steps2,Steps3)))</f>
        <v/>
      </c>
      <c r="AS98" s="345">
        <f>IF($A98="",0,IF(ISNUMBER(SEARCH(TEXT(D98,"0"),WorkDays&amp;"")),1,0))</f>
        <v/>
      </c>
      <c r="AT98" s="345">
        <f>IF($A98="",0,IF(ISNUMBER(SEARCH(TEXT(D98,"0"),StrDays&amp;"")),1,0))</f>
        <v/>
      </c>
      <c r="AU98" s="345">
        <f>IF($A98="",0,IF(ISNUMBER(AK98),IF(AK98&gt;=SleepMin,1,0),N98))</f>
        <v/>
      </c>
      <c r="AV98" s="345">
        <f>IF($A98="",0,MAX(I98,O98,S98,AC98))</f>
        <v/>
      </c>
      <c r="AW98" s="345">
        <f>IF($A98="",0,IF(ISNUMBER(AH98),IF(AH98&gt;=ProtHit,1,0),0))</f>
        <v/>
      </c>
      <c r="AX98" s="345">
        <f>IF($A98="",0,IF(ISNUMBER(AI98),IF(AI98&gt;=WaterHit,1,0),0))</f>
        <v/>
      </c>
      <c r="AY98" s="345">
        <f>IF($A98="",0,IF(ISNUMBER(AG98),IF(AG98&gt;=AR98,1,0),0))</f>
        <v/>
      </c>
      <c r="AZ98" s="345">
        <f>IF($A98="",0,G98)</f>
        <v/>
      </c>
      <c r="BA98" s="345">
        <f>IF($A98="",0,J98)</f>
        <v/>
      </c>
      <c r="BB98" s="345">
        <f>IF($A98="",0,K98)</f>
        <v/>
      </c>
      <c r="BC98" s="345">
        <f>IF($A98="",0,MAX(L98,AE98))</f>
        <v/>
      </c>
      <c r="BD98" s="344">
        <f>IF($A98="","",(AU98+AV98+AW98+AX98+AY98+AZ98+BB98+BC98+IF(AS98=1,BA98,0))/(8+AS98))</f>
        <v/>
      </c>
      <c r="BE98" s="344">
        <f>IF($A98="","",(IF(ISNUMBER(AI98),IF(AI98&gt;=WaterMVD,1,0),0)+AV98+IF(ISNUMBER(AH98),IF(AH98&gt;=ProtMVD,1,0),0)+MAX(H98,AD98)+AZ98+BB98+AU98)/7)</f>
        <v/>
      </c>
      <c r="BF98" s="344">
        <f>IF(AO98=0,"",IF(E98="S","",IF(AND(AP98=0,$A98=TODAY()),"",IF(E98="M",BE98,BD98))))</f>
        <v/>
      </c>
      <c r="BG98" s="344">
        <f>IF(AO98=0,"",IFERROR(AVERAGEIFS(Data!$BF$4:$BF$375,Data!$A$4:$A$375,"&gt;"&amp;($A98-7),Data!$A$4:$A$375,"&lt;="&amp;$A98),""))</f>
        <v/>
      </c>
      <c r="BH98" s="344">
        <f>IF(AO98=0,"",IFERROR(AVERAGEIFS(Data!$BF$4:$BF$375,Data!$A$4:$A$375,"&gt;"&amp;($A98-30),Data!$A$4:$A$375,"&lt;="&amp;$A98),""))</f>
        <v/>
      </c>
      <c r="BI98" s="359">
        <f>IF($A98="","",IFERROR(AVERAGEIFS(Data!$AF$4:$AF$375,Data!$A$4:$A$375,"&gt;"&amp;($A98-7),Data!$A$4:$A$375,"&lt;="&amp;$A98,Data!$AF$4:$AF$375,"&gt;0"),""))</f>
        <v/>
      </c>
      <c r="BJ98" s="345">
        <f>IF($A98="","",F98+G98+H98+I98+J98+K98+L98+M98+N98-IF(AS98=1,0,J98))</f>
        <v/>
      </c>
      <c r="BK98" s="345">
        <f>IF($A98="","",8+AS98)</f>
        <v/>
      </c>
      <c r="BL98" s="345">
        <f>IF(ISNUMBER(BF98),BF98,NA())</f>
        <v/>
      </c>
      <c r="BM98" s="345">
        <f>IF(ISNUMBER(AF98),AF98,NA())</f>
        <v/>
      </c>
      <c r="BN98" s="345">
        <f>IF(ISNUMBER(BI98),BI98,NA())</f>
        <v/>
      </c>
      <c r="BO98" s="345">
        <f>IF(ISNUMBER(AL98),AL98,NA())</f>
        <v/>
      </c>
      <c r="BP98" s="345">
        <f>IF(ISNUMBER(AM98),AM98,NA())</f>
        <v/>
      </c>
      <c r="BQ98" s="345">
        <f>IF(ISNUMBER(AN98),AN98,NA())</f>
        <v/>
      </c>
    </row>
    <row r="99">
      <c r="A99" s="358">
        <f>IF('Jan 2027'!G7="","",'Jan 2027'!G7)</f>
        <v/>
      </c>
      <c r="B99" s="345" t="n">
        <v>4</v>
      </c>
      <c r="C99" s="345">
        <f>IF($A99="","",3)</f>
        <v/>
      </c>
      <c r="D99" s="345">
        <f>IF($A99="","",WEEKDAY($A99,2))</f>
        <v/>
      </c>
      <c r="E99" s="345">
        <f>IF($A99="","",UPPER(TRIM('Jan 2027'!G8)))</f>
        <v/>
      </c>
      <c r="F99" s="345">
        <f>IF($A99="","",IF(OR('Jan 2027'!G10=TRUE,'Jan 2027'!G10="x",'Jan 2027'!G10="X"),1,0))</f>
        <v/>
      </c>
      <c r="G99" s="345">
        <f>IF($A99="","",IF(OR('Jan 2027'!G11=TRUE,'Jan 2027'!G11="x",'Jan 2027'!G11="X"),1,0))</f>
        <v/>
      </c>
      <c r="H99" s="345">
        <f>IF($A99="","",IF(OR('Jan 2027'!G12=TRUE,'Jan 2027'!G12="x",'Jan 2027'!G12="X"),1,0))</f>
        <v/>
      </c>
      <c r="I99" s="345">
        <f>IF($A99="","",IF(OR('Jan 2027'!G13=TRUE,'Jan 2027'!G13="x",'Jan 2027'!G13="X"),1,0))</f>
        <v/>
      </c>
      <c r="J99" s="345">
        <f>IF($A99="","",IF(OR('Jan 2027'!G14=TRUE,'Jan 2027'!G14="x",'Jan 2027'!G14="X"),1,0))</f>
        <v/>
      </c>
      <c r="K99" s="345">
        <f>IF($A99="","",IF(OR('Jan 2027'!G15=TRUE,'Jan 2027'!G15="x",'Jan 2027'!G15="X"),1,0))</f>
        <v/>
      </c>
      <c r="L99" s="345">
        <f>IF($A99="","",IF(OR('Jan 2027'!G16=TRUE,'Jan 2027'!G16="x",'Jan 2027'!G16="X"),1,0))</f>
        <v/>
      </c>
      <c r="M99" s="345">
        <f>IF($A99="","",IF(OR('Jan 2027'!G17=TRUE,'Jan 2027'!G17="x",'Jan 2027'!G17="X"),1,0))</f>
        <v/>
      </c>
      <c r="N99" s="345">
        <f>IF($A99="","",IF(OR('Jan 2027'!G18=TRUE,'Jan 2027'!G18="x",'Jan 2027'!G18="X"),1,0))</f>
        <v/>
      </c>
      <c r="O99" s="345">
        <f>IF($A99="","",IF(OR('Jan 2027'!G20=TRUE,'Jan 2027'!G20="x",'Jan 2027'!G20="X"),1,0))</f>
        <v/>
      </c>
      <c r="P99" s="345">
        <f>IF($A99="","",IF(OR('Jan 2027'!G21=TRUE,'Jan 2027'!G21="x",'Jan 2027'!G21="X"),1,0))</f>
        <v/>
      </c>
      <c r="Q99" s="345">
        <f>IF($A99="","",IF(OR('Jan 2027'!G22=TRUE,'Jan 2027'!G22="x",'Jan 2027'!G22="X"),1,0))</f>
        <v/>
      </c>
      <c r="R99" s="345">
        <f>IF($A99="","",IF(OR('Jan 2027'!G23=TRUE,'Jan 2027'!G23="x",'Jan 2027'!G23="X"),1,0))</f>
        <v/>
      </c>
      <c r="S99" s="345">
        <f>IF($A99="","",IF(OR('Jan 2027'!G24=TRUE,'Jan 2027'!G24="x",'Jan 2027'!G24="X"),1,0))</f>
        <v/>
      </c>
      <c r="T99" s="345">
        <f>IF($A99="","",IF(OR('Jan 2027'!G25=TRUE,'Jan 2027'!G25="x",'Jan 2027'!G25="X"),1,0))</f>
        <v/>
      </c>
      <c r="U99" s="345">
        <f>IF($A99="","",IF(OR('Jan 2027'!G26=TRUE,'Jan 2027'!G26="x",'Jan 2027'!G26="X"),1,0))</f>
        <v/>
      </c>
      <c r="V99" s="345">
        <f>IF($A99="","",IF(OR('Jan 2027'!G27=TRUE,'Jan 2027'!G27="x",'Jan 2027'!G27="X"),1,0))</f>
        <v/>
      </c>
      <c r="W99" s="345">
        <f>IF($A99="","",IF(OR('Jan 2027'!G28=TRUE,'Jan 2027'!G28="x",'Jan 2027'!G28="X"),1,0))</f>
        <v/>
      </c>
      <c r="X99" s="345">
        <f>IF($A99="","",IF(OR('Jan 2027'!G29=TRUE,'Jan 2027'!G29="x",'Jan 2027'!G29="X"),1,0))</f>
        <v/>
      </c>
      <c r="Y99" s="345">
        <f>IF($A99="","",IF(OR('Jan 2027'!G30=TRUE,'Jan 2027'!G30="x",'Jan 2027'!G30="X"),1,0))</f>
        <v/>
      </c>
      <c r="Z99" s="345">
        <f>IF($A99="","",IF(OR('Jan 2027'!G31=TRUE,'Jan 2027'!G31="x",'Jan 2027'!G31="X"),1,0))</f>
        <v/>
      </c>
      <c r="AA99" s="345">
        <f>IF($A99="","",IF(OR('Jan 2027'!G32=TRUE,'Jan 2027'!G32="x",'Jan 2027'!G32="X"),1,0))</f>
        <v/>
      </c>
      <c r="AB99" s="345">
        <f>IF($A99="","",IF(OR('Jan 2027'!G34=TRUE,'Jan 2027'!G34="x",'Jan 2027'!G34="X"),1,0))</f>
        <v/>
      </c>
      <c r="AC99" s="345">
        <f>IF($A99="","",IF(OR('Jan 2027'!G35=TRUE,'Jan 2027'!G35="x",'Jan 2027'!G35="X"),1,0))</f>
        <v/>
      </c>
      <c r="AD99" s="345">
        <f>IF($A99="","",IF(OR('Jan 2027'!G36=TRUE,'Jan 2027'!G36="x",'Jan 2027'!G36="X"),1,0))</f>
        <v/>
      </c>
      <c r="AE99" s="345">
        <f>IF($A99="","",IF(OR('Jan 2027'!G37=TRUE,'Jan 2027'!G37="x",'Jan 2027'!G37="X"),1,0))</f>
        <v/>
      </c>
      <c r="AF99" s="345">
        <f>IF($A99="","",IF('Jan 2027'!G59="","",'Jan 2027'!G59))</f>
        <v/>
      </c>
      <c r="AG99" s="345">
        <f>IF($A99="","",IF('Jan 2027'!G60="","",'Jan 2027'!G60))</f>
        <v/>
      </c>
      <c r="AH99" s="345">
        <f>IF($A99="","",IF('Jan 2027'!G61="","",'Jan 2027'!G61))</f>
        <v/>
      </c>
      <c r="AI99" s="345">
        <f>IF($A99="","",IF('Jan 2027'!G62="","",'Jan 2027'!G62))</f>
        <v/>
      </c>
      <c r="AJ99" s="345">
        <f>IF($A99="","",IF('Jan 2027'!G63="","",'Jan 2027'!G63))</f>
        <v/>
      </c>
      <c r="AK99" s="345">
        <f>IF($A99="","",IF('Jan 2027'!G64="","",'Jan 2027'!G64))</f>
        <v/>
      </c>
      <c r="AL99" s="345">
        <f>IF($A99="","",IF('Jan 2027'!G65="","",'Jan 2027'!G65))</f>
        <v/>
      </c>
      <c r="AM99" s="345">
        <f>IF($A99="","",IF('Jan 2027'!G66="","",'Jan 2027'!G66))</f>
        <v/>
      </c>
      <c r="AN99" s="345">
        <f>IF($A99="","",IF('Jan 2027'!G67="","",'Jan 2027'!G67))</f>
        <v/>
      </c>
      <c r="AO99" s="345">
        <f>IF($A99="",0,IF(AND($A99&gt;=TrackStart,$A99&lt;=TODAY()),1,0))</f>
        <v/>
      </c>
      <c r="AP99" s="345">
        <f>IF($A99="",0,IF(SUM(F99:AE99)+COUNT(AF99:AN99)&gt;0,1,0))</f>
        <v/>
      </c>
      <c r="AQ99" s="345">
        <f>IF($A99="","",INT(($A99-TrackStart)/7)+1)</f>
        <v/>
      </c>
      <c r="AR99" s="345">
        <f>IF($A99="","",IF(AQ99&lt;=1,Steps1,IF(AQ99=2,Steps2,Steps3)))</f>
        <v/>
      </c>
      <c r="AS99" s="345">
        <f>IF($A99="",0,IF(ISNUMBER(SEARCH(TEXT(D99,"0"),WorkDays&amp;"")),1,0))</f>
        <v/>
      </c>
      <c r="AT99" s="345">
        <f>IF($A99="",0,IF(ISNUMBER(SEARCH(TEXT(D99,"0"),StrDays&amp;"")),1,0))</f>
        <v/>
      </c>
      <c r="AU99" s="345">
        <f>IF($A99="",0,IF(ISNUMBER(AK99),IF(AK99&gt;=SleepMin,1,0),N99))</f>
        <v/>
      </c>
      <c r="AV99" s="345">
        <f>IF($A99="",0,MAX(I99,O99,S99,AC99))</f>
        <v/>
      </c>
      <c r="AW99" s="345">
        <f>IF($A99="",0,IF(ISNUMBER(AH99),IF(AH99&gt;=ProtHit,1,0),0))</f>
        <v/>
      </c>
      <c r="AX99" s="345">
        <f>IF($A99="",0,IF(ISNUMBER(AI99),IF(AI99&gt;=WaterHit,1,0),0))</f>
        <v/>
      </c>
      <c r="AY99" s="345">
        <f>IF($A99="",0,IF(ISNUMBER(AG99),IF(AG99&gt;=AR99,1,0),0))</f>
        <v/>
      </c>
      <c r="AZ99" s="345">
        <f>IF($A99="",0,G99)</f>
        <v/>
      </c>
      <c r="BA99" s="345">
        <f>IF($A99="",0,J99)</f>
        <v/>
      </c>
      <c r="BB99" s="345">
        <f>IF($A99="",0,K99)</f>
        <v/>
      </c>
      <c r="BC99" s="345">
        <f>IF($A99="",0,MAX(L99,AE99))</f>
        <v/>
      </c>
      <c r="BD99" s="344">
        <f>IF($A99="","",(AU99+AV99+AW99+AX99+AY99+AZ99+BB99+BC99+IF(AS99=1,BA99,0))/(8+AS99))</f>
        <v/>
      </c>
      <c r="BE99" s="344">
        <f>IF($A99="","",(IF(ISNUMBER(AI99),IF(AI99&gt;=WaterMVD,1,0),0)+AV99+IF(ISNUMBER(AH99),IF(AH99&gt;=ProtMVD,1,0),0)+MAX(H99,AD99)+AZ99+BB99+AU99)/7)</f>
        <v/>
      </c>
      <c r="BF99" s="344">
        <f>IF(AO99=0,"",IF(E99="S","",IF(AND(AP99=0,$A99=TODAY()),"",IF(E99="M",BE99,BD99))))</f>
        <v/>
      </c>
      <c r="BG99" s="344">
        <f>IF(AO99=0,"",IFERROR(AVERAGEIFS(Data!$BF$4:$BF$375,Data!$A$4:$A$375,"&gt;"&amp;($A99-7),Data!$A$4:$A$375,"&lt;="&amp;$A99),""))</f>
        <v/>
      </c>
      <c r="BH99" s="344">
        <f>IF(AO99=0,"",IFERROR(AVERAGEIFS(Data!$BF$4:$BF$375,Data!$A$4:$A$375,"&gt;"&amp;($A99-30),Data!$A$4:$A$375,"&lt;="&amp;$A99),""))</f>
        <v/>
      </c>
      <c r="BI99" s="359">
        <f>IF($A99="","",IFERROR(AVERAGEIFS(Data!$AF$4:$AF$375,Data!$A$4:$A$375,"&gt;"&amp;($A99-7),Data!$A$4:$A$375,"&lt;="&amp;$A99,Data!$AF$4:$AF$375,"&gt;0"),""))</f>
        <v/>
      </c>
      <c r="BJ99" s="345">
        <f>IF($A99="","",F99+G99+H99+I99+J99+K99+L99+M99+N99-IF(AS99=1,0,J99))</f>
        <v/>
      </c>
      <c r="BK99" s="345">
        <f>IF($A99="","",8+AS99)</f>
        <v/>
      </c>
      <c r="BL99" s="345">
        <f>IF(ISNUMBER(BF99),BF99,NA())</f>
        <v/>
      </c>
      <c r="BM99" s="345">
        <f>IF(ISNUMBER(AF99),AF99,NA())</f>
        <v/>
      </c>
      <c r="BN99" s="345">
        <f>IF(ISNUMBER(BI99),BI99,NA())</f>
        <v/>
      </c>
      <c r="BO99" s="345">
        <f>IF(ISNUMBER(AL99),AL99,NA())</f>
        <v/>
      </c>
      <c r="BP99" s="345">
        <f>IF(ISNUMBER(AM99),AM99,NA())</f>
        <v/>
      </c>
      <c r="BQ99" s="345">
        <f>IF(ISNUMBER(AN99),AN99,NA())</f>
        <v/>
      </c>
    </row>
    <row r="100">
      <c r="A100" s="358">
        <f>IF('Jan 2027'!H7="","",'Jan 2027'!H7)</f>
        <v/>
      </c>
      <c r="B100" s="345" t="n">
        <v>4</v>
      </c>
      <c r="C100" s="345">
        <f>IF($A100="","",4)</f>
        <v/>
      </c>
      <c r="D100" s="345">
        <f>IF($A100="","",WEEKDAY($A100,2))</f>
        <v/>
      </c>
      <c r="E100" s="345">
        <f>IF($A100="","",UPPER(TRIM('Jan 2027'!H8)))</f>
        <v/>
      </c>
      <c r="F100" s="345">
        <f>IF($A100="","",IF(OR('Jan 2027'!H10=TRUE,'Jan 2027'!H10="x",'Jan 2027'!H10="X"),1,0))</f>
        <v/>
      </c>
      <c r="G100" s="345">
        <f>IF($A100="","",IF(OR('Jan 2027'!H11=TRUE,'Jan 2027'!H11="x",'Jan 2027'!H11="X"),1,0))</f>
        <v/>
      </c>
      <c r="H100" s="345">
        <f>IF($A100="","",IF(OR('Jan 2027'!H12=TRUE,'Jan 2027'!H12="x",'Jan 2027'!H12="X"),1,0))</f>
        <v/>
      </c>
      <c r="I100" s="345">
        <f>IF($A100="","",IF(OR('Jan 2027'!H13=TRUE,'Jan 2027'!H13="x",'Jan 2027'!H13="X"),1,0))</f>
        <v/>
      </c>
      <c r="J100" s="345">
        <f>IF($A100="","",IF(OR('Jan 2027'!H14=TRUE,'Jan 2027'!H14="x",'Jan 2027'!H14="X"),1,0))</f>
        <v/>
      </c>
      <c r="K100" s="345">
        <f>IF($A100="","",IF(OR('Jan 2027'!H15=TRUE,'Jan 2027'!H15="x",'Jan 2027'!H15="X"),1,0))</f>
        <v/>
      </c>
      <c r="L100" s="345">
        <f>IF($A100="","",IF(OR('Jan 2027'!H16=TRUE,'Jan 2027'!H16="x",'Jan 2027'!H16="X"),1,0))</f>
        <v/>
      </c>
      <c r="M100" s="345">
        <f>IF($A100="","",IF(OR('Jan 2027'!H17=TRUE,'Jan 2027'!H17="x",'Jan 2027'!H17="X"),1,0))</f>
        <v/>
      </c>
      <c r="N100" s="345">
        <f>IF($A100="","",IF(OR('Jan 2027'!H18=TRUE,'Jan 2027'!H18="x",'Jan 2027'!H18="X"),1,0))</f>
        <v/>
      </c>
      <c r="O100" s="345">
        <f>IF($A100="","",IF(OR('Jan 2027'!H20=TRUE,'Jan 2027'!H20="x",'Jan 2027'!H20="X"),1,0))</f>
        <v/>
      </c>
      <c r="P100" s="345">
        <f>IF($A100="","",IF(OR('Jan 2027'!H21=TRUE,'Jan 2027'!H21="x",'Jan 2027'!H21="X"),1,0))</f>
        <v/>
      </c>
      <c r="Q100" s="345">
        <f>IF($A100="","",IF(OR('Jan 2027'!H22=TRUE,'Jan 2027'!H22="x",'Jan 2027'!H22="X"),1,0))</f>
        <v/>
      </c>
      <c r="R100" s="345">
        <f>IF($A100="","",IF(OR('Jan 2027'!H23=TRUE,'Jan 2027'!H23="x",'Jan 2027'!H23="X"),1,0))</f>
        <v/>
      </c>
      <c r="S100" s="345">
        <f>IF($A100="","",IF(OR('Jan 2027'!H24=TRUE,'Jan 2027'!H24="x",'Jan 2027'!H24="X"),1,0))</f>
        <v/>
      </c>
      <c r="T100" s="345">
        <f>IF($A100="","",IF(OR('Jan 2027'!H25=TRUE,'Jan 2027'!H25="x",'Jan 2027'!H25="X"),1,0))</f>
        <v/>
      </c>
      <c r="U100" s="345">
        <f>IF($A100="","",IF(OR('Jan 2027'!H26=TRUE,'Jan 2027'!H26="x",'Jan 2027'!H26="X"),1,0))</f>
        <v/>
      </c>
      <c r="V100" s="345">
        <f>IF($A100="","",IF(OR('Jan 2027'!H27=TRUE,'Jan 2027'!H27="x",'Jan 2027'!H27="X"),1,0))</f>
        <v/>
      </c>
      <c r="W100" s="345">
        <f>IF($A100="","",IF(OR('Jan 2027'!H28=TRUE,'Jan 2027'!H28="x",'Jan 2027'!H28="X"),1,0))</f>
        <v/>
      </c>
      <c r="X100" s="345">
        <f>IF($A100="","",IF(OR('Jan 2027'!H29=TRUE,'Jan 2027'!H29="x",'Jan 2027'!H29="X"),1,0))</f>
        <v/>
      </c>
      <c r="Y100" s="345">
        <f>IF($A100="","",IF(OR('Jan 2027'!H30=TRUE,'Jan 2027'!H30="x",'Jan 2027'!H30="X"),1,0))</f>
        <v/>
      </c>
      <c r="Z100" s="345">
        <f>IF($A100="","",IF(OR('Jan 2027'!H31=TRUE,'Jan 2027'!H31="x",'Jan 2027'!H31="X"),1,0))</f>
        <v/>
      </c>
      <c r="AA100" s="345">
        <f>IF($A100="","",IF(OR('Jan 2027'!H32=TRUE,'Jan 2027'!H32="x",'Jan 2027'!H32="X"),1,0))</f>
        <v/>
      </c>
      <c r="AB100" s="345">
        <f>IF($A100="","",IF(OR('Jan 2027'!H34=TRUE,'Jan 2027'!H34="x",'Jan 2027'!H34="X"),1,0))</f>
        <v/>
      </c>
      <c r="AC100" s="345">
        <f>IF($A100="","",IF(OR('Jan 2027'!H35=TRUE,'Jan 2027'!H35="x",'Jan 2027'!H35="X"),1,0))</f>
        <v/>
      </c>
      <c r="AD100" s="345">
        <f>IF($A100="","",IF(OR('Jan 2027'!H36=TRUE,'Jan 2027'!H36="x",'Jan 2027'!H36="X"),1,0))</f>
        <v/>
      </c>
      <c r="AE100" s="345">
        <f>IF($A100="","",IF(OR('Jan 2027'!H37=TRUE,'Jan 2027'!H37="x",'Jan 2027'!H37="X"),1,0))</f>
        <v/>
      </c>
      <c r="AF100" s="345">
        <f>IF($A100="","",IF('Jan 2027'!H59="","",'Jan 2027'!H59))</f>
        <v/>
      </c>
      <c r="AG100" s="345">
        <f>IF($A100="","",IF('Jan 2027'!H60="","",'Jan 2027'!H60))</f>
        <v/>
      </c>
      <c r="AH100" s="345">
        <f>IF($A100="","",IF('Jan 2027'!H61="","",'Jan 2027'!H61))</f>
        <v/>
      </c>
      <c r="AI100" s="345">
        <f>IF($A100="","",IF('Jan 2027'!H62="","",'Jan 2027'!H62))</f>
        <v/>
      </c>
      <c r="AJ100" s="345">
        <f>IF($A100="","",IF('Jan 2027'!H63="","",'Jan 2027'!H63))</f>
        <v/>
      </c>
      <c r="AK100" s="345">
        <f>IF($A100="","",IF('Jan 2027'!H64="","",'Jan 2027'!H64))</f>
        <v/>
      </c>
      <c r="AL100" s="345">
        <f>IF($A100="","",IF('Jan 2027'!H65="","",'Jan 2027'!H65))</f>
        <v/>
      </c>
      <c r="AM100" s="345">
        <f>IF($A100="","",IF('Jan 2027'!H66="","",'Jan 2027'!H66))</f>
        <v/>
      </c>
      <c r="AN100" s="345">
        <f>IF($A100="","",IF('Jan 2027'!H67="","",'Jan 2027'!H67))</f>
        <v/>
      </c>
      <c r="AO100" s="345">
        <f>IF($A100="",0,IF(AND($A100&gt;=TrackStart,$A100&lt;=TODAY()),1,0))</f>
        <v/>
      </c>
      <c r="AP100" s="345">
        <f>IF($A100="",0,IF(SUM(F100:AE100)+COUNT(AF100:AN100)&gt;0,1,0))</f>
        <v/>
      </c>
      <c r="AQ100" s="345">
        <f>IF($A100="","",INT(($A100-TrackStart)/7)+1)</f>
        <v/>
      </c>
      <c r="AR100" s="345">
        <f>IF($A100="","",IF(AQ100&lt;=1,Steps1,IF(AQ100=2,Steps2,Steps3)))</f>
        <v/>
      </c>
      <c r="AS100" s="345">
        <f>IF($A100="",0,IF(ISNUMBER(SEARCH(TEXT(D100,"0"),WorkDays&amp;"")),1,0))</f>
        <v/>
      </c>
      <c r="AT100" s="345">
        <f>IF($A100="",0,IF(ISNUMBER(SEARCH(TEXT(D100,"0"),StrDays&amp;"")),1,0))</f>
        <v/>
      </c>
      <c r="AU100" s="345">
        <f>IF($A100="",0,IF(ISNUMBER(AK100),IF(AK100&gt;=SleepMin,1,0),N100))</f>
        <v/>
      </c>
      <c r="AV100" s="345">
        <f>IF($A100="",0,MAX(I100,O100,S100,AC100))</f>
        <v/>
      </c>
      <c r="AW100" s="345">
        <f>IF($A100="",0,IF(ISNUMBER(AH100),IF(AH100&gt;=ProtHit,1,0),0))</f>
        <v/>
      </c>
      <c r="AX100" s="345">
        <f>IF($A100="",0,IF(ISNUMBER(AI100),IF(AI100&gt;=WaterHit,1,0),0))</f>
        <v/>
      </c>
      <c r="AY100" s="345">
        <f>IF($A100="",0,IF(ISNUMBER(AG100),IF(AG100&gt;=AR100,1,0),0))</f>
        <v/>
      </c>
      <c r="AZ100" s="345">
        <f>IF($A100="",0,G100)</f>
        <v/>
      </c>
      <c r="BA100" s="345">
        <f>IF($A100="",0,J100)</f>
        <v/>
      </c>
      <c r="BB100" s="345">
        <f>IF($A100="",0,K100)</f>
        <v/>
      </c>
      <c r="BC100" s="345">
        <f>IF($A100="",0,MAX(L100,AE100))</f>
        <v/>
      </c>
      <c r="BD100" s="344">
        <f>IF($A100="","",(AU100+AV100+AW100+AX100+AY100+AZ100+BB100+BC100+IF(AS100=1,BA100,0))/(8+AS100))</f>
        <v/>
      </c>
      <c r="BE100" s="344">
        <f>IF($A100="","",(IF(ISNUMBER(AI100),IF(AI100&gt;=WaterMVD,1,0),0)+AV100+IF(ISNUMBER(AH100),IF(AH100&gt;=ProtMVD,1,0),0)+MAX(H100,AD100)+AZ100+BB100+AU100)/7)</f>
        <v/>
      </c>
      <c r="BF100" s="344">
        <f>IF(AO100=0,"",IF(E100="S","",IF(AND(AP100=0,$A100=TODAY()),"",IF(E100="M",BE100,BD100))))</f>
        <v/>
      </c>
      <c r="BG100" s="344">
        <f>IF(AO100=0,"",IFERROR(AVERAGEIFS(Data!$BF$4:$BF$375,Data!$A$4:$A$375,"&gt;"&amp;($A100-7),Data!$A$4:$A$375,"&lt;="&amp;$A100),""))</f>
        <v/>
      </c>
      <c r="BH100" s="344">
        <f>IF(AO100=0,"",IFERROR(AVERAGEIFS(Data!$BF$4:$BF$375,Data!$A$4:$A$375,"&gt;"&amp;($A100-30),Data!$A$4:$A$375,"&lt;="&amp;$A100),""))</f>
        <v/>
      </c>
      <c r="BI100" s="359">
        <f>IF($A100="","",IFERROR(AVERAGEIFS(Data!$AF$4:$AF$375,Data!$A$4:$A$375,"&gt;"&amp;($A100-7),Data!$A$4:$A$375,"&lt;="&amp;$A100,Data!$AF$4:$AF$375,"&gt;0"),""))</f>
        <v/>
      </c>
      <c r="BJ100" s="345">
        <f>IF($A100="","",F100+G100+H100+I100+J100+K100+L100+M100+N100-IF(AS100=1,0,J100))</f>
        <v/>
      </c>
      <c r="BK100" s="345">
        <f>IF($A100="","",8+AS100)</f>
        <v/>
      </c>
      <c r="BL100" s="345">
        <f>IF(ISNUMBER(BF100),BF100,NA())</f>
        <v/>
      </c>
      <c r="BM100" s="345">
        <f>IF(ISNUMBER(AF100),AF100,NA())</f>
        <v/>
      </c>
      <c r="BN100" s="345">
        <f>IF(ISNUMBER(BI100),BI100,NA())</f>
        <v/>
      </c>
      <c r="BO100" s="345">
        <f>IF(ISNUMBER(AL100),AL100,NA())</f>
        <v/>
      </c>
      <c r="BP100" s="345">
        <f>IF(ISNUMBER(AM100),AM100,NA())</f>
        <v/>
      </c>
      <c r="BQ100" s="345">
        <f>IF(ISNUMBER(AN100),AN100,NA())</f>
        <v/>
      </c>
    </row>
    <row r="101">
      <c r="A101" s="358">
        <f>IF('Jan 2027'!I7="","",'Jan 2027'!I7)</f>
        <v/>
      </c>
      <c r="B101" s="345" t="n">
        <v>4</v>
      </c>
      <c r="C101" s="345">
        <f>IF($A101="","",5)</f>
        <v/>
      </c>
      <c r="D101" s="345">
        <f>IF($A101="","",WEEKDAY($A101,2))</f>
        <v/>
      </c>
      <c r="E101" s="345">
        <f>IF($A101="","",UPPER(TRIM('Jan 2027'!I8)))</f>
        <v/>
      </c>
      <c r="F101" s="345">
        <f>IF($A101="","",IF(OR('Jan 2027'!I10=TRUE,'Jan 2027'!I10="x",'Jan 2027'!I10="X"),1,0))</f>
        <v/>
      </c>
      <c r="G101" s="345">
        <f>IF($A101="","",IF(OR('Jan 2027'!I11=TRUE,'Jan 2027'!I11="x",'Jan 2027'!I11="X"),1,0))</f>
        <v/>
      </c>
      <c r="H101" s="345">
        <f>IF($A101="","",IF(OR('Jan 2027'!I12=TRUE,'Jan 2027'!I12="x",'Jan 2027'!I12="X"),1,0))</f>
        <v/>
      </c>
      <c r="I101" s="345">
        <f>IF($A101="","",IF(OR('Jan 2027'!I13=TRUE,'Jan 2027'!I13="x",'Jan 2027'!I13="X"),1,0))</f>
        <v/>
      </c>
      <c r="J101" s="345">
        <f>IF($A101="","",IF(OR('Jan 2027'!I14=TRUE,'Jan 2027'!I14="x",'Jan 2027'!I14="X"),1,0))</f>
        <v/>
      </c>
      <c r="K101" s="345">
        <f>IF($A101="","",IF(OR('Jan 2027'!I15=TRUE,'Jan 2027'!I15="x",'Jan 2027'!I15="X"),1,0))</f>
        <v/>
      </c>
      <c r="L101" s="345">
        <f>IF($A101="","",IF(OR('Jan 2027'!I16=TRUE,'Jan 2027'!I16="x",'Jan 2027'!I16="X"),1,0))</f>
        <v/>
      </c>
      <c r="M101" s="345">
        <f>IF($A101="","",IF(OR('Jan 2027'!I17=TRUE,'Jan 2027'!I17="x",'Jan 2027'!I17="X"),1,0))</f>
        <v/>
      </c>
      <c r="N101" s="345">
        <f>IF($A101="","",IF(OR('Jan 2027'!I18=TRUE,'Jan 2027'!I18="x",'Jan 2027'!I18="X"),1,0))</f>
        <v/>
      </c>
      <c r="O101" s="345">
        <f>IF($A101="","",IF(OR('Jan 2027'!I20=TRUE,'Jan 2027'!I20="x",'Jan 2027'!I20="X"),1,0))</f>
        <v/>
      </c>
      <c r="P101" s="345">
        <f>IF($A101="","",IF(OR('Jan 2027'!I21=TRUE,'Jan 2027'!I21="x",'Jan 2027'!I21="X"),1,0))</f>
        <v/>
      </c>
      <c r="Q101" s="345">
        <f>IF($A101="","",IF(OR('Jan 2027'!I22=TRUE,'Jan 2027'!I22="x",'Jan 2027'!I22="X"),1,0))</f>
        <v/>
      </c>
      <c r="R101" s="345">
        <f>IF($A101="","",IF(OR('Jan 2027'!I23=TRUE,'Jan 2027'!I23="x",'Jan 2027'!I23="X"),1,0))</f>
        <v/>
      </c>
      <c r="S101" s="345">
        <f>IF($A101="","",IF(OR('Jan 2027'!I24=TRUE,'Jan 2027'!I24="x",'Jan 2027'!I24="X"),1,0))</f>
        <v/>
      </c>
      <c r="T101" s="345">
        <f>IF($A101="","",IF(OR('Jan 2027'!I25=TRUE,'Jan 2027'!I25="x",'Jan 2027'!I25="X"),1,0))</f>
        <v/>
      </c>
      <c r="U101" s="345">
        <f>IF($A101="","",IF(OR('Jan 2027'!I26=TRUE,'Jan 2027'!I26="x",'Jan 2027'!I26="X"),1,0))</f>
        <v/>
      </c>
      <c r="V101" s="345">
        <f>IF($A101="","",IF(OR('Jan 2027'!I27=TRUE,'Jan 2027'!I27="x",'Jan 2027'!I27="X"),1,0))</f>
        <v/>
      </c>
      <c r="W101" s="345">
        <f>IF($A101="","",IF(OR('Jan 2027'!I28=TRUE,'Jan 2027'!I28="x",'Jan 2027'!I28="X"),1,0))</f>
        <v/>
      </c>
      <c r="X101" s="345">
        <f>IF($A101="","",IF(OR('Jan 2027'!I29=TRUE,'Jan 2027'!I29="x",'Jan 2027'!I29="X"),1,0))</f>
        <v/>
      </c>
      <c r="Y101" s="345">
        <f>IF($A101="","",IF(OR('Jan 2027'!I30=TRUE,'Jan 2027'!I30="x",'Jan 2027'!I30="X"),1,0))</f>
        <v/>
      </c>
      <c r="Z101" s="345">
        <f>IF($A101="","",IF(OR('Jan 2027'!I31=TRUE,'Jan 2027'!I31="x",'Jan 2027'!I31="X"),1,0))</f>
        <v/>
      </c>
      <c r="AA101" s="345">
        <f>IF($A101="","",IF(OR('Jan 2027'!I32=TRUE,'Jan 2027'!I32="x",'Jan 2027'!I32="X"),1,0))</f>
        <v/>
      </c>
      <c r="AB101" s="345">
        <f>IF($A101="","",IF(OR('Jan 2027'!I34=TRUE,'Jan 2027'!I34="x",'Jan 2027'!I34="X"),1,0))</f>
        <v/>
      </c>
      <c r="AC101" s="345">
        <f>IF($A101="","",IF(OR('Jan 2027'!I35=TRUE,'Jan 2027'!I35="x",'Jan 2027'!I35="X"),1,0))</f>
        <v/>
      </c>
      <c r="AD101" s="345">
        <f>IF($A101="","",IF(OR('Jan 2027'!I36=TRUE,'Jan 2027'!I36="x",'Jan 2027'!I36="X"),1,0))</f>
        <v/>
      </c>
      <c r="AE101" s="345">
        <f>IF($A101="","",IF(OR('Jan 2027'!I37=TRUE,'Jan 2027'!I37="x",'Jan 2027'!I37="X"),1,0))</f>
        <v/>
      </c>
      <c r="AF101" s="345">
        <f>IF($A101="","",IF('Jan 2027'!I59="","",'Jan 2027'!I59))</f>
        <v/>
      </c>
      <c r="AG101" s="345">
        <f>IF($A101="","",IF('Jan 2027'!I60="","",'Jan 2027'!I60))</f>
        <v/>
      </c>
      <c r="AH101" s="345">
        <f>IF($A101="","",IF('Jan 2027'!I61="","",'Jan 2027'!I61))</f>
        <v/>
      </c>
      <c r="AI101" s="345">
        <f>IF($A101="","",IF('Jan 2027'!I62="","",'Jan 2027'!I62))</f>
        <v/>
      </c>
      <c r="AJ101" s="345">
        <f>IF($A101="","",IF('Jan 2027'!I63="","",'Jan 2027'!I63))</f>
        <v/>
      </c>
      <c r="AK101" s="345">
        <f>IF($A101="","",IF('Jan 2027'!I64="","",'Jan 2027'!I64))</f>
        <v/>
      </c>
      <c r="AL101" s="345">
        <f>IF($A101="","",IF('Jan 2027'!I65="","",'Jan 2027'!I65))</f>
        <v/>
      </c>
      <c r="AM101" s="345">
        <f>IF($A101="","",IF('Jan 2027'!I66="","",'Jan 2027'!I66))</f>
        <v/>
      </c>
      <c r="AN101" s="345">
        <f>IF($A101="","",IF('Jan 2027'!I67="","",'Jan 2027'!I67))</f>
        <v/>
      </c>
      <c r="AO101" s="345">
        <f>IF($A101="",0,IF(AND($A101&gt;=TrackStart,$A101&lt;=TODAY()),1,0))</f>
        <v/>
      </c>
      <c r="AP101" s="345">
        <f>IF($A101="",0,IF(SUM(F101:AE101)+COUNT(AF101:AN101)&gt;0,1,0))</f>
        <v/>
      </c>
      <c r="AQ101" s="345">
        <f>IF($A101="","",INT(($A101-TrackStart)/7)+1)</f>
        <v/>
      </c>
      <c r="AR101" s="345">
        <f>IF($A101="","",IF(AQ101&lt;=1,Steps1,IF(AQ101=2,Steps2,Steps3)))</f>
        <v/>
      </c>
      <c r="AS101" s="345">
        <f>IF($A101="",0,IF(ISNUMBER(SEARCH(TEXT(D101,"0"),WorkDays&amp;"")),1,0))</f>
        <v/>
      </c>
      <c r="AT101" s="345">
        <f>IF($A101="",0,IF(ISNUMBER(SEARCH(TEXT(D101,"0"),StrDays&amp;"")),1,0))</f>
        <v/>
      </c>
      <c r="AU101" s="345">
        <f>IF($A101="",0,IF(ISNUMBER(AK101),IF(AK101&gt;=SleepMin,1,0),N101))</f>
        <v/>
      </c>
      <c r="AV101" s="345">
        <f>IF($A101="",0,MAX(I101,O101,S101,AC101))</f>
        <v/>
      </c>
      <c r="AW101" s="345">
        <f>IF($A101="",0,IF(ISNUMBER(AH101),IF(AH101&gt;=ProtHit,1,0),0))</f>
        <v/>
      </c>
      <c r="AX101" s="345">
        <f>IF($A101="",0,IF(ISNUMBER(AI101),IF(AI101&gt;=WaterHit,1,0),0))</f>
        <v/>
      </c>
      <c r="AY101" s="345">
        <f>IF($A101="",0,IF(ISNUMBER(AG101),IF(AG101&gt;=AR101,1,0),0))</f>
        <v/>
      </c>
      <c r="AZ101" s="345">
        <f>IF($A101="",0,G101)</f>
        <v/>
      </c>
      <c r="BA101" s="345">
        <f>IF($A101="",0,J101)</f>
        <v/>
      </c>
      <c r="BB101" s="345">
        <f>IF($A101="",0,K101)</f>
        <v/>
      </c>
      <c r="BC101" s="345">
        <f>IF($A101="",0,MAX(L101,AE101))</f>
        <v/>
      </c>
      <c r="BD101" s="344">
        <f>IF($A101="","",(AU101+AV101+AW101+AX101+AY101+AZ101+BB101+BC101+IF(AS101=1,BA101,0))/(8+AS101))</f>
        <v/>
      </c>
      <c r="BE101" s="344">
        <f>IF($A101="","",(IF(ISNUMBER(AI101),IF(AI101&gt;=WaterMVD,1,0),0)+AV101+IF(ISNUMBER(AH101),IF(AH101&gt;=ProtMVD,1,0),0)+MAX(H101,AD101)+AZ101+BB101+AU101)/7)</f>
        <v/>
      </c>
      <c r="BF101" s="344">
        <f>IF(AO101=0,"",IF(E101="S","",IF(AND(AP101=0,$A101=TODAY()),"",IF(E101="M",BE101,BD101))))</f>
        <v/>
      </c>
      <c r="BG101" s="344">
        <f>IF(AO101=0,"",IFERROR(AVERAGEIFS(Data!$BF$4:$BF$375,Data!$A$4:$A$375,"&gt;"&amp;($A101-7),Data!$A$4:$A$375,"&lt;="&amp;$A101),""))</f>
        <v/>
      </c>
      <c r="BH101" s="344">
        <f>IF(AO101=0,"",IFERROR(AVERAGEIFS(Data!$BF$4:$BF$375,Data!$A$4:$A$375,"&gt;"&amp;($A101-30),Data!$A$4:$A$375,"&lt;="&amp;$A101),""))</f>
        <v/>
      </c>
      <c r="BI101" s="359">
        <f>IF($A101="","",IFERROR(AVERAGEIFS(Data!$AF$4:$AF$375,Data!$A$4:$A$375,"&gt;"&amp;($A101-7),Data!$A$4:$A$375,"&lt;="&amp;$A101,Data!$AF$4:$AF$375,"&gt;0"),""))</f>
        <v/>
      </c>
      <c r="BJ101" s="345">
        <f>IF($A101="","",F101+G101+H101+I101+J101+K101+L101+M101+N101-IF(AS101=1,0,J101))</f>
        <v/>
      </c>
      <c r="BK101" s="345">
        <f>IF($A101="","",8+AS101)</f>
        <v/>
      </c>
      <c r="BL101" s="345">
        <f>IF(ISNUMBER(BF101),BF101,NA())</f>
        <v/>
      </c>
      <c r="BM101" s="345">
        <f>IF(ISNUMBER(AF101),AF101,NA())</f>
        <v/>
      </c>
      <c r="BN101" s="345">
        <f>IF(ISNUMBER(BI101),BI101,NA())</f>
        <v/>
      </c>
      <c r="BO101" s="345">
        <f>IF(ISNUMBER(AL101),AL101,NA())</f>
        <v/>
      </c>
      <c r="BP101" s="345">
        <f>IF(ISNUMBER(AM101),AM101,NA())</f>
        <v/>
      </c>
      <c r="BQ101" s="345">
        <f>IF(ISNUMBER(AN101),AN101,NA())</f>
        <v/>
      </c>
    </row>
    <row r="102">
      <c r="A102" s="358">
        <f>IF('Jan 2027'!J7="","",'Jan 2027'!J7)</f>
        <v/>
      </c>
      <c r="B102" s="345" t="n">
        <v>4</v>
      </c>
      <c r="C102" s="345">
        <f>IF($A102="","",6)</f>
        <v/>
      </c>
      <c r="D102" s="345">
        <f>IF($A102="","",WEEKDAY($A102,2))</f>
        <v/>
      </c>
      <c r="E102" s="345">
        <f>IF($A102="","",UPPER(TRIM('Jan 2027'!J8)))</f>
        <v/>
      </c>
      <c r="F102" s="345">
        <f>IF($A102="","",IF(OR('Jan 2027'!J10=TRUE,'Jan 2027'!J10="x",'Jan 2027'!J10="X"),1,0))</f>
        <v/>
      </c>
      <c r="G102" s="345">
        <f>IF($A102="","",IF(OR('Jan 2027'!J11=TRUE,'Jan 2027'!J11="x",'Jan 2027'!J11="X"),1,0))</f>
        <v/>
      </c>
      <c r="H102" s="345">
        <f>IF($A102="","",IF(OR('Jan 2027'!J12=TRUE,'Jan 2027'!J12="x",'Jan 2027'!J12="X"),1,0))</f>
        <v/>
      </c>
      <c r="I102" s="345">
        <f>IF($A102="","",IF(OR('Jan 2027'!J13=TRUE,'Jan 2027'!J13="x",'Jan 2027'!J13="X"),1,0))</f>
        <v/>
      </c>
      <c r="J102" s="345">
        <f>IF($A102="","",IF(OR('Jan 2027'!J14=TRUE,'Jan 2027'!J14="x",'Jan 2027'!J14="X"),1,0))</f>
        <v/>
      </c>
      <c r="K102" s="345">
        <f>IF($A102="","",IF(OR('Jan 2027'!J15=TRUE,'Jan 2027'!J15="x",'Jan 2027'!J15="X"),1,0))</f>
        <v/>
      </c>
      <c r="L102" s="345">
        <f>IF($A102="","",IF(OR('Jan 2027'!J16=TRUE,'Jan 2027'!J16="x",'Jan 2027'!J16="X"),1,0))</f>
        <v/>
      </c>
      <c r="M102" s="345">
        <f>IF($A102="","",IF(OR('Jan 2027'!J17=TRUE,'Jan 2027'!J17="x",'Jan 2027'!J17="X"),1,0))</f>
        <v/>
      </c>
      <c r="N102" s="345">
        <f>IF($A102="","",IF(OR('Jan 2027'!J18=TRUE,'Jan 2027'!J18="x",'Jan 2027'!J18="X"),1,0))</f>
        <v/>
      </c>
      <c r="O102" s="345">
        <f>IF($A102="","",IF(OR('Jan 2027'!J20=TRUE,'Jan 2027'!J20="x",'Jan 2027'!J20="X"),1,0))</f>
        <v/>
      </c>
      <c r="P102" s="345">
        <f>IF($A102="","",IF(OR('Jan 2027'!J21=TRUE,'Jan 2027'!J21="x",'Jan 2027'!J21="X"),1,0))</f>
        <v/>
      </c>
      <c r="Q102" s="345">
        <f>IF($A102="","",IF(OR('Jan 2027'!J22=TRUE,'Jan 2027'!J22="x",'Jan 2027'!J22="X"),1,0))</f>
        <v/>
      </c>
      <c r="R102" s="345">
        <f>IF($A102="","",IF(OR('Jan 2027'!J23=TRUE,'Jan 2027'!J23="x",'Jan 2027'!J23="X"),1,0))</f>
        <v/>
      </c>
      <c r="S102" s="345">
        <f>IF($A102="","",IF(OR('Jan 2027'!J24=TRUE,'Jan 2027'!J24="x",'Jan 2027'!J24="X"),1,0))</f>
        <v/>
      </c>
      <c r="T102" s="345">
        <f>IF($A102="","",IF(OR('Jan 2027'!J25=TRUE,'Jan 2027'!J25="x",'Jan 2027'!J25="X"),1,0))</f>
        <v/>
      </c>
      <c r="U102" s="345">
        <f>IF($A102="","",IF(OR('Jan 2027'!J26=TRUE,'Jan 2027'!J26="x",'Jan 2027'!J26="X"),1,0))</f>
        <v/>
      </c>
      <c r="V102" s="345">
        <f>IF($A102="","",IF(OR('Jan 2027'!J27=TRUE,'Jan 2027'!J27="x",'Jan 2027'!J27="X"),1,0))</f>
        <v/>
      </c>
      <c r="W102" s="345">
        <f>IF($A102="","",IF(OR('Jan 2027'!J28=TRUE,'Jan 2027'!J28="x",'Jan 2027'!J28="X"),1,0))</f>
        <v/>
      </c>
      <c r="X102" s="345">
        <f>IF($A102="","",IF(OR('Jan 2027'!J29=TRUE,'Jan 2027'!J29="x",'Jan 2027'!J29="X"),1,0))</f>
        <v/>
      </c>
      <c r="Y102" s="345">
        <f>IF($A102="","",IF(OR('Jan 2027'!J30=TRUE,'Jan 2027'!J30="x",'Jan 2027'!J30="X"),1,0))</f>
        <v/>
      </c>
      <c r="Z102" s="345">
        <f>IF($A102="","",IF(OR('Jan 2027'!J31=TRUE,'Jan 2027'!J31="x",'Jan 2027'!J31="X"),1,0))</f>
        <v/>
      </c>
      <c r="AA102" s="345">
        <f>IF($A102="","",IF(OR('Jan 2027'!J32=TRUE,'Jan 2027'!J32="x",'Jan 2027'!J32="X"),1,0))</f>
        <v/>
      </c>
      <c r="AB102" s="345">
        <f>IF($A102="","",IF(OR('Jan 2027'!J34=TRUE,'Jan 2027'!J34="x",'Jan 2027'!J34="X"),1,0))</f>
        <v/>
      </c>
      <c r="AC102" s="345">
        <f>IF($A102="","",IF(OR('Jan 2027'!J35=TRUE,'Jan 2027'!J35="x",'Jan 2027'!J35="X"),1,0))</f>
        <v/>
      </c>
      <c r="AD102" s="345">
        <f>IF($A102="","",IF(OR('Jan 2027'!J36=TRUE,'Jan 2027'!J36="x",'Jan 2027'!J36="X"),1,0))</f>
        <v/>
      </c>
      <c r="AE102" s="345">
        <f>IF($A102="","",IF(OR('Jan 2027'!J37=TRUE,'Jan 2027'!J37="x",'Jan 2027'!J37="X"),1,0))</f>
        <v/>
      </c>
      <c r="AF102" s="345">
        <f>IF($A102="","",IF('Jan 2027'!J59="","",'Jan 2027'!J59))</f>
        <v/>
      </c>
      <c r="AG102" s="345">
        <f>IF($A102="","",IF('Jan 2027'!J60="","",'Jan 2027'!J60))</f>
        <v/>
      </c>
      <c r="AH102" s="345">
        <f>IF($A102="","",IF('Jan 2027'!J61="","",'Jan 2027'!J61))</f>
        <v/>
      </c>
      <c r="AI102" s="345">
        <f>IF($A102="","",IF('Jan 2027'!J62="","",'Jan 2027'!J62))</f>
        <v/>
      </c>
      <c r="AJ102" s="345">
        <f>IF($A102="","",IF('Jan 2027'!J63="","",'Jan 2027'!J63))</f>
        <v/>
      </c>
      <c r="AK102" s="345">
        <f>IF($A102="","",IF('Jan 2027'!J64="","",'Jan 2027'!J64))</f>
        <v/>
      </c>
      <c r="AL102" s="345">
        <f>IF($A102="","",IF('Jan 2027'!J65="","",'Jan 2027'!J65))</f>
        <v/>
      </c>
      <c r="AM102" s="345">
        <f>IF($A102="","",IF('Jan 2027'!J66="","",'Jan 2027'!J66))</f>
        <v/>
      </c>
      <c r="AN102" s="345">
        <f>IF($A102="","",IF('Jan 2027'!J67="","",'Jan 2027'!J67))</f>
        <v/>
      </c>
      <c r="AO102" s="345">
        <f>IF($A102="",0,IF(AND($A102&gt;=TrackStart,$A102&lt;=TODAY()),1,0))</f>
        <v/>
      </c>
      <c r="AP102" s="345">
        <f>IF($A102="",0,IF(SUM(F102:AE102)+COUNT(AF102:AN102)&gt;0,1,0))</f>
        <v/>
      </c>
      <c r="AQ102" s="345">
        <f>IF($A102="","",INT(($A102-TrackStart)/7)+1)</f>
        <v/>
      </c>
      <c r="AR102" s="345">
        <f>IF($A102="","",IF(AQ102&lt;=1,Steps1,IF(AQ102=2,Steps2,Steps3)))</f>
        <v/>
      </c>
      <c r="AS102" s="345">
        <f>IF($A102="",0,IF(ISNUMBER(SEARCH(TEXT(D102,"0"),WorkDays&amp;"")),1,0))</f>
        <v/>
      </c>
      <c r="AT102" s="345">
        <f>IF($A102="",0,IF(ISNUMBER(SEARCH(TEXT(D102,"0"),StrDays&amp;"")),1,0))</f>
        <v/>
      </c>
      <c r="AU102" s="345">
        <f>IF($A102="",0,IF(ISNUMBER(AK102),IF(AK102&gt;=SleepMin,1,0),N102))</f>
        <v/>
      </c>
      <c r="AV102" s="345">
        <f>IF($A102="",0,MAX(I102,O102,S102,AC102))</f>
        <v/>
      </c>
      <c r="AW102" s="345">
        <f>IF($A102="",0,IF(ISNUMBER(AH102),IF(AH102&gt;=ProtHit,1,0),0))</f>
        <v/>
      </c>
      <c r="AX102" s="345">
        <f>IF($A102="",0,IF(ISNUMBER(AI102),IF(AI102&gt;=WaterHit,1,0),0))</f>
        <v/>
      </c>
      <c r="AY102" s="345">
        <f>IF($A102="",0,IF(ISNUMBER(AG102),IF(AG102&gt;=AR102,1,0),0))</f>
        <v/>
      </c>
      <c r="AZ102" s="345">
        <f>IF($A102="",0,G102)</f>
        <v/>
      </c>
      <c r="BA102" s="345">
        <f>IF($A102="",0,J102)</f>
        <v/>
      </c>
      <c r="BB102" s="345">
        <f>IF($A102="",0,K102)</f>
        <v/>
      </c>
      <c r="BC102" s="345">
        <f>IF($A102="",0,MAX(L102,AE102))</f>
        <v/>
      </c>
      <c r="BD102" s="344">
        <f>IF($A102="","",(AU102+AV102+AW102+AX102+AY102+AZ102+BB102+BC102+IF(AS102=1,BA102,0))/(8+AS102))</f>
        <v/>
      </c>
      <c r="BE102" s="344">
        <f>IF($A102="","",(IF(ISNUMBER(AI102),IF(AI102&gt;=WaterMVD,1,0),0)+AV102+IF(ISNUMBER(AH102),IF(AH102&gt;=ProtMVD,1,0),0)+MAX(H102,AD102)+AZ102+BB102+AU102)/7)</f>
        <v/>
      </c>
      <c r="BF102" s="344">
        <f>IF(AO102=0,"",IF(E102="S","",IF(AND(AP102=0,$A102=TODAY()),"",IF(E102="M",BE102,BD102))))</f>
        <v/>
      </c>
      <c r="BG102" s="344">
        <f>IF(AO102=0,"",IFERROR(AVERAGEIFS(Data!$BF$4:$BF$375,Data!$A$4:$A$375,"&gt;"&amp;($A102-7),Data!$A$4:$A$375,"&lt;="&amp;$A102),""))</f>
        <v/>
      </c>
      <c r="BH102" s="344">
        <f>IF(AO102=0,"",IFERROR(AVERAGEIFS(Data!$BF$4:$BF$375,Data!$A$4:$A$375,"&gt;"&amp;($A102-30),Data!$A$4:$A$375,"&lt;="&amp;$A102),""))</f>
        <v/>
      </c>
      <c r="BI102" s="359">
        <f>IF($A102="","",IFERROR(AVERAGEIFS(Data!$AF$4:$AF$375,Data!$A$4:$A$375,"&gt;"&amp;($A102-7),Data!$A$4:$A$375,"&lt;="&amp;$A102,Data!$AF$4:$AF$375,"&gt;0"),""))</f>
        <v/>
      </c>
      <c r="BJ102" s="345">
        <f>IF($A102="","",F102+G102+H102+I102+J102+K102+L102+M102+N102-IF(AS102=1,0,J102))</f>
        <v/>
      </c>
      <c r="BK102" s="345">
        <f>IF($A102="","",8+AS102)</f>
        <v/>
      </c>
      <c r="BL102" s="345">
        <f>IF(ISNUMBER(BF102),BF102,NA())</f>
        <v/>
      </c>
      <c r="BM102" s="345">
        <f>IF(ISNUMBER(AF102),AF102,NA())</f>
        <v/>
      </c>
      <c r="BN102" s="345">
        <f>IF(ISNUMBER(BI102),BI102,NA())</f>
        <v/>
      </c>
      <c r="BO102" s="345">
        <f>IF(ISNUMBER(AL102),AL102,NA())</f>
        <v/>
      </c>
      <c r="BP102" s="345">
        <f>IF(ISNUMBER(AM102),AM102,NA())</f>
        <v/>
      </c>
      <c r="BQ102" s="345">
        <f>IF(ISNUMBER(AN102),AN102,NA())</f>
        <v/>
      </c>
    </row>
    <row r="103">
      <c r="A103" s="358">
        <f>IF('Jan 2027'!K7="","",'Jan 2027'!K7)</f>
        <v/>
      </c>
      <c r="B103" s="345" t="n">
        <v>4</v>
      </c>
      <c r="C103" s="345">
        <f>IF($A103="","",7)</f>
        <v/>
      </c>
      <c r="D103" s="345">
        <f>IF($A103="","",WEEKDAY($A103,2))</f>
        <v/>
      </c>
      <c r="E103" s="345">
        <f>IF($A103="","",UPPER(TRIM('Jan 2027'!K8)))</f>
        <v/>
      </c>
      <c r="F103" s="345">
        <f>IF($A103="","",IF(OR('Jan 2027'!K10=TRUE,'Jan 2027'!K10="x",'Jan 2027'!K10="X"),1,0))</f>
        <v/>
      </c>
      <c r="G103" s="345">
        <f>IF($A103="","",IF(OR('Jan 2027'!K11=TRUE,'Jan 2027'!K11="x",'Jan 2027'!K11="X"),1,0))</f>
        <v/>
      </c>
      <c r="H103" s="345">
        <f>IF($A103="","",IF(OR('Jan 2027'!K12=TRUE,'Jan 2027'!K12="x",'Jan 2027'!K12="X"),1,0))</f>
        <v/>
      </c>
      <c r="I103" s="345">
        <f>IF($A103="","",IF(OR('Jan 2027'!K13=TRUE,'Jan 2027'!K13="x",'Jan 2027'!K13="X"),1,0))</f>
        <v/>
      </c>
      <c r="J103" s="345">
        <f>IF($A103="","",IF(OR('Jan 2027'!K14=TRUE,'Jan 2027'!K14="x",'Jan 2027'!K14="X"),1,0))</f>
        <v/>
      </c>
      <c r="K103" s="345">
        <f>IF($A103="","",IF(OR('Jan 2027'!K15=TRUE,'Jan 2027'!K15="x",'Jan 2027'!K15="X"),1,0))</f>
        <v/>
      </c>
      <c r="L103" s="345">
        <f>IF($A103="","",IF(OR('Jan 2027'!K16=TRUE,'Jan 2027'!K16="x",'Jan 2027'!K16="X"),1,0))</f>
        <v/>
      </c>
      <c r="M103" s="345">
        <f>IF($A103="","",IF(OR('Jan 2027'!K17=TRUE,'Jan 2027'!K17="x",'Jan 2027'!K17="X"),1,0))</f>
        <v/>
      </c>
      <c r="N103" s="345">
        <f>IF($A103="","",IF(OR('Jan 2027'!K18=TRUE,'Jan 2027'!K18="x",'Jan 2027'!K18="X"),1,0))</f>
        <v/>
      </c>
      <c r="O103" s="345">
        <f>IF($A103="","",IF(OR('Jan 2027'!K20=TRUE,'Jan 2027'!K20="x",'Jan 2027'!K20="X"),1,0))</f>
        <v/>
      </c>
      <c r="P103" s="345">
        <f>IF($A103="","",IF(OR('Jan 2027'!K21=TRUE,'Jan 2027'!K21="x",'Jan 2027'!K21="X"),1,0))</f>
        <v/>
      </c>
      <c r="Q103" s="345">
        <f>IF($A103="","",IF(OR('Jan 2027'!K22=TRUE,'Jan 2027'!K22="x",'Jan 2027'!K22="X"),1,0))</f>
        <v/>
      </c>
      <c r="R103" s="345">
        <f>IF($A103="","",IF(OR('Jan 2027'!K23=TRUE,'Jan 2027'!K23="x",'Jan 2027'!K23="X"),1,0))</f>
        <v/>
      </c>
      <c r="S103" s="345">
        <f>IF($A103="","",IF(OR('Jan 2027'!K24=TRUE,'Jan 2027'!K24="x",'Jan 2027'!K24="X"),1,0))</f>
        <v/>
      </c>
      <c r="T103" s="345">
        <f>IF($A103="","",IF(OR('Jan 2027'!K25=TRUE,'Jan 2027'!K25="x",'Jan 2027'!K25="X"),1,0))</f>
        <v/>
      </c>
      <c r="U103" s="345">
        <f>IF($A103="","",IF(OR('Jan 2027'!K26=TRUE,'Jan 2027'!K26="x",'Jan 2027'!K26="X"),1,0))</f>
        <v/>
      </c>
      <c r="V103" s="345">
        <f>IF($A103="","",IF(OR('Jan 2027'!K27=TRUE,'Jan 2027'!K27="x",'Jan 2027'!K27="X"),1,0))</f>
        <v/>
      </c>
      <c r="W103" s="345">
        <f>IF($A103="","",IF(OR('Jan 2027'!K28=TRUE,'Jan 2027'!K28="x",'Jan 2027'!K28="X"),1,0))</f>
        <v/>
      </c>
      <c r="X103" s="345">
        <f>IF($A103="","",IF(OR('Jan 2027'!K29=TRUE,'Jan 2027'!K29="x",'Jan 2027'!K29="X"),1,0))</f>
        <v/>
      </c>
      <c r="Y103" s="345">
        <f>IF($A103="","",IF(OR('Jan 2027'!K30=TRUE,'Jan 2027'!K30="x",'Jan 2027'!K30="X"),1,0))</f>
        <v/>
      </c>
      <c r="Z103" s="345">
        <f>IF($A103="","",IF(OR('Jan 2027'!K31=TRUE,'Jan 2027'!K31="x",'Jan 2027'!K31="X"),1,0))</f>
        <v/>
      </c>
      <c r="AA103" s="345">
        <f>IF($A103="","",IF(OR('Jan 2027'!K32=TRUE,'Jan 2027'!K32="x",'Jan 2027'!K32="X"),1,0))</f>
        <v/>
      </c>
      <c r="AB103" s="345">
        <f>IF($A103="","",IF(OR('Jan 2027'!K34=TRUE,'Jan 2027'!K34="x",'Jan 2027'!K34="X"),1,0))</f>
        <v/>
      </c>
      <c r="AC103" s="345">
        <f>IF($A103="","",IF(OR('Jan 2027'!K35=TRUE,'Jan 2027'!K35="x",'Jan 2027'!K35="X"),1,0))</f>
        <v/>
      </c>
      <c r="AD103" s="345">
        <f>IF($A103="","",IF(OR('Jan 2027'!K36=TRUE,'Jan 2027'!K36="x",'Jan 2027'!K36="X"),1,0))</f>
        <v/>
      </c>
      <c r="AE103" s="345">
        <f>IF($A103="","",IF(OR('Jan 2027'!K37=TRUE,'Jan 2027'!K37="x",'Jan 2027'!K37="X"),1,0))</f>
        <v/>
      </c>
      <c r="AF103" s="345">
        <f>IF($A103="","",IF('Jan 2027'!K59="","",'Jan 2027'!K59))</f>
        <v/>
      </c>
      <c r="AG103" s="345">
        <f>IF($A103="","",IF('Jan 2027'!K60="","",'Jan 2027'!K60))</f>
        <v/>
      </c>
      <c r="AH103" s="345">
        <f>IF($A103="","",IF('Jan 2027'!K61="","",'Jan 2027'!K61))</f>
        <v/>
      </c>
      <c r="AI103" s="345">
        <f>IF($A103="","",IF('Jan 2027'!K62="","",'Jan 2027'!K62))</f>
        <v/>
      </c>
      <c r="AJ103" s="345">
        <f>IF($A103="","",IF('Jan 2027'!K63="","",'Jan 2027'!K63))</f>
        <v/>
      </c>
      <c r="AK103" s="345">
        <f>IF($A103="","",IF('Jan 2027'!K64="","",'Jan 2027'!K64))</f>
        <v/>
      </c>
      <c r="AL103" s="345">
        <f>IF($A103="","",IF('Jan 2027'!K65="","",'Jan 2027'!K65))</f>
        <v/>
      </c>
      <c r="AM103" s="345">
        <f>IF($A103="","",IF('Jan 2027'!K66="","",'Jan 2027'!K66))</f>
        <v/>
      </c>
      <c r="AN103" s="345">
        <f>IF($A103="","",IF('Jan 2027'!K67="","",'Jan 2027'!K67))</f>
        <v/>
      </c>
      <c r="AO103" s="345">
        <f>IF($A103="",0,IF(AND($A103&gt;=TrackStart,$A103&lt;=TODAY()),1,0))</f>
        <v/>
      </c>
      <c r="AP103" s="345">
        <f>IF($A103="",0,IF(SUM(F103:AE103)+COUNT(AF103:AN103)&gt;0,1,0))</f>
        <v/>
      </c>
      <c r="AQ103" s="345">
        <f>IF($A103="","",INT(($A103-TrackStart)/7)+1)</f>
        <v/>
      </c>
      <c r="AR103" s="345">
        <f>IF($A103="","",IF(AQ103&lt;=1,Steps1,IF(AQ103=2,Steps2,Steps3)))</f>
        <v/>
      </c>
      <c r="AS103" s="345">
        <f>IF($A103="",0,IF(ISNUMBER(SEARCH(TEXT(D103,"0"),WorkDays&amp;"")),1,0))</f>
        <v/>
      </c>
      <c r="AT103" s="345">
        <f>IF($A103="",0,IF(ISNUMBER(SEARCH(TEXT(D103,"0"),StrDays&amp;"")),1,0))</f>
        <v/>
      </c>
      <c r="AU103" s="345">
        <f>IF($A103="",0,IF(ISNUMBER(AK103),IF(AK103&gt;=SleepMin,1,0),N103))</f>
        <v/>
      </c>
      <c r="AV103" s="345">
        <f>IF($A103="",0,MAX(I103,O103,S103,AC103))</f>
        <v/>
      </c>
      <c r="AW103" s="345">
        <f>IF($A103="",0,IF(ISNUMBER(AH103),IF(AH103&gt;=ProtHit,1,0),0))</f>
        <v/>
      </c>
      <c r="AX103" s="345">
        <f>IF($A103="",0,IF(ISNUMBER(AI103),IF(AI103&gt;=WaterHit,1,0),0))</f>
        <v/>
      </c>
      <c r="AY103" s="345">
        <f>IF($A103="",0,IF(ISNUMBER(AG103),IF(AG103&gt;=AR103,1,0),0))</f>
        <v/>
      </c>
      <c r="AZ103" s="345">
        <f>IF($A103="",0,G103)</f>
        <v/>
      </c>
      <c r="BA103" s="345">
        <f>IF($A103="",0,J103)</f>
        <v/>
      </c>
      <c r="BB103" s="345">
        <f>IF($A103="",0,K103)</f>
        <v/>
      </c>
      <c r="BC103" s="345">
        <f>IF($A103="",0,MAX(L103,AE103))</f>
        <v/>
      </c>
      <c r="BD103" s="344">
        <f>IF($A103="","",(AU103+AV103+AW103+AX103+AY103+AZ103+BB103+BC103+IF(AS103=1,BA103,0))/(8+AS103))</f>
        <v/>
      </c>
      <c r="BE103" s="344">
        <f>IF($A103="","",(IF(ISNUMBER(AI103),IF(AI103&gt;=WaterMVD,1,0),0)+AV103+IF(ISNUMBER(AH103),IF(AH103&gt;=ProtMVD,1,0),0)+MAX(H103,AD103)+AZ103+BB103+AU103)/7)</f>
        <v/>
      </c>
      <c r="BF103" s="344">
        <f>IF(AO103=0,"",IF(E103="S","",IF(AND(AP103=0,$A103=TODAY()),"",IF(E103="M",BE103,BD103))))</f>
        <v/>
      </c>
      <c r="BG103" s="344">
        <f>IF(AO103=0,"",IFERROR(AVERAGEIFS(Data!$BF$4:$BF$375,Data!$A$4:$A$375,"&gt;"&amp;($A103-7),Data!$A$4:$A$375,"&lt;="&amp;$A103),""))</f>
        <v/>
      </c>
      <c r="BH103" s="344">
        <f>IF(AO103=0,"",IFERROR(AVERAGEIFS(Data!$BF$4:$BF$375,Data!$A$4:$A$375,"&gt;"&amp;($A103-30),Data!$A$4:$A$375,"&lt;="&amp;$A103),""))</f>
        <v/>
      </c>
      <c r="BI103" s="359">
        <f>IF($A103="","",IFERROR(AVERAGEIFS(Data!$AF$4:$AF$375,Data!$A$4:$A$375,"&gt;"&amp;($A103-7),Data!$A$4:$A$375,"&lt;="&amp;$A103,Data!$AF$4:$AF$375,"&gt;0"),""))</f>
        <v/>
      </c>
      <c r="BJ103" s="345">
        <f>IF($A103="","",F103+G103+H103+I103+J103+K103+L103+M103+N103-IF(AS103=1,0,J103))</f>
        <v/>
      </c>
      <c r="BK103" s="345">
        <f>IF($A103="","",8+AS103)</f>
        <v/>
      </c>
      <c r="BL103" s="345">
        <f>IF(ISNUMBER(BF103),BF103,NA())</f>
        <v/>
      </c>
      <c r="BM103" s="345">
        <f>IF(ISNUMBER(AF103),AF103,NA())</f>
        <v/>
      </c>
      <c r="BN103" s="345">
        <f>IF(ISNUMBER(BI103),BI103,NA())</f>
        <v/>
      </c>
      <c r="BO103" s="345">
        <f>IF(ISNUMBER(AL103),AL103,NA())</f>
        <v/>
      </c>
      <c r="BP103" s="345">
        <f>IF(ISNUMBER(AM103),AM103,NA())</f>
        <v/>
      </c>
      <c r="BQ103" s="345">
        <f>IF(ISNUMBER(AN103),AN103,NA())</f>
        <v/>
      </c>
    </row>
    <row r="104">
      <c r="A104" s="358">
        <f>IF('Jan 2027'!L7="","",'Jan 2027'!L7)</f>
        <v/>
      </c>
      <c r="B104" s="345" t="n">
        <v>4</v>
      </c>
      <c r="C104" s="345">
        <f>IF($A104="","",8)</f>
        <v/>
      </c>
      <c r="D104" s="345">
        <f>IF($A104="","",WEEKDAY($A104,2))</f>
        <v/>
      </c>
      <c r="E104" s="345">
        <f>IF($A104="","",UPPER(TRIM('Jan 2027'!L8)))</f>
        <v/>
      </c>
      <c r="F104" s="345">
        <f>IF($A104="","",IF(OR('Jan 2027'!L10=TRUE,'Jan 2027'!L10="x",'Jan 2027'!L10="X"),1,0))</f>
        <v/>
      </c>
      <c r="G104" s="345">
        <f>IF($A104="","",IF(OR('Jan 2027'!L11=TRUE,'Jan 2027'!L11="x",'Jan 2027'!L11="X"),1,0))</f>
        <v/>
      </c>
      <c r="H104" s="345">
        <f>IF($A104="","",IF(OR('Jan 2027'!L12=TRUE,'Jan 2027'!L12="x",'Jan 2027'!L12="X"),1,0))</f>
        <v/>
      </c>
      <c r="I104" s="345">
        <f>IF($A104="","",IF(OR('Jan 2027'!L13=TRUE,'Jan 2027'!L13="x",'Jan 2027'!L13="X"),1,0))</f>
        <v/>
      </c>
      <c r="J104" s="345">
        <f>IF($A104="","",IF(OR('Jan 2027'!L14=TRUE,'Jan 2027'!L14="x",'Jan 2027'!L14="X"),1,0))</f>
        <v/>
      </c>
      <c r="K104" s="345">
        <f>IF($A104="","",IF(OR('Jan 2027'!L15=TRUE,'Jan 2027'!L15="x",'Jan 2027'!L15="X"),1,0))</f>
        <v/>
      </c>
      <c r="L104" s="345">
        <f>IF($A104="","",IF(OR('Jan 2027'!L16=TRUE,'Jan 2027'!L16="x",'Jan 2027'!L16="X"),1,0))</f>
        <v/>
      </c>
      <c r="M104" s="345">
        <f>IF($A104="","",IF(OR('Jan 2027'!L17=TRUE,'Jan 2027'!L17="x",'Jan 2027'!L17="X"),1,0))</f>
        <v/>
      </c>
      <c r="N104" s="345">
        <f>IF($A104="","",IF(OR('Jan 2027'!L18=TRUE,'Jan 2027'!L18="x",'Jan 2027'!L18="X"),1,0))</f>
        <v/>
      </c>
      <c r="O104" s="345">
        <f>IF($A104="","",IF(OR('Jan 2027'!L20=TRUE,'Jan 2027'!L20="x",'Jan 2027'!L20="X"),1,0))</f>
        <v/>
      </c>
      <c r="P104" s="345">
        <f>IF($A104="","",IF(OR('Jan 2027'!L21=TRUE,'Jan 2027'!L21="x",'Jan 2027'!L21="X"),1,0))</f>
        <v/>
      </c>
      <c r="Q104" s="345">
        <f>IF($A104="","",IF(OR('Jan 2027'!L22=TRUE,'Jan 2027'!L22="x",'Jan 2027'!L22="X"),1,0))</f>
        <v/>
      </c>
      <c r="R104" s="345">
        <f>IF($A104="","",IF(OR('Jan 2027'!L23=TRUE,'Jan 2027'!L23="x",'Jan 2027'!L23="X"),1,0))</f>
        <v/>
      </c>
      <c r="S104" s="345">
        <f>IF($A104="","",IF(OR('Jan 2027'!L24=TRUE,'Jan 2027'!L24="x",'Jan 2027'!L24="X"),1,0))</f>
        <v/>
      </c>
      <c r="T104" s="345">
        <f>IF($A104="","",IF(OR('Jan 2027'!L25=TRUE,'Jan 2027'!L25="x",'Jan 2027'!L25="X"),1,0))</f>
        <v/>
      </c>
      <c r="U104" s="345">
        <f>IF($A104="","",IF(OR('Jan 2027'!L26=TRUE,'Jan 2027'!L26="x",'Jan 2027'!L26="X"),1,0))</f>
        <v/>
      </c>
      <c r="V104" s="345">
        <f>IF($A104="","",IF(OR('Jan 2027'!L27=TRUE,'Jan 2027'!L27="x",'Jan 2027'!L27="X"),1,0))</f>
        <v/>
      </c>
      <c r="W104" s="345">
        <f>IF($A104="","",IF(OR('Jan 2027'!L28=TRUE,'Jan 2027'!L28="x",'Jan 2027'!L28="X"),1,0))</f>
        <v/>
      </c>
      <c r="X104" s="345">
        <f>IF($A104="","",IF(OR('Jan 2027'!L29=TRUE,'Jan 2027'!L29="x",'Jan 2027'!L29="X"),1,0))</f>
        <v/>
      </c>
      <c r="Y104" s="345">
        <f>IF($A104="","",IF(OR('Jan 2027'!L30=TRUE,'Jan 2027'!L30="x",'Jan 2027'!L30="X"),1,0))</f>
        <v/>
      </c>
      <c r="Z104" s="345">
        <f>IF($A104="","",IF(OR('Jan 2027'!L31=TRUE,'Jan 2027'!L31="x",'Jan 2027'!L31="X"),1,0))</f>
        <v/>
      </c>
      <c r="AA104" s="345">
        <f>IF($A104="","",IF(OR('Jan 2027'!L32=TRUE,'Jan 2027'!L32="x",'Jan 2027'!L32="X"),1,0))</f>
        <v/>
      </c>
      <c r="AB104" s="345">
        <f>IF($A104="","",IF(OR('Jan 2027'!L34=TRUE,'Jan 2027'!L34="x",'Jan 2027'!L34="X"),1,0))</f>
        <v/>
      </c>
      <c r="AC104" s="345">
        <f>IF($A104="","",IF(OR('Jan 2027'!L35=TRUE,'Jan 2027'!L35="x",'Jan 2027'!L35="X"),1,0))</f>
        <v/>
      </c>
      <c r="AD104" s="345">
        <f>IF($A104="","",IF(OR('Jan 2027'!L36=TRUE,'Jan 2027'!L36="x",'Jan 2027'!L36="X"),1,0))</f>
        <v/>
      </c>
      <c r="AE104" s="345">
        <f>IF($A104="","",IF(OR('Jan 2027'!L37=TRUE,'Jan 2027'!L37="x",'Jan 2027'!L37="X"),1,0))</f>
        <v/>
      </c>
      <c r="AF104" s="345">
        <f>IF($A104="","",IF('Jan 2027'!L59="","",'Jan 2027'!L59))</f>
        <v/>
      </c>
      <c r="AG104" s="345">
        <f>IF($A104="","",IF('Jan 2027'!L60="","",'Jan 2027'!L60))</f>
        <v/>
      </c>
      <c r="AH104" s="345">
        <f>IF($A104="","",IF('Jan 2027'!L61="","",'Jan 2027'!L61))</f>
        <v/>
      </c>
      <c r="AI104" s="345">
        <f>IF($A104="","",IF('Jan 2027'!L62="","",'Jan 2027'!L62))</f>
        <v/>
      </c>
      <c r="AJ104" s="345">
        <f>IF($A104="","",IF('Jan 2027'!L63="","",'Jan 2027'!L63))</f>
        <v/>
      </c>
      <c r="AK104" s="345">
        <f>IF($A104="","",IF('Jan 2027'!L64="","",'Jan 2027'!L64))</f>
        <v/>
      </c>
      <c r="AL104" s="345">
        <f>IF($A104="","",IF('Jan 2027'!L65="","",'Jan 2027'!L65))</f>
        <v/>
      </c>
      <c r="AM104" s="345">
        <f>IF($A104="","",IF('Jan 2027'!L66="","",'Jan 2027'!L66))</f>
        <v/>
      </c>
      <c r="AN104" s="345">
        <f>IF($A104="","",IF('Jan 2027'!L67="","",'Jan 2027'!L67))</f>
        <v/>
      </c>
      <c r="AO104" s="345">
        <f>IF($A104="",0,IF(AND($A104&gt;=TrackStart,$A104&lt;=TODAY()),1,0))</f>
        <v/>
      </c>
      <c r="AP104" s="345">
        <f>IF($A104="",0,IF(SUM(F104:AE104)+COUNT(AF104:AN104)&gt;0,1,0))</f>
        <v/>
      </c>
      <c r="AQ104" s="345">
        <f>IF($A104="","",INT(($A104-TrackStart)/7)+1)</f>
        <v/>
      </c>
      <c r="AR104" s="345">
        <f>IF($A104="","",IF(AQ104&lt;=1,Steps1,IF(AQ104=2,Steps2,Steps3)))</f>
        <v/>
      </c>
      <c r="AS104" s="345">
        <f>IF($A104="",0,IF(ISNUMBER(SEARCH(TEXT(D104,"0"),WorkDays&amp;"")),1,0))</f>
        <v/>
      </c>
      <c r="AT104" s="345">
        <f>IF($A104="",0,IF(ISNUMBER(SEARCH(TEXT(D104,"0"),StrDays&amp;"")),1,0))</f>
        <v/>
      </c>
      <c r="AU104" s="345">
        <f>IF($A104="",0,IF(ISNUMBER(AK104),IF(AK104&gt;=SleepMin,1,0),N104))</f>
        <v/>
      </c>
      <c r="AV104" s="345">
        <f>IF($A104="",0,MAX(I104,O104,S104,AC104))</f>
        <v/>
      </c>
      <c r="AW104" s="345">
        <f>IF($A104="",0,IF(ISNUMBER(AH104),IF(AH104&gt;=ProtHit,1,0),0))</f>
        <v/>
      </c>
      <c r="AX104" s="345">
        <f>IF($A104="",0,IF(ISNUMBER(AI104),IF(AI104&gt;=WaterHit,1,0),0))</f>
        <v/>
      </c>
      <c r="AY104" s="345">
        <f>IF($A104="",0,IF(ISNUMBER(AG104),IF(AG104&gt;=AR104,1,0),0))</f>
        <v/>
      </c>
      <c r="AZ104" s="345">
        <f>IF($A104="",0,G104)</f>
        <v/>
      </c>
      <c r="BA104" s="345">
        <f>IF($A104="",0,J104)</f>
        <v/>
      </c>
      <c r="BB104" s="345">
        <f>IF($A104="",0,K104)</f>
        <v/>
      </c>
      <c r="BC104" s="345">
        <f>IF($A104="",0,MAX(L104,AE104))</f>
        <v/>
      </c>
      <c r="BD104" s="344">
        <f>IF($A104="","",(AU104+AV104+AW104+AX104+AY104+AZ104+BB104+BC104+IF(AS104=1,BA104,0))/(8+AS104))</f>
        <v/>
      </c>
      <c r="BE104" s="344">
        <f>IF($A104="","",(IF(ISNUMBER(AI104),IF(AI104&gt;=WaterMVD,1,0),0)+AV104+IF(ISNUMBER(AH104),IF(AH104&gt;=ProtMVD,1,0),0)+MAX(H104,AD104)+AZ104+BB104+AU104)/7)</f>
        <v/>
      </c>
      <c r="BF104" s="344">
        <f>IF(AO104=0,"",IF(E104="S","",IF(AND(AP104=0,$A104=TODAY()),"",IF(E104="M",BE104,BD104))))</f>
        <v/>
      </c>
      <c r="BG104" s="344">
        <f>IF(AO104=0,"",IFERROR(AVERAGEIFS(Data!$BF$4:$BF$375,Data!$A$4:$A$375,"&gt;"&amp;($A104-7),Data!$A$4:$A$375,"&lt;="&amp;$A104),""))</f>
        <v/>
      </c>
      <c r="BH104" s="344">
        <f>IF(AO104=0,"",IFERROR(AVERAGEIFS(Data!$BF$4:$BF$375,Data!$A$4:$A$375,"&gt;"&amp;($A104-30),Data!$A$4:$A$375,"&lt;="&amp;$A104),""))</f>
        <v/>
      </c>
      <c r="BI104" s="359">
        <f>IF($A104="","",IFERROR(AVERAGEIFS(Data!$AF$4:$AF$375,Data!$A$4:$A$375,"&gt;"&amp;($A104-7),Data!$A$4:$A$375,"&lt;="&amp;$A104,Data!$AF$4:$AF$375,"&gt;0"),""))</f>
        <v/>
      </c>
      <c r="BJ104" s="345">
        <f>IF($A104="","",F104+G104+H104+I104+J104+K104+L104+M104+N104-IF(AS104=1,0,J104))</f>
        <v/>
      </c>
      <c r="BK104" s="345">
        <f>IF($A104="","",8+AS104)</f>
        <v/>
      </c>
      <c r="BL104" s="345">
        <f>IF(ISNUMBER(BF104),BF104,NA())</f>
        <v/>
      </c>
      <c r="BM104" s="345">
        <f>IF(ISNUMBER(AF104),AF104,NA())</f>
        <v/>
      </c>
      <c r="BN104" s="345">
        <f>IF(ISNUMBER(BI104),BI104,NA())</f>
        <v/>
      </c>
      <c r="BO104" s="345">
        <f>IF(ISNUMBER(AL104),AL104,NA())</f>
        <v/>
      </c>
      <c r="BP104" s="345">
        <f>IF(ISNUMBER(AM104),AM104,NA())</f>
        <v/>
      </c>
      <c r="BQ104" s="345">
        <f>IF(ISNUMBER(AN104),AN104,NA())</f>
        <v/>
      </c>
    </row>
    <row r="105">
      <c r="A105" s="358">
        <f>IF('Jan 2027'!M7="","",'Jan 2027'!M7)</f>
        <v/>
      </c>
      <c r="B105" s="345" t="n">
        <v>4</v>
      </c>
      <c r="C105" s="345">
        <f>IF($A105="","",9)</f>
        <v/>
      </c>
      <c r="D105" s="345">
        <f>IF($A105="","",WEEKDAY($A105,2))</f>
        <v/>
      </c>
      <c r="E105" s="345">
        <f>IF($A105="","",UPPER(TRIM('Jan 2027'!M8)))</f>
        <v/>
      </c>
      <c r="F105" s="345">
        <f>IF($A105="","",IF(OR('Jan 2027'!M10=TRUE,'Jan 2027'!M10="x",'Jan 2027'!M10="X"),1,0))</f>
        <v/>
      </c>
      <c r="G105" s="345">
        <f>IF($A105="","",IF(OR('Jan 2027'!M11=TRUE,'Jan 2027'!M11="x",'Jan 2027'!M11="X"),1,0))</f>
        <v/>
      </c>
      <c r="H105" s="345">
        <f>IF($A105="","",IF(OR('Jan 2027'!M12=TRUE,'Jan 2027'!M12="x",'Jan 2027'!M12="X"),1,0))</f>
        <v/>
      </c>
      <c r="I105" s="345">
        <f>IF($A105="","",IF(OR('Jan 2027'!M13=TRUE,'Jan 2027'!M13="x",'Jan 2027'!M13="X"),1,0))</f>
        <v/>
      </c>
      <c r="J105" s="345">
        <f>IF($A105="","",IF(OR('Jan 2027'!M14=TRUE,'Jan 2027'!M14="x",'Jan 2027'!M14="X"),1,0))</f>
        <v/>
      </c>
      <c r="K105" s="345">
        <f>IF($A105="","",IF(OR('Jan 2027'!M15=TRUE,'Jan 2027'!M15="x",'Jan 2027'!M15="X"),1,0))</f>
        <v/>
      </c>
      <c r="L105" s="345">
        <f>IF($A105="","",IF(OR('Jan 2027'!M16=TRUE,'Jan 2027'!M16="x",'Jan 2027'!M16="X"),1,0))</f>
        <v/>
      </c>
      <c r="M105" s="345">
        <f>IF($A105="","",IF(OR('Jan 2027'!M17=TRUE,'Jan 2027'!M17="x",'Jan 2027'!M17="X"),1,0))</f>
        <v/>
      </c>
      <c r="N105" s="345">
        <f>IF($A105="","",IF(OR('Jan 2027'!M18=TRUE,'Jan 2027'!M18="x",'Jan 2027'!M18="X"),1,0))</f>
        <v/>
      </c>
      <c r="O105" s="345">
        <f>IF($A105="","",IF(OR('Jan 2027'!M20=TRUE,'Jan 2027'!M20="x",'Jan 2027'!M20="X"),1,0))</f>
        <v/>
      </c>
      <c r="P105" s="345">
        <f>IF($A105="","",IF(OR('Jan 2027'!M21=TRUE,'Jan 2027'!M21="x",'Jan 2027'!M21="X"),1,0))</f>
        <v/>
      </c>
      <c r="Q105" s="345">
        <f>IF($A105="","",IF(OR('Jan 2027'!M22=TRUE,'Jan 2027'!M22="x",'Jan 2027'!M22="X"),1,0))</f>
        <v/>
      </c>
      <c r="R105" s="345">
        <f>IF($A105="","",IF(OR('Jan 2027'!M23=TRUE,'Jan 2027'!M23="x",'Jan 2027'!M23="X"),1,0))</f>
        <v/>
      </c>
      <c r="S105" s="345">
        <f>IF($A105="","",IF(OR('Jan 2027'!M24=TRUE,'Jan 2027'!M24="x",'Jan 2027'!M24="X"),1,0))</f>
        <v/>
      </c>
      <c r="T105" s="345">
        <f>IF($A105="","",IF(OR('Jan 2027'!M25=TRUE,'Jan 2027'!M25="x",'Jan 2027'!M25="X"),1,0))</f>
        <v/>
      </c>
      <c r="U105" s="345">
        <f>IF($A105="","",IF(OR('Jan 2027'!M26=TRUE,'Jan 2027'!M26="x",'Jan 2027'!M26="X"),1,0))</f>
        <v/>
      </c>
      <c r="V105" s="345">
        <f>IF($A105="","",IF(OR('Jan 2027'!M27=TRUE,'Jan 2027'!M27="x",'Jan 2027'!M27="X"),1,0))</f>
        <v/>
      </c>
      <c r="W105" s="345">
        <f>IF($A105="","",IF(OR('Jan 2027'!M28=TRUE,'Jan 2027'!M28="x",'Jan 2027'!M28="X"),1,0))</f>
        <v/>
      </c>
      <c r="X105" s="345">
        <f>IF($A105="","",IF(OR('Jan 2027'!M29=TRUE,'Jan 2027'!M29="x",'Jan 2027'!M29="X"),1,0))</f>
        <v/>
      </c>
      <c r="Y105" s="345">
        <f>IF($A105="","",IF(OR('Jan 2027'!M30=TRUE,'Jan 2027'!M30="x",'Jan 2027'!M30="X"),1,0))</f>
        <v/>
      </c>
      <c r="Z105" s="345">
        <f>IF($A105="","",IF(OR('Jan 2027'!M31=TRUE,'Jan 2027'!M31="x",'Jan 2027'!M31="X"),1,0))</f>
        <v/>
      </c>
      <c r="AA105" s="345">
        <f>IF($A105="","",IF(OR('Jan 2027'!M32=TRUE,'Jan 2027'!M32="x",'Jan 2027'!M32="X"),1,0))</f>
        <v/>
      </c>
      <c r="AB105" s="345">
        <f>IF($A105="","",IF(OR('Jan 2027'!M34=TRUE,'Jan 2027'!M34="x",'Jan 2027'!M34="X"),1,0))</f>
        <v/>
      </c>
      <c r="AC105" s="345">
        <f>IF($A105="","",IF(OR('Jan 2027'!M35=TRUE,'Jan 2027'!M35="x",'Jan 2027'!M35="X"),1,0))</f>
        <v/>
      </c>
      <c r="AD105" s="345">
        <f>IF($A105="","",IF(OR('Jan 2027'!M36=TRUE,'Jan 2027'!M36="x",'Jan 2027'!M36="X"),1,0))</f>
        <v/>
      </c>
      <c r="AE105" s="345">
        <f>IF($A105="","",IF(OR('Jan 2027'!M37=TRUE,'Jan 2027'!M37="x",'Jan 2027'!M37="X"),1,0))</f>
        <v/>
      </c>
      <c r="AF105" s="345">
        <f>IF($A105="","",IF('Jan 2027'!M59="","",'Jan 2027'!M59))</f>
        <v/>
      </c>
      <c r="AG105" s="345">
        <f>IF($A105="","",IF('Jan 2027'!M60="","",'Jan 2027'!M60))</f>
        <v/>
      </c>
      <c r="AH105" s="345">
        <f>IF($A105="","",IF('Jan 2027'!M61="","",'Jan 2027'!M61))</f>
        <v/>
      </c>
      <c r="AI105" s="345">
        <f>IF($A105="","",IF('Jan 2027'!M62="","",'Jan 2027'!M62))</f>
        <v/>
      </c>
      <c r="AJ105" s="345">
        <f>IF($A105="","",IF('Jan 2027'!M63="","",'Jan 2027'!M63))</f>
        <v/>
      </c>
      <c r="AK105" s="345">
        <f>IF($A105="","",IF('Jan 2027'!M64="","",'Jan 2027'!M64))</f>
        <v/>
      </c>
      <c r="AL105" s="345">
        <f>IF($A105="","",IF('Jan 2027'!M65="","",'Jan 2027'!M65))</f>
        <v/>
      </c>
      <c r="AM105" s="345">
        <f>IF($A105="","",IF('Jan 2027'!M66="","",'Jan 2027'!M66))</f>
        <v/>
      </c>
      <c r="AN105" s="345">
        <f>IF($A105="","",IF('Jan 2027'!M67="","",'Jan 2027'!M67))</f>
        <v/>
      </c>
      <c r="AO105" s="345">
        <f>IF($A105="",0,IF(AND($A105&gt;=TrackStart,$A105&lt;=TODAY()),1,0))</f>
        <v/>
      </c>
      <c r="AP105" s="345">
        <f>IF($A105="",0,IF(SUM(F105:AE105)+COUNT(AF105:AN105)&gt;0,1,0))</f>
        <v/>
      </c>
      <c r="AQ105" s="345">
        <f>IF($A105="","",INT(($A105-TrackStart)/7)+1)</f>
        <v/>
      </c>
      <c r="AR105" s="345">
        <f>IF($A105="","",IF(AQ105&lt;=1,Steps1,IF(AQ105=2,Steps2,Steps3)))</f>
        <v/>
      </c>
      <c r="AS105" s="345">
        <f>IF($A105="",0,IF(ISNUMBER(SEARCH(TEXT(D105,"0"),WorkDays&amp;"")),1,0))</f>
        <v/>
      </c>
      <c r="AT105" s="345">
        <f>IF($A105="",0,IF(ISNUMBER(SEARCH(TEXT(D105,"0"),StrDays&amp;"")),1,0))</f>
        <v/>
      </c>
      <c r="AU105" s="345">
        <f>IF($A105="",0,IF(ISNUMBER(AK105),IF(AK105&gt;=SleepMin,1,0),N105))</f>
        <v/>
      </c>
      <c r="AV105" s="345">
        <f>IF($A105="",0,MAX(I105,O105,S105,AC105))</f>
        <v/>
      </c>
      <c r="AW105" s="345">
        <f>IF($A105="",0,IF(ISNUMBER(AH105),IF(AH105&gt;=ProtHit,1,0),0))</f>
        <v/>
      </c>
      <c r="AX105" s="345">
        <f>IF($A105="",0,IF(ISNUMBER(AI105),IF(AI105&gt;=WaterHit,1,0),0))</f>
        <v/>
      </c>
      <c r="AY105" s="345">
        <f>IF($A105="",0,IF(ISNUMBER(AG105),IF(AG105&gt;=AR105,1,0),0))</f>
        <v/>
      </c>
      <c r="AZ105" s="345">
        <f>IF($A105="",0,G105)</f>
        <v/>
      </c>
      <c r="BA105" s="345">
        <f>IF($A105="",0,J105)</f>
        <v/>
      </c>
      <c r="BB105" s="345">
        <f>IF($A105="",0,K105)</f>
        <v/>
      </c>
      <c r="BC105" s="345">
        <f>IF($A105="",0,MAX(L105,AE105))</f>
        <v/>
      </c>
      <c r="BD105" s="344">
        <f>IF($A105="","",(AU105+AV105+AW105+AX105+AY105+AZ105+BB105+BC105+IF(AS105=1,BA105,0))/(8+AS105))</f>
        <v/>
      </c>
      <c r="BE105" s="344">
        <f>IF($A105="","",(IF(ISNUMBER(AI105),IF(AI105&gt;=WaterMVD,1,0),0)+AV105+IF(ISNUMBER(AH105),IF(AH105&gt;=ProtMVD,1,0),0)+MAX(H105,AD105)+AZ105+BB105+AU105)/7)</f>
        <v/>
      </c>
      <c r="BF105" s="344">
        <f>IF(AO105=0,"",IF(E105="S","",IF(AND(AP105=0,$A105=TODAY()),"",IF(E105="M",BE105,BD105))))</f>
        <v/>
      </c>
      <c r="BG105" s="344">
        <f>IF(AO105=0,"",IFERROR(AVERAGEIFS(Data!$BF$4:$BF$375,Data!$A$4:$A$375,"&gt;"&amp;($A105-7),Data!$A$4:$A$375,"&lt;="&amp;$A105),""))</f>
        <v/>
      </c>
      <c r="BH105" s="344">
        <f>IF(AO105=0,"",IFERROR(AVERAGEIFS(Data!$BF$4:$BF$375,Data!$A$4:$A$375,"&gt;"&amp;($A105-30),Data!$A$4:$A$375,"&lt;="&amp;$A105),""))</f>
        <v/>
      </c>
      <c r="BI105" s="359">
        <f>IF($A105="","",IFERROR(AVERAGEIFS(Data!$AF$4:$AF$375,Data!$A$4:$A$375,"&gt;"&amp;($A105-7),Data!$A$4:$A$375,"&lt;="&amp;$A105,Data!$AF$4:$AF$375,"&gt;0"),""))</f>
        <v/>
      </c>
      <c r="BJ105" s="345">
        <f>IF($A105="","",F105+G105+H105+I105+J105+K105+L105+M105+N105-IF(AS105=1,0,J105))</f>
        <v/>
      </c>
      <c r="BK105" s="345">
        <f>IF($A105="","",8+AS105)</f>
        <v/>
      </c>
      <c r="BL105" s="345">
        <f>IF(ISNUMBER(BF105),BF105,NA())</f>
        <v/>
      </c>
      <c r="BM105" s="345">
        <f>IF(ISNUMBER(AF105),AF105,NA())</f>
        <v/>
      </c>
      <c r="BN105" s="345">
        <f>IF(ISNUMBER(BI105),BI105,NA())</f>
        <v/>
      </c>
      <c r="BO105" s="345">
        <f>IF(ISNUMBER(AL105),AL105,NA())</f>
        <v/>
      </c>
      <c r="BP105" s="345">
        <f>IF(ISNUMBER(AM105),AM105,NA())</f>
        <v/>
      </c>
      <c r="BQ105" s="345">
        <f>IF(ISNUMBER(AN105),AN105,NA())</f>
        <v/>
      </c>
    </row>
    <row r="106">
      <c r="A106" s="358">
        <f>IF('Jan 2027'!N7="","",'Jan 2027'!N7)</f>
        <v/>
      </c>
      <c r="B106" s="345" t="n">
        <v>4</v>
      </c>
      <c r="C106" s="345">
        <f>IF($A106="","",10)</f>
        <v/>
      </c>
      <c r="D106" s="345">
        <f>IF($A106="","",WEEKDAY($A106,2))</f>
        <v/>
      </c>
      <c r="E106" s="345">
        <f>IF($A106="","",UPPER(TRIM('Jan 2027'!N8)))</f>
        <v/>
      </c>
      <c r="F106" s="345">
        <f>IF($A106="","",IF(OR('Jan 2027'!N10=TRUE,'Jan 2027'!N10="x",'Jan 2027'!N10="X"),1,0))</f>
        <v/>
      </c>
      <c r="G106" s="345">
        <f>IF($A106="","",IF(OR('Jan 2027'!N11=TRUE,'Jan 2027'!N11="x",'Jan 2027'!N11="X"),1,0))</f>
        <v/>
      </c>
      <c r="H106" s="345">
        <f>IF($A106="","",IF(OR('Jan 2027'!N12=TRUE,'Jan 2027'!N12="x",'Jan 2027'!N12="X"),1,0))</f>
        <v/>
      </c>
      <c r="I106" s="345">
        <f>IF($A106="","",IF(OR('Jan 2027'!N13=TRUE,'Jan 2027'!N13="x",'Jan 2027'!N13="X"),1,0))</f>
        <v/>
      </c>
      <c r="J106" s="345">
        <f>IF($A106="","",IF(OR('Jan 2027'!N14=TRUE,'Jan 2027'!N14="x",'Jan 2027'!N14="X"),1,0))</f>
        <v/>
      </c>
      <c r="K106" s="345">
        <f>IF($A106="","",IF(OR('Jan 2027'!N15=TRUE,'Jan 2027'!N15="x",'Jan 2027'!N15="X"),1,0))</f>
        <v/>
      </c>
      <c r="L106" s="345">
        <f>IF($A106="","",IF(OR('Jan 2027'!N16=TRUE,'Jan 2027'!N16="x",'Jan 2027'!N16="X"),1,0))</f>
        <v/>
      </c>
      <c r="M106" s="345">
        <f>IF($A106="","",IF(OR('Jan 2027'!N17=TRUE,'Jan 2027'!N17="x",'Jan 2027'!N17="X"),1,0))</f>
        <v/>
      </c>
      <c r="N106" s="345">
        <f>IF($A106="","",IF(OR('Jan 2027'!N18=TRUE,'Jan 2027'!N18="x",'Jan 2027'!N18="X"),1,0))</f>
        <v/>
      </c>
      <c r="O106" s="345">
        <f>IF($A106="","",IF(OR('Jan 2027'!N20=TRUE,'Jan 2027'!N20="x",'Jan 2027'!N20="X"),1,0))</f>
        <v/>
      </c>
      <c r="P106" s="345">
        <f>IF($A106="","",IF(OR('Jan 2027'!N21=TRUE,'Jan 2027'!N21="x",'Jan 2027'!N21="X"),1,0))</f>
        <v/>
      </c>
      <c r="Q106" s="345">
        <f>IF($A106="","",IF(OR('Jan 2027'!N22=TRUE,'Jan 2027'!N22="x",'Jan 2027'!N22="X"),1,0))</f>
        <v/>
      </c>
      <c r="R106" s="345">
        <f>IF($A106="","",IF(OR('Jan 2027'!N23=TRUE,'Jan 2027'!N23="x",'Jan 2027'!N23="X"),1,0))</f>
        <v/>
      </c>
      <c r="S106" s="345">
        <f>IF($A106="","",IF(OR('Jan 2027'!N24=TRUE,'Jan 2027'!N24="x",'Jan 2027'!N24="X"),1,0))</f>
        <v/>
      </c>
      <c r="T106" s="345">
        <f>IF($A106="","",IF(OR('Jan 2027'!N25=TRUE,'Jan 2027'!N25="x",'Jan 2027'!N25="X"),1,0))</f>
        <v/>
      </c>
      <c r="U106" s="345">
        <f>IF($A106="","",IF(OR('Jan 2027'!N26=TRUE,'Jan 2027'!N26="x",'Jan 2027'!N26="X"),1,0))</f>
        <v/>
      </c>
      <c r="V106" s="345">
        <f>IF($A106="","",IF(OR('Jan 2027'!N27=TRUE,'Jan 2027'!N27="x",'Jan 2027'!N27="X"),1,0))</f>
        <v/>
      </c>
      <c r="W106" s="345">
        <f>IF($A106="","",IF(OR('Jan 2027'!N28=TRUE,'Jan 2027'!N28="x",'Jan 2027'!N28="X"),1,0))</f>
        <v/>
      </c>
      <c r="X106" s="345">
        <f>IF($A106="","",IF(OR('Jan 2027'!N29=TRUE,'Jan 2027'!N29="x",'Jan 2027'!N29="X"),1,0))</f>
        <v/>
      </c>
      <c r="Y106" s="345">
        <f>IF($A106="","",IF(OR('Jan 2027'!N30=TRUE,'Jan 2027'!N30="x",'Jan 2027'!N30="X"),1,0))</f>
        <v/>
      </c>
      <c r="Z106" s="345">
        <f>IF($A106="","",IF(OR('Jan 2027'!N31=TRUE,'Jan 2027'!N31="x",'Jan 2027'!N31="X"),1,0))</f>
        <v/>
      </c>
      <c r="AA106" s="345">
        <f>IF($A106="","",IF(OR('Jan 2027'!N32=TRUE,'Jan 2027'!N32="x",'Jan 2027'!N32="X"),1,0))</f>
        <v/>
      </c>
      <c r="AB106" s="345">
        <f>IF($A106="","",IF(OR('Jan 2027'!N34=TRUE,'Jan 2027'!N34="x",'Jan 2027'!N34="X"),1,0))</f>
        <v/>
      </c>
      <c r="AC106" s="345">
        <f>IF($A106="","",IF(OR('Jan 2027'!N35=TRUE,'Jan 2027'!N35="x",'Jan 2027'!N35="X"),1,0))</f>
        <v/>
      </c>
      <c r="AD106" s="345">
        <f>IF($A106="","",IF(OR('Jan 2027'!N36=TRUE,'Jan 2027'!N36="x",'Jan 2027'!N36="X"),1,0))</f>
        <v/>
      </c>
      <c r="AE106" s="345">
        <f>IF($A106="","",IF(OR('Jan 2027'!N37=TRUE,'Jan 2027'!N37="x",'Jan 2027'!N37="X"),1,0))</f>
        <v/>
      </c>
      <c r="AF106" s="345">
        <f>IF($A106="","",IF('Jan 2027'!N59="","",'Jan 2027'!N59))</f>
        <v/>
      </c>
      <c r="AG106" s="345">
        <f>IF($A106="","",IF('Jan 2027'!N60="","",'Jan 2027'!N60))</f>
        <v/>
      </c>
      <c r="AH106" s="345">
        <f>IF($A106="","",IF('Jan 2027'!N61="","",'Jan 2027'!N61))</f>
        <v/>
      </c>
      <c r="AI106" s="345">
        <f>IF($A106="","",IF('Jan 2027'!N62="","",'Jan 2027'!N62))</f>
        <v/>
      </c>
      <c r="AJ106" s="345">
        <f>IF($A106="","",IF('Jan 2027'!N63="","",'Jan 2027'!N63))</f>
        <v/>
      </c>
      <c r="AK106" s="345">
        <f>IF($A106="","",IF('Jan 2027'!N64="","",'Jan 2027'!N64))</f>
        <v/>
      </c>
      <c r="AL106" s="345">
        <f>IF($A106="","",IF('Jan 2027'!N65="","",'Jan 2027'!N65))</f>
        <v/>
      </c>
      <c r="AM106" s="345">
        <f>IF($A106="","",IF('Jan 2027'!N66="","",'Jan 2027'!N66))</f>
        <v/>
      </c>
      <c r="AN106" s="345">
        <f>IF($A106="","",IF('Jan 2027'!N67="","",'Jan 2027'!N67))</f>
        <v/>
      </c>
      <c r="AO106" s="345">
        <f>IF($A106="",0,IF(AND($A106&gt;=TrackStart,$A106&lt;=TODAY()),1,0))</f>
        <v/>
      </c>
      <c r="AP106" s="345">
        <f>IF($A106="",0,IF(SUM(F106:AE106)+COUNT(AF106:AN106)&gt;0,1,0))</f>
        <v/>
      </c>
      <c r="AQ106" s="345">
        <f>IF($A106="","",INT(($A106-TrackStart)/7)+1)</f>
        <v/>
      </c>
      <c r="AR106" s="345">
        <f>IF($A106="","",IF(AQ106&lt;=1,Steps1,IF(AQ106=2,Steps2,Steps3)))</f>
        <v/>
      </c>
      <c r="AS106" s="345">
        <f>IF($A106="",0,IF(ISNUMBER(SEARCH(TEXT(D106,"0"),WorkDays&amp;"")),1,0))</f>
        <v/>
      </c>
      <c r="AT106" s="345">
        <f>IF($A106="",0,IF(ISNUMBER(SEARCH(TEXT(D106,"0"),StrDays&amp;"")),1,0))</f>
        <v/>
      </c>
      <c r="AU106" s="345">
        <f>IF($A106="",0,IF(ISNUMBER(AK106),IF(AK106&gt;=SleepMin,1,0),N106))</f>
        <v/>
      </c>
      <c r="AV106" s="345">
        <f>IF($A106="",0,MAX(I106,O106,S106,AC106))</f>
        <v/>
      </c>
      <c r="AW106" s="345">
        <f>IF($A106="",0,IF(ISNUMBER(AH106),IF(AH106&gt;=ProtHit,1,0),0))</f>
        <v/>
      </c>
      <c r="AX106" s="345">
        <f>IF($A106="",0,IF(ISNUMBER(AI106),IF(AI106&gt;=WaterHit,1,0),0))</f>
        <v/>
      </c>
      <c r="AY106" s="345">
        <f>IF($A106="",0,IF(ISNUMBER(AG106),IF(AG106&gt;=AR106,1,0),0))</f>
        <v/>
      </c>
      <c r="AZ106" s="345">
        <f>IF($A106="",0,G106)</f>
        <v/>
      </c>
      <c r="BA106" s="345">
        <f>IF($A106="",0,J106)</f>
        <v/>
      </c>
      <c r="BB106" s="345">
        <f>IF($A106="",0,K106)</f>
        <v/>
      </c>
      <c r="BC106" s="345">
        <f>IF($A106="",0,MAX(L106,AE106))</f>
        <v/>
      </c>
      <c r="BD106" s="344">
        <f>IF($A106="","",(AU106+AV106+AW106+AX106+AY106+AZ106+BB106+BC106+IF(AS106=1,BA106,0))/(8+AS106))</f>
        <v/>
      </c>
      <c r="BE106" s="344">
        <f>IF($A106="","",(IF(ISNUMBER(AI106),IF(AI106&gt;=WaterMVD,1,0),0)+AV106+IF(ISNUMBER(AH106),IF(AH106&gt;=ProtMVD,1,0),0)+MAX(H106,AD106)+AZ106+BB106+AU106)/7)</f>
        <v/>
      </c>
      <c r="BF106" s="344">
        <f>IF(AO106=0,"",IF(E106="S","",IF(AND(AP106=0,$A106=TODAY()),"",IF(E106="M",BE106,BD106))))</f>
        <v/>
      </c>
      <c r="BG106" s="344">
        <f>IF(AO106=0,"",IFERROR(AVERAGEIFS(Data!$BF$4:$BF$375,Data!$A$4:$A$375,"&gt;"&amp;($A106-7),Data!$A$4:$A$375,"&lt;="&amp;$A106),""))</f>
        <v/>
      </c>
      <c r="BH106" s="344">
        <f>IF(AO106=0,"",IFERROR(AVERAGEIFS(Data!$BF$4:$BF$375,Data!$A$4:$A$375,"&gt;"&amp;($A106-30),Data!$A$4:$A$375,"&lt;="&amp;$A106),""))</f>
        <v/>
      </c>
      <c r="BI106" s="359">
        <f>IF($A106="","",IFERROR(AVERAGEIFS(Data!$AF$4:$AF$375,Data!$A$4:$A$375,"&gt;"&amp;($A106-7),Data!$A$4:$A$375,"&lt;="&amp;$A106,Data!$AF$4:$AF$375,"&gt;0"),""))</f>
        <v/>
      </c>
      <c r="BJ106" s="345">
        <f>IF($A106="","",F106+G106+H106+I106+J106+K106+L106+M106+N106-IF(AS106=1,0,J106))</f>
        <v/>
      </c>
      <c r="BK106" s="345">
        <f>IF($A106="","",8+AS106)</f>
        <v/>
      </c>
      <c r="BL106" s="345">
        <f>IF(ISNUMBER(BF106),BF106,NA())</f>
        <v/>
      </c>
      <c r="BM106" s="345">
        <f>IF(ISNUMBER(AF106),AF106,NA())</f>
        <v/>
      </c>
      <c r="BN106" s="345">
        <f>IF(ISNUMBER(BI106),BI106,NA())</f>
        <v/>
      </c>
      <c r="BO106" s="345">
        <f>IF(ISNUMBER(AL106),AL106,NA())</f>
        <v/>
      </c>
      <c r="BP106" s="345">
        <f>IF(ISNUMBER(AM106),AM106,NA())</f>
        <v/>
      </c>
      <c r="BQ106" s="345">
        <f>IF(ISNUMBER(AN106),AN106,NA())</f>
        <v/>
      </c>
    </row>
    <row r="107">
      <c r="A107" s="358">
        <f>IF('Jan 2027'!O7="","",'Jan 2027'!O7)</f>
        <v/>
      </c>
      <c r="B107" s="345" t="n">
        <v>4</v>
      </c>
      <c r="C107" s="345">
        <f>IF($A107="","",11)</f>
        <v/>
      </c>
      <c r="D107" s="345">
        <f>IF($A107="","",WEEKDAY($A107,2))</f>
        <v/>
      </c>
      <c r="E107" s="345">
        <f>IF($A107="","",UPPER(TRIM('Jan 2027'!O8)))</f>
        <v/>
      </c>
      <c r="F107" s="345">
        <f>IF($A107="","",IF(OR('Jan 2027'!O10=TRUE,'Jan 2027'!O10="x",'Jan 2027'!O10="X"),1,0))</f>
        <v/>
      </c>
      <c r="G107" s="345">
        <f>IF($A107="","",IF(OR('Jan 2027'!O11=TRUE,'Jan 2027'!O11="x",'Jan 2027'!O11="X"),1,0))</f>
        <v/>
      </c>
      <c r="H107" s="345">
        <f>IF($A107="","",IF(OR('Jan 2027'!O12=TRUE,'Jan 2027'!O12="x",'Jan 2027'!O12="X"),1,0))</f>
        <v/>
      </c>
      <c r="I107" s="345">
        <f>IF($A107="","",IF(OR('Jan 2027'!O13=TRUE,'Jan 2027'!O13="x",'Jan 2027'!O13="X"),1,0))</f>
        <v/>
      </c>
      <c r="J107" s="345">
        <f>IF($A107="","",IF(OR('Jan 2027'!O14=TRUE,'Jan 2027'!O14="x",'Jan 2027'!O14="X"),1,0))</f>
        <v/>
      </c>
      <c r="K107" s="345">
        <f>IF($A107="","",IF(OR('Jan 2027'!O15=TRUE,'Jan 2027'!O15="x",'Jan 2027'!O15="X"),1,0))</f>
        <v/>
      </c>
      <c r="L107" s="345">
        <f>IF($A107="","",IF(OR('Jan 2027'!O16=TRUE,'Jan 2027'!O16="x",'Jan 2027'!O16="X"),1,0))</f>
        <v/>
      </c>
      <c r="M107" s="345">
        <f>IF($A107="","",IF(OR('Jan 2027'!O17=TRUE,'Jan 2027'!O17="x",'Jan 2027'!O17="X"),1,0))</f>
        <v/>
      </c>
      <c r="N107" s="345">
        <f>IF($A107="","",IF(OR('Jan 2027'!O18=TRUE,'Jan 2027'!O18="x",'Jan 2027'!O18="X"),1,0))</f>
        <v/>
      </c>
      <c r="O107" s="345">
        <f>IF($A107="","",IF(OR('Jan 2027'!O20=TRUE,'Jan 2027'!O20="x",'Jan 2027'!O20="X"),1,0))</f>
        <v/>
      </c>
      <c r="P107" s="345">
        <f>IF($A107="","",IF(OR('Jan 2027'!O21=TRUE,'Jan 2027'!O21="x",'Jan 2027'!O21="X"),1,0))</f>
        <v/>
      </c>
      <c r="Q107" s="345">
        <f>IF($A107="","",IF(OR('Jan 2027'!O22=TRUE,'Jan 2027'!O22="x",'Jan 2027'!O22="X"),1,0))</f>
        <v/>
      </c>
      <c r="R107" s="345">
        <f>IF($A107="","",IF(OR('Jan 2027'!O23=TRUE,'Jan 2027'!O23="x",'Jan 2027'!O23="X"),1,0))</f>
        <v/>
      </c>
      <c r="S107" s="345">
        <f>IF($A107="","",IF(OR('Jan 2027'!O24=TRUE,'Jan 2027'!O24="x",'Jan 2027'!O24="X"),1,0))</f>
        <v/>
      </c>
      <c r="T107" s="345">
        <f>IF($A107="","",IF(OR('Jan 2027'!O25=TRUE,'Jan 2027'!O25="x",'Jan 2027'!O25="X"),1,0))</f>
        <v/>
      </c>
      <c r="U107" s="345">
        <f>IF($A107="","",IF(OR('Jan 2027'!O26=TRUE,'Jan 2027'!O26="x",'Jan 2027'!O26="X"),1,0))</f>
        <v/>
      </c>
      <c r="V107" s="345">
        <f>IF($A107="","",IF(OR('Jan 2027'!O27=TRUE,'Jan 2027'!O27="x",'Jan 2027'!O27="X"),1,0))</f>
        <v/>
      </c>
      <c r="W107" s="345">
        <f>IF($A107="","",IF(OR('Jan 2027'!O28=TRUE,'Jan 2027'!O28="x",'Jan 2027'!O28="X"),1,0))</f>
        <v/>
      </c>
      <c r="X107" s="345">
        <f>IF($A107="","",IF(OR('Jan 2027'!O29=TRUE,'Jan 2027'!O29="x",'Jan 2027'!O29="X"),1,0))</f>
        <v/>
      </c>
      <c r="Y107" s="345">
        <f>IF($A107="","",IF(OR('Jan 2027'!O30=TRUE,'Jan 2027'!O30="x",'Jan 2027'!O30="X"),1,0))</f>
        <v/>
      </c>
      <c r="Z107" s="345">
        <f>IF($A107="","",IF(OR('Jan 2027'!O31=TRUE,'Jan 2027'!O31="x",'Jan 2027'!O31="X"),1,0))</f>
        <v/>
      </c>
      <c r="AA107" s="345">
        <f>IF($A107="","",IF(OR('Jan 2027'!O32=TRUE,'Jan 2027'!O32="x",'Jan 2027'!O32="X"),1,0))</f>
        <v/>
      </c>
      <c r="AB107" s="345">
        <f>IF($A107="","",IF(OR('Jan 2027'!O34=TRUE,'Jan 2027'!O34="x",'Jan 2027'!O34="X"),1,0))</f>
        <v/>
      </c>
      <c r="AC107" s="345">
        <f>IF($A107="","",IF(OR('Jan 2027'!O35=TRUE,'Jan 2027'!O35="x",'Jan 2027'!O35="X"),1,0))</f>
        <v/>
      </c>
      <c r="AD107" s="345">
        <f>IF($A107="","",IF(OR('Jan 2027'!O36=TRUE,'Jan 2027'!O36="x",'Jan 2027'!O36="X"),1,0))</f>
        <v/>
      </c>
      <c r="AE107" s="345">
        <f>IF($A107="","",IF(OR('Jan 2027'!O37=TRUE,'Jan 2027'!O37="x",'Jan 2027'!O37="X"),1,0))</f>
        <v/>
      </c>
      <c r="AF107" s="345">
        <f>IF($A107="","",IF('Jan 2027'!O59="","",'Jan 2027'!O59))</f>
        <v/>
      </c>
      <c r="AG107" s="345">
        <f>IF($A107="","",IF('Jan 2027'!O60="","",'Jan 2027'!O60))</f>
        <v/>
      </c>
      <c r="AH107" s="345">
        <f>IF($A107="","",IF('Jan 2027'!O61="","",'Jan 2027'!O61))</f>
        <v/>
      </c>
      <c r="AI107" s="345">
        <f>IF($A107="","",IF('Jan 2027'!O62="","",'Jan 2027'!O62))</f>
        <v/>
      </c>
      <c r="AJ107" s="345">
        <f>IF($A107="","",IF('Jan 2027'!O63="","",'Jan 2027'!O63))</f>
        <v/>
      </c>
      <c r="AK107" s="345">
        <f>IF($A107="","",IF('Jan 2027'!O64="","",'Jan 2027'!O64))</f>
        <v/>
      </c>
      <c r="AL107" s="345">
        <f>IF($A107="","",IF('Jan 2027'!O65="","",'Jan 2027'!O65))</f>
        <v/>
      </c>
      <c r="AM107" s="345">
        <f>IF($A107="","",IF('Jan 2027'!O66="","",'Jan 2027'!O66))</f>
        <v/>
      </c>
      <c r="AN107" s="345">
        <f>IF($A107="","",IF('Jan 2027'!O67="","",'Jan 2027'!O67))</f>
        <v/>
      </c>
      <c r="AO107" s="345">
        <f>IF($A107="",0,IF(AND($A107&gt;=TrackStart,$A107&lt;=TODAY()),1,0))</f>
        <v/>
      </c>
      <c r="AP107" s="345">
        <f>IF($A107="",0,IF(SUM(F107:AE107)+COUNT(AF107:AN107)&gt;0,1,0))</f>
        <v/>
      </c>
      <c r="AQ107" s="345">
        <f>IF($A107="","",INT(($A107-TrackStart)/7)+1)</f>
        <v/>
      </c>
      <c r="AR107" s="345">
        <f>IF($A107="","",IF(AQ107&lt;=1,Steps1,IF(AQ107=2,Steps2,Steps3)))</f>
        <v/>
      </c>
      <c r="AS107" s="345">
        <f>IF($A107="",0,IF(ISNUMBER(SEARCH(TEXT(D107,"0"),WorkDays&amp;"")),1,0))</f>
        <v/>
      </c>
      <c r="AT107" s="345">
        <f>IF($A107="",0,IF(ISNUMBER(SEARCH(TEXT(D107,"0"),StrDays&amp;"")),1,0))</f>
        <v/>
      </c>
      <c r="AU107" s="345">
        <f>IF($A107="",0,IF(ISNUMBER(AK107),IF(AK107&gt;=SleepMin,1,0),N107))</f>
        <v/>
      </c>
      <c r="AV107" s="345">
        <f>IF($A107="",0,MAX(I107,O107,S107,AC107))</f>
        <v/>
      </c>
      <c r="AW107" s="345">
        <f>IF($A107="",0,IF(ISNUMBER(AH107),IF(AH107&gt;=ProtHit,1,0),0))</f>
        <v/>
      </c>
      <c r="AX107" s="345">
        <f>IF($A107="",0,IF(ISNUMBER(AI107),IF(AI107&gt;=WaterHit,1,0),0))</f>
        <v/>
      </c>
      <c r="AY107" s="345">
        <f>IF($A107="",0,IF(ISNUMBER(AG107),IF(AG107&gt;=AR107,1,0),0))</f>
        <v/>
      </c>
      <c r="AZ107" s="345">
        <f>IF($A107="",0,G107)</f>
        <v/>
      </c>
      <c r="BA107" s="345">
        <f>IF($A107="",0,J107)</f>
        <v/>
      </c>
      <c r="BB107" s="345">
        <f>IF($A107="",0,K107)</f>
        <v/>
      </c>
      <c r="BC107" s="345">
        <f>IF($A107="",0,MAX(L107,AE107))</f>
        <v/>
      </c>
      <c r="BD107" s="344">
        <f>IF($A107="","",(AU107+AV107+AW107+AX107+AY107+AZ107+BB107+BC107+IF(AS107=1,BA107,0))/(8+AS107))</f>
        <v/>
      </c>
      <c r="BE107" s="344">
        <f>IF($A107="","",(IF(ISNUMBER(AI107),IF(AI107&gt;=WaterMVD,1,0),0)+AV107+IF(ISNUMBER(AH107),IF(AH107&gt;=ProtMVD,1,0),0)+MAX(H107,AD107)+AZ107+BB107+AU107)/7)</f>
        <v/>
      </c>
      <c r="BF107" s="344">
        <f>IF(AO107=0,"",IF(E107="S","",IF(AND(AP107=0,$A107=TODAY()),"",IF(E107="M",BE107,BD107))))</f>
        <v/>
      </c>
      <c r="BG107" s="344">
        <f>IF(AO107=0,"",IFERROR(AVERAGEIFS(Data!$BF$4:$BF$375,Data!$A$4:$A$375,"&gt;"&amp;($A107-7),Data!$A$4:$A$375,"&lt;="&amp;$A107),""))</f>
        <v/>
      </c>
      <c r="BH107" s="344">
        <f>IF(AO107=0,"",IFERROR(AVERAGEIFS(Data!$BF$4:$BF$375,Data!$A$4:$A$375,"&gt;"&amp;($A107-30),Data!$A$4:$A$375,"&lt;="&amp;$A107),""))</f>
        <v/>
      </c>
      <c r="BI107" s="359">
        <f>IF($A107="","",IFERROR(AVERAGEIFS(Data!$AF$4:$AF$375,Data!$A$4:$A$375,"&gt;"&amp;($A107-7),Data!$A$4:$A$375,"&lt;="&amp;$A107,Data!$AF$4:$AF$375,"&gt;0"),""))</f>
        <v/>
      </c>
      <c r="BJ107" s="345">
        <f>IF($A107="","",F107+G107+H107+I107+J107+K107+L107+M107+N107-IF(AS107=1,0,J107))</f>
        <v/>
      </c>
      <c r="BK107" s="345">
        <f>IF($A107="","",8+AS107)</f>
        <v/>
      </c>
      <c r="BL107" s="345">
        <f>IF(ISNUMBER(BF107),BF107,NA())</f>
        <v/>
      </c>
      <c r="BM107" s="345">
        <f>IF(ISNUMBER(AF107),AF107,NA())</f>
        <v/>
      </c>
      <c r="BN107" s="345">
        <f>IF(ISNUMBER(BI107),BI107,NA())</f>
        <v/>
      </c>
      <c r="BO107" s="345">
        <f>IF(ISNUMBER(AL107),AL107,NA())</f>
        <v/>
      </c>
      <c r="BP107" s="345">
        <f>IF(ISNUMBER(AM107),AM107,NA())</f>
        <v/>
      </c>
      <c r="BQ107" s="345">
        <f>IF(ISNUMBER(AN107),AN107,NA())</f>
        <v/>
      </c>
    </row>
    <row r="108">
      <c r="A108" s="358">
        <f>IF('Jan 2027'!P7="","",'Jan 2027'!P7)</f>
        <v/>
      </c>
      <c r="B108" s="345" t="n">
        <v>4</v>
      </c>
      <c r="C108" s="345">
        <f>IF($A108="","",12)</f>
        <v/>
      </c>
      <c r="D108" s="345">
        <f>IF($A108="","",WEEKDAY($A108,2))</f>
        <v/>
      </c>
      <c r="E108" s="345">
        <f>IF($A108="","",UPPER(TRIM('Jan 2027'!P8)))</f>
        <v/>
      </c>
      <c r="F108" s="345">
        <f>IF($A108="","",IF(OR('Jan 2027'!P10=TRUE,'Jan 2027'!P10="x",'Jan 2027'!P10="X"),1,0))</f>
        <v/>
      </c>
      <c r="G108" s="345">
        <f>IF($A108="","",IF(OR('Jan 2027'!P11=TRUE,'Jan 2027'!P11="x",'Jan 2027'!P11="X"),1,0))</f>
        <v/>
      </c>
      <c r="H108" s="345">
        <f>IF($A108="","",IF(OR('Jan 2027'!P12=TRUE,'Jan 2027'!P12="x",'Jan 2027'!P12="X"),1,0))</f>
        <v/>
      </c>
      <c r="I108" s="345">
        <f>IF($A108="","",IF(OR('Jan 2027'!P13=TRUE,'Jan 2027'!P13="x",'Jan 2027'!P13="X"),1,0))</f>
        <v/>
      </c>
      <c r="J108" s="345">
        <f>IF($A108="","",IF(OR('Jan 2027'!P14=TRUE,'Jan 2027'!P14="x",'Jan 2027'!P14="X"),1,0))</f>
        <v/>
      </c>
      <c r="K108" s="345">
        <f>IF($A108="","",IF(OR('Jan 2027'!P15=TRUE,'Jan 2027'!P15="x",'Jan 2027'!P15="X"),1,0))</f>
        <v/>
      </c>
      <c r="L108" s="345">
        <f>IF($A108="","",IF(OR('Jan 2027'!P16=TRUE,'Jan 2027'!P16="x",'Jan 2027'!P16="X"),1,0))</f>
        <v/>
      </c>
      <c r="M108" s="345">
        <f>IF($A108="","",IF(OR('Jan 2027'!P17=TRUE,'Jan 2027'!P17="x",'Jan 2027'!P17="X"),1,0))</f>
        <v/>
      </c>
      <c r="N108" s="345">
        <f>IF($A108="","",IF(OR('Jan 2027'!P18=TRUE,'Jan 2027'!P18="x",'Jan 2027'!P18="X"),1,0))</f>
        <v/>
      </c>
      <c r="O108" s="345">
        <f>IF($A108="","",IF(OR('Jan 2027'!P20=TRUE,'Jan 2027'!P20="x",'Jan 2027'!P20="X"),1,0))</f>
        <v/>
      </c>
      <c r="P108" s="345">
        <f>IF($A108="","",IF(OR('Jan 2027'!P21=TRUE,'Jan 2027'!P21="x",'Jan 2027'!P21="X"),1,0))</f>
        <v/>
      </c>
      <c r="Q108" s="345">
        <f>IF($A108="","",IF(OR('Jan 2027'!P22=TRUE,'Jan 2027'!P22="x",'Jan 2027'!P22="X"),1,0))</f>
        <v/>
      </c>
      <c r="R108" s="345">
        <f>IF($A108="","",IF(OR('Jan 2027'!P23=TRUE,'Jan 2027'!P23="x",'Jan 2027'!P23="X"),1,0))</f>
        <v/>
      </c>
      <c r="S108" s="345">
        <f>IF($A108="","",IF(OR('Jan 2027'!P24=TRUE,'Jan 2027'!P24="x",'Jan 2027'!P24="X"),1,0))</f>
        <v/>
      </c>
      <c r="T108" s="345">
        <f>IF($A108="","",IF(OR('Jan 2027'!P25=TRUE,'Jan 2027'!P25="x",'Jan 2027'!P25="X"),1,0))</f>
        <v/>
      </c>
      <c r="U108" s="345">
        <f>IF($A108="","",IF(OR('Jan 2027'!P26=TRUE,'Jan 2027'!P26="x",'Jan 2027'!P26="X"),1,0))</f>
        <v/>
      </c>
      <c r="V108" s="345">
        <f>IF($A108="","",IF(OR('Jan 2027'!P27=TRUE,'Jan 2027'!P27="x",'Jan 2027'!P27="X"),1,0))</f>
        <v/>
      </c>
      <c r="W108" s="345">
        <f>IF($A108="","",IF(OR('Jan 2027'!P28=TRUE,'Jan 2027'!P28="x",'Jan 2027'!P28="X"),1,0))</f>
        <v/>
      </c>
      <c r="X108" s="345">
        <f>IF($A108="","",IF(OR('Jan 2027'!P29=TRUE,'Jan 2027'!P29="x",'Jan 2027'!P29="X"),1,0))</f>
        <v/>
      </c>
      <c r="Y108" s="345">
        <f>IF($A108="","",IF(OR('Jan 2027'!P30=TRUE,'Jan 2027'!P30="x",'Jan 2027'!P30="X"),1,0))</f>
        <v/>
      </c>
      <c r="Z108" s="345">
        <f>IF($A108="","",IF(OR('Jan 2027'!P31=TRUE,'Jan 2027'!P31="x",'Jan 2027'!P31="X"),1,0))</f>
        <v/>
      </c>
      <c r="AA108" s="345">
        <f>IF($A108="","",IF(OR('Jan 2027'!P32=TRUE,'Jan 2027'!P32="x",'Jan 2027'!P32="X"),1,0))</f>
        <v/>
      </c>
      <c r="AB108" s="345">
        <f>IF($A108="","",IF(OR('Jan 2027'!P34=TRUE,'Jan 2027'!P34="x",'Jan 2027'!P34="X"),1,0))</f>
        <v/>
      </c>
      <c r="AC108" s="345">
        <f>IF($A108="","",IF(OR('Jan 2027'!P35=TRUE,'Jan 2027'!P35="x",'Jan 2027'!P35="X"),1,0))</f>
        <v/>
      </c>
      <c r="AD108" s="345">
        <f>IF($A108="","",IF(OR('Jan 2027'!P36=TRUE,'Jan 2027'!P36="x",'Jan 2027'!P36="X"),1,0))</f>
        <v/>
      </c>
      <c r="AE108" s="345">
        <f>IF($A108="","",IF(OR('Jan 2027'!P37=TRUE,'Jan 2027'!P37="x",'Jan 2027'!P37="X"),1,0))</f>
        <v/>
      </c>
      <c r="AF108" s="345">
        <f>IF($A108="","",IF('Jan 2027'!P59="","",'Jan 2027'!P59))</f>
        <v/>
      </c>
      <c r="AG108" s="345">
        <f>IF($A108="","",IF('Jan 2027'!P60="","",'Jan 2027'!P60))</f>
        <v/>
      </c>
      <c r="AH108" s="345">
        <f>IF($A108="","",IF('Jan 2027'!P61="","",'Jan 2027'!P61))</f>
        <v/>
      </c>
      <c r="AI108" s="345">
        <f>IF($A108="","",IF('Jan 2027'!P62="","",'Jan 2027'!P62))</f>
        <v/>
      </c>
      <c r="AJ108" s="345">
        <f>IF($A108="","",IF('Jan 2027'!P63="","",'Jan 2027'!P63))</f>
        <v/>
      </c>
      <c r="AK108" s="345">
        <f>IF($A108="","",IF('Jan 2027'!P64="","",'Jan 2027'!P64))</f>
        <v/>
      </c>
      <c r="AL108" s="345">
        <f>IF($A108="","",IF('Jan 2027'!P65="","",'Jan 2027'!P65))</f>
        <v/>
      </c>
      <c r="AM108" s="345">
        <f>IF($A108="","",IF('Jan 2027'!P66="","",'Jan 2027'!P66))</f>
        <v/>
      </c>
      <c r="AN108" s="345">
        <f>IF($A108="","",IF('Jan 2027'!P67="","",'Jan 2027'!P67))</f>
        <v/>
      </c>
      <c r="AO108" s="345">
        <f>IF($A108="",0,IF(AND($A108&gt;=TrackStart,$A108&lt;=TODAY()),1,0))</f>
        <v/>
      </c>
      <c r="AP108" s="345">
        <f>IF($A108="",0,IF(SUM(F108:AE108)+COUNT(AF108:AN108)&gt;0,1,0))</f>
        <v/>
      </c>
      <c r="AQ108" s="345">
        <f>IF($A108="","",INT(($A108-TrackStart)/7)+1)</f>
        <v/>
      </c>
      <c r="AR108" s="345">
        <f>IF($A108="","",IF(AQ108&lt;=1,Steps1,IF(AQ108=2,Steps2,Steps3)))</f>
        <v/>
      </c>
      <c r="AS108" s="345">
        <f>IF($A108="",0,IF(ISNUMBER(SEARCH(TEXT(D108,"0"),WorkDays&amp;"")),1,0))</f>
        <v/>
      </c>
      <c r="AT108" s="345">
        <f>IF($A108="",0,IF(ISNUMBER(SEARCH(TEXT(D108,"0"),StrDays&amp;"")),1,0))</f>
        <v/>
      </c>
      <c r="AU108" s="345">
        <f>IF($A108="",0,IF(ISNUMBER(AK108),IF(AK108&gt;=SleepMin,1,0),N108))</f>
        <v/>
      </c>
      <c r="AV108" s="345">
        <f>IF($A108="",0,MAX(I108,O108,S108,AC108))</f>
        <v/>
      </c>
      <c r="AW108" s="345">
        <f>IF($A108="",0,IF(ISNUMBER(AH108),IF(AH108&gt;=ProtHit,1,0),0))</f>
        <v/>
      </c>
      <c r="AX108" s="345">
        <f>IF($A108="",0,IF(ISNUMBER(AI108),IF(AI108&gt;=WaterHit,1,0),0))</f>
        <v/>
      </c>
      <c r="AY108" s="345">
        <f>IF($A108="",0,IF(ISNUMBER(AG108),IF(AG108&gt;=AR108,1,0),0))</f>
        <v/>
      </c>
      <c r="AZ108" s="345">
        <f>IF($A108="",0,G108)</f>
        <v/>
      </c>
      <c r="BA108" s="345">
        <f>IF($A108="",0,J108)</f>
        <v/>
      </c>
      <c r="BB108" s="345">
        <f>IF($A108="",0,K108)</f>
        <v/>
      </c>
      <c r="BC108" s="345">
        <f>IF($A108="",0,MAX(L108,AE108))</f>
        <v/>
      </c>
      <c r="BD108" s="344">
        <f>IF($A108="","",(AU108+AV108+AW108+AX108+AY108+AZ108+BB108+BC108+IF(AS108=1,BA108,0))/(8+AS108))</f>
        <v/>
      </c>
      <c r="BE108" s="344">
        <f>IF($A108="","",(IF(ISNUMBER(AI108),IF(AI108&gt;=WaterMVD,1,0),0)+AV108+IF(ISNUMBER(AH108),IF(AH108&gt;=ProtMVD,1,0),0)+MAX(H108,AD108)+AZ108+BB108+AU108)/7)</f>
        <v/>
      </c>
      <c r="BF108" s="344">
        <f>IF(AO108=0,"",IF(E108="S","",IF(AND(AP108=0,$A108=TODAY()),"",IF(E108="M",BE108,BD108))))</f>
        <v/>
      </c>
      <c r="BG108" s="344">
        <f>IF(AO108=0,"",IFERROR(AVERAGEIFS(Data!$BF$4:$BF$375,Data!$A$4:$A$375,"&gt;"&amp;($A108-7),Data!$A$4:$A$375,"&lt;="&amp;$A108),""))</f>
        <v/>
      </c>
      <c r="BH108" s="344">
        <f>IF(AO108=0,"",IFERROR(AVERAGEIFS(Data!$BF$4:$BF$375,Data!$A$4:$A$375,"&gt;"&amp;($A108-30),Data!$A$4:$A$375,"&lt;="&amp;$A108),""))</f>
        <v/>
      </c>
      <c r="BI108" s="359">
        <f>IF($A108="","",IFERROR(AVERAGEIFS(Data!$AF$4:$AF$375,Data!$A$4:$A$375,"&gt;"&amp;($A108-7),Data!$A$4:$A$375,"&lt;="&amp;$A108,Data!$AF$4:$AF$375,"&gt;0"),""))</f>
        <v/>
      </c>
      <c r="BJ108" s="345">
        <f>IF($A108="","",F108+G108+H108+I108+J108+K108+L108+M108+N108-IF(AS108=1,0,J108))</f>
        <v/>
      </c>
      <c r="BK108" s="345">
        <f>IF($A108="","",8+AS108)</f>
        <v/>
      </c>
      <c r="BL108" s="345">
        <f>IF(ISNUMBER(BF108),BF108,NA())</f>
        <v/>
      </c>
      <c r="BM108" s="345">
        <f>IF(ISNUMBER(AF108),AF108,NA())</f>
        <v/>
      </c>
      <c r="BN108" s="345">
        <f>IF(ISNUMBER(BI108),BI108,NA())</f>
        <v/>
      </c>
      <c r="BO108" s="345">
        <f>IF(ISNUMBER(AL108),AL108,NA())</f>
        <v/>
      </c>
      <c r="BP108" s="345">
        <f>IF(ISNUMBER(AM108),AM108,NA())</f>
        <v/>
      </c>
      <c r="BQ108" s="345">
        <f>IF(ISNUMBER(AN108),AN108,NA())</f>
        <v/>
      </c>
    </row>
    <row r="109">
      <c r="A109" s="358">
        <f>IF('Jan 2027'!Q7="","",'Jan 2027'!Q7)</f>
        <v/>
      </c>
      <c r="B109" s="345" t="n">
        <v>4</v>
      </c>
      <c r="C109" s="345">
        <f>IF($A109="","",13)</f>
        <v/>
      </c>
      <c r="D109" s="345">
        <f>IF($A109="","",WEEKDAY($A109,2))</f>
        <v/>
      </c>
      <c r="E109" s="345">
        <f>IF($A109="","",UPPER(TRIM('Jan 2027'!Q8)))</f>
        <v/>
      </c>
      <c r="F109" s="345">
        <f>IF($A109="","",IF(OR('Jan 2027'!Q10=TRUE,'Jan 2027'!Q10="x",'Jan 2027'!Q10="X"),1,0))</f>
        <v/>
      </c>
      <c r="G109" s="345">
        <f>IF($A109="","",IF(OR('Jan 2027'!Q11=TRUE,'Jan 2027'!Q11="x",'Jan 2027'!Q11="X"),1,0))</f>
        <v/>
      </c>
      <c r="H109" s="345">
        <f>IF($A109="","",IF(OR('Jan 2027'!Q12=TRUE,'Jan 2027'!Q12="x",'Jan 2027'!Q12="X"),1,0))</f>
        <v/>
      </c>
      <c r="I109" s="345">
        <f>IF($A109="","",IF(OR('Jan 2027'!Q13=TRUE,'Jan 2027'!Q13="x",'Jan 2027'!Q13="X"),1,0))</f>
        <v/>
      </c>
      <c r="J109" s="345">
        <f>IF($A109="","",IF(OR('Jan 2027'!Q14=TRUE,'Jan 2027'!Q14="x",'Jan 2027'!Q14="X"),1,0))</f>
        <v/>
      </c>
      <c r="K109" s="345">
        <f>IF($A109="","",IF(OR('Jan 2027'!Q15=TRUE,'Jan 2027'!Q15="x",'Jan 2027'!Q15="X"),1,0))</f>
        <v/>
      </c>
      <c r="L109" s="345">
        <f>IF($A109="","",IF(OR('Jan 2027'!Q16=TRUE,'Jan 2027'!Q16="x",'Jan 2027'!Q16="X"),1,0))</f>
        <v/>
      </c>
      <c r="M109" s="345">
        <f>IF($A109="","",IF(OR('Jan 2027'!Q17=TRUE,'Jan 2027'!Q17="x",'Jan 2027'!Q17="X"),1,0))</f>
        <v/>
      </c>
      <c r="N109" s="345">
        <f>IF($A109="","",IF(OR('Jan 2027'!Q18=TRUE,'Jan 2027'!Q18="x",'Jan 2027'!Q18="X"),1,0))</f>
        <v/>
      </c>
      <c r="O109" s="345">
        <f>IF($A109="","",IF(OR('Jan 2027'!Q20=TRUE,'Jan 2027'!Q20="x",'Jan 2027'!Q20="X"),1,0))</f>
        <v/>
      </c>
      <c r="P109" s="345">
        <f>IF($A109="","",IF(OR('Jan 2027'!Q21=TRUE,'Jan 2027'!Q21="x",'Jan 2027'!Q21="X"),1,0))</f>
        <v/>
      </c>
      <c r="Q109" s="345">
        <f>IF($A109="","",IF(OR('Jan 2027'!Q22=TRUE,'Jan 2027'!Q22="x",'Jan 2027'!Q22="X"),1,0))</f>
        <v/>
      </c>
      <c r="R109" s="345">
        <f>IF($A109="","",IF(OR('Jan 2027'!Q23=TRUE,'Jan 2027'!Q23="x",'Jan 2027'!Q23="X"),1,0))</f>
        <v/>
      </c>
      <c r="S109" s="345">
        <f>IF($A109="","",IF(OR('Jan 2027'!Q24=TRUE,'Jan 2027'!Q24="x",'Jan 2027'!Q24="X"),1,0))</f>
        <v/>
      </c>
      <c r="T109" s="345">
        <f>IF($A109="","",IF(OR('Jan 2027'!Q25=TRUE,'Jan 2027'!Q25="x",'Jan 2027'!Q25="X"),1,0))</f>
        <v/>
      </c>
      <c r="U109" s="345">
        <f>IF($A109="","",IF(OR('Jan 2027'!Q26=TRUE,'Jan 2027'!Q26="x",'Jan 2027'!Q26="X"),1,0))</f>
        <v/>
      </c>
      <c r="V109" s="345">
        <f>IF($A109="","",IF(OR('Jan 2027'!Q27=TRUE,'Jan 2027'!Q27="x",'Jan 2027'!Q27="X"),1,0))</f>
        <v/>
      </c>
      <c r="W109" s="345">
        <f>IF($A109="","",IF(OR('Jan 2027'!Q28=TRUE,'Jan 2027'!Q28="x",'Jan 2027'!Q28="X"),1,0))</f>
        <v/>
      </c>
      <c r="X109" s="345">
        <f>IF($A109="","",IF(OR('Jan 2027'!Q29=TRUE,'Jan 2027'!Q29="x",'Jan 2027'!Q29="X"),1,0))</f>
        <v/>
      </c>
      <c r="Y109" s="345">
        <f>IF($A109="","",IF(OR('Jan 2027'!Q30=TRUE,'Jan 2027'!Q30="x",'Jan 2027'!Q30="X"),1,0))</f>
        <v/>
      </c>
      <c r="Z109" s="345">
        <f>IF($A109="","",IF(OR('Jan 2027'!Q31=TRUE,'Jan 2027'!Q31="x",'Jan 2027'!Q31="X"),1,0))</f>
        <v/>
      </c>
      <c r="AA109" s="345">
        <f>IF($A109="","",IF(OR('Jan 2027'!Q32=TRUE,'Jan 2027'!Q32="x",'Jan 2027'!Q32="X"),1,0))</f>
        <v/>
      </c>
      <c r="AB109" s="345">
        <f>IF($A109="","",IF(OR('Jan 2027'!Q34=TRUE,'Jan 2027'!Q34="x",'Jan 2027'!Q34="X"),1,0))</f>
        <v/>
      </c>
      <c r="AC109" s="345">
        <f>IF($A109="","",IF(OR('Jan 2027'!Q35=TRUE,'Jan 2027'!Q35="x",'Jan 2027'!Q35="X"),1,0))</f>
        <v/>
      </c>
      <c r="AD109" s="345">
        <f>IF($A109="","",IF(OR('Jan 2027'!Q36=TRUE,'Jan 2027'!Q36="x",'Jan 2027'!Q36="X"),1,0))</f>
        <v/>
      </c>
      <c r="AE109" s="345">
        <f>IF($A109="","",IF(OR('Jan 2027'!Q37=TRUE,'Jan 2027'!Q37="x",'Jan 2027'!Q37="X"),1,0))</f>
        <v/>
      </c>
      <c r="AF109" s="345">
        <f>IF($A109="","",IF('Jan 2027'!Q59="","",'Jan 2027'!Q59))</f>
        <v/>
      </c>
      <c r="AG109" s="345">
        <f>IF($A109="","",IF('Jan 2027'!Q60="","",'Jan 2027'!Q60))</f>
        <v/>
      </c>
      <c r="AH109" s="345">
        <f>IF($A109="","",IF('Jan 2027'!Q61="","",'Jan 2027'!Q61))</f>
        <v/>
      </c>
      <c r="AI109" s="345">
        <f>IF($A109="","",IF('Jan 2027'!Q62="","",'Jan 2027'!Q62))</f>
        <v/>
      </c>
      <c r="AJ109" s="345">
        <f>IF($A109="","",IF('Jan 2027'!Q63="","",'Jan 2027'!Q63))</f>
        <v/>
      </c>
      <c r="AK109" s="345">
        <f>IF($A109="","",IF('Jan 2027'!Q64="","",'Jan 2027'!Q64))</f>
        <v/>
      </c>
      <c r="AL109" s="345">
        <f>IF($A109="","",IF('Jan 2027'!Q65="","",'Jan 2027'!Q65))</f>
        <v/>
      </c>
      <c r="AM109" s="345">
        <f>IF($A109="","",IF('Jan 2027'!Q66="","",'Jan 2027'!Q66))</f>
        <v/>
      </c>
      <c r="AN109" s="345">
        <f>IF($A109="","",IF('Jan 2027'!Q67="","",'Jan 2027'!Q67))</f>
        <v/>
      </c>
      <c r="AO109" s="345">
        <f>IF($A109="",0,IF(AND($A109&gt;=TrackStart,$A109&lt;=TODAY()),1,0))</f>
        <v/>
      </c>
      <c r="AP109" s="345">
        <f>IF($A109="",0,IF(SUM(F109:AE109)+COUNT(AF109:AN109)&gt;0,1,0))</f>
        <v/>
      </c>
      <c r="AQ109" s="345">
        <f>IF($A109="","",INT(($A109-TrackStart)/7)+1)</f>
        <v/>
      </c>
      <c r="AR109" s="345">
        <f>IF($A109="","",IF(AQ109&lt;=1,Steps1,IF(AQ109=2,Steps2,Steps3)))</f>
        <v/>
      </c>
      <c r="AS109" s="345">
        <f>IF($A109="",0,IF(ISNUMBER(SEARCH(TEXT(D109,"0"),WorkDays&amp;"")),1,0))</f>
        <v/>
      </c>
      <c r="AT109" s="345">
        <f>IF($A109="",0,IF(ISNUMBER(SEARCH(TEXT(D109,"0"),StrDays&amp;"")),1,0))</f>
        <v/>
      </c>
      <c r="AU109" s="345">
        <f>IF($A109="",0,IF(ISNUMBER(AK109),IF(AK109&gt;=SleepMin,1,0),N109))</f>
        <v/>
      </c>
      <c r="AV109" s="345">
        <f>IF($A109="",0,MAX(I109,O109,S109,AC109))</f>
        <v/>
      </c>
      <c r="AW109" s="345">
        <f>IF($A109="",0,IF(ISNUMBER(AH109),IF(AH109&gt;=ProtHit,1,0),0))</f>
        <v/>
      </c>
      <c r="AX109" s="345">
        <f>IF($A109="",0,IF(ISNUMBER(AI109),IF(AI109&gt;=WaterHit,1,0),0))</f>
        <v/>
      </c>
      <c r="AY109" s="345">
        <f>IF($A109="",0,IF(ISNUMBER(AG109),IF(AG109&gt;=AR109,1,0),0))</f>
        <v/>
      </c>
      <c r="AZ109" s="345">
        <f>IF($A109="",0,G109)</f>
        <v/>
      </c>
      <c r="BA109" s="345">
        <f>IF($A109="",0,J109)</f>
        <v/>
      </c>
      <c r="BB109" s="345">
        <f>IF($A109="",0,K109)</f>
        <v/>
      </c>
      <c r="BC109" s="345">
        <f>IF($A109="",0,MAX(L109,AE109))</f>
        <v/>
      </c>
      <c r="BD109" s="344">
        <f>IF($A109="","",(AU109+AV109+AW109+AX109+AY109+AZ109+BB109+BC109+IF(AS109=1,BA109,0))/(8+AS109))</f>
        <v/>
      </c>
      <c r="BE109" s="344">
        <f>IF($A109="","",(IF(ISNUMBER(AI109),IF(AI109&gt;=WaterMVD,1,0),0)+AV109+IF(ISNUMBER(AH109),IF(AH109&gt;=ProtMVD,1,0),0)+MAX(H109,AD109)+AZ109+BB109+AU109)/7)</f>
        <v/>
      </c>
      <c r="BF109" s="344">
        <f>IF(AO109=0,"",IF(E109="S","",IF(AND(AP109=0,$A109=TODAY()),"",IF(E109="M",BE109,BD109))))</f>
        <v/>
      </c>
      <c r="BG109" s="344">
        <f>IF(AO109=0,"",IFERROR(AVERAGEIFS(Data!$BF$4:$BF$375,Data!$A$4:$A$375,"&gt;"&amp;($A109-7),Data!$A$4:$A$375,"&lt;="&amp;$A109),""))</f>
        <v/>
      </c>
      <c r="BH109" s="344">
        <f>IF(AO109=0,"",IFERROR(AVERAGEIFS(Data!$BF$4:$BF$375,Data!$A$4:$A$375,"&gt;"&amp;($A109-30),Data!$A$4:$A$375,"&lt;="&amp;$A109),""))</f>
        <v/>
      </c>
      <c r="BI109" s="359">
        <f>IF($A109="","",IFERROR(AVERAGEIFS(Data!$AF$4:$AF$375,Data!$A$4:$A$375,"&gt;"&amp;($A109-7),Data!$A$4:$A$375,"&lt;="&amp;$A109,Data!$AF$4:$AF$375,"&gt;0"),""))</f>
        <v/>
      </c>
      <c r="BJ109" s="345">
        <f>IF($A109="","",F109+G109+H109+I109+J109+K109+L109+M109+N109-IF(AS109=1,0,J109))</f>
        <v/>
      </c>
      <c r="BK109" s="345">
        <f>IF($A109="","",8+AS109)</f>
        <v/>
      </c>
      <c r="BL109" s="345">
        <f>IF(ISNUMBER(BF109),BF109,NA())</f>
        <v/>
      </c>
      <c r="BM109" s="345">
        <f>IF(ISNUMBER(AF109),AF109,NA())</f>
        <v/>
      </c>
      <c r="BN109" s="345">
        <f>IF(ISNUMBER(BI109),BI109,NA())</f>
        <v/>
      </c>
      <c r="BO109" s="345">
        <f>IF(ISNUMBER(AL109),AL109,NA())</f>
        <v/>
      </c>
      <c r="BP109" s="345">
        <f>IF(ISNUMBER(AM109),AM109,NA())</f>
        <v/>
      </c>
      <c r="BQ109" s="345">
        <f>IF(ISNUMBER(AN109),AN109,NA())</f>
        <v/>
      </c>
    </row>
    <row r="110">
      <c r="A110" s="358">
        <f>IF('Jan 2027'!R7="","",'Jan 2027'!R7)</f>
        <v/>
      </c>
      <c r="B110" s="345" t="n">
        <v>4</v>
      </c>
      <c r="C110" s="345">
        <f>IF($A110="","",14)</f>
        <v/>
      </c>
      <c r="D110" s="345">
        <f>IF($A110="","",WEEKDAY($A110,2))</f>
        <v/>
      </c>
      <c r="E110" s="345">
        <f>IF($A110="","",UPPER(TRIM('Jan 2027'!R8)))</f>
        <v/>
      </c>
      <c r="F110" s="345">
        <f>IF($A110="","",IF(OR('Jan 2027'!R10=TRUE,'Jan 2027'!R10="x",'Jan 2027'!R10="X"),1,0))</f>
        <v/>
      </c>
      <c r="G110" s="345">
        <f>IF($A110="","",IF(OR('Jan 2027'!R11=TRUE,'Jan 2027'!R11="x",'Jan 2027'!R11="X"),1,0))</f>
        <v/>
      </c>
      <c r="H110" s="345">
        <f>IF($A110="","",IF(OR('Jan 2027'!R12=TRUE,'Jan 2027'!R12="x",'Jan 2027'!R12="X"),1,0))</f>
        <v/>
      </c>
      <c r="I110" s="345">
        <f>IF($A110="","",IF(OR('Jan 2027'!R13=TRUE,'Jan 2027'!R13="x",'Jan 2027'!R13="X"),1,0))</f>
        <v/>
      </c>
      <c r="J110" s="345">
        <f>IF($A110="","",IF(OR('Jan 2027'!R14=TRUE,'Jan 2027'!R14="x",'Jan 2027'!R14="X"),1,0))</f>
        <v/>
      </c>
      <c r="K110" s="345">
        <f>IF($A110="","",IF(OR('Jan 2027'!R15=TRUE,'Jan 2027'!R15="x",'Jan 2027'!R15="X"),1,0))</f>
        <v/>
      </c>
      <c r="L110" s="345">
        <f>IF($A110="","",IF(OR('Jan 2027'!R16=TRUE,'Jan 2027'!R16="x",'Jan 2027'!R16="X"),1,0))</f>
        <v/>
      </c>
      <c r="M110" s="345">
        <f>IF($A110="","",IF(OR('Jan 2027'!R17=TRUE,'Jan 2027'!R17="x",'Jan 2027'!R17="X"),1,0))</f>
        <v/>
      </c>
      <c r="N110" s="345">
        <f>IF($A110="","",IF(OR('Jan 2027'!R18=TRUE,'Jan 2027'!R18="x",'Jan 2027'!R18="X"),1,0))</f>
        <v/>
      </c>
      <c r="O110" s="345">
        <f>IF($A110="","",IF(OR('Jan 2027'!R20=TRUE,'Jan 2027'!R20="x",'Jan 2027'!R20="X"),1,0))</f>
        <v/>
      </c>
      <c r="P110" s="345">
        <f>IF($A110="","",IF(OR('Jan 2027'!R21=TRUE,'Jan 2027'!R21="x",'Jan 2027'!R21="X"),1,0))</f>
        <v/>
      </c>
      <c r="Q110" s="345">
        <f>IF($A110="","",IF(OR('Jan 2027'!R22=TRUE,'Jan 2027'!R22="x",'Jan 2027'!R22="X"),1,0))</f>
        <v/>
      </c>
      <c r="R110" s="345">
        <f>IF($A110="","",IF(OR('Jan 2027'!R23=TRUE,'Jan 2027'!R23="x",'Jan 2027'!R23="X"),1,0))</f>
        <v/>
      </c>
      <c r="S110" s="345">
        <f>IF($A110="","",IF(OR('Jan 2027'!R24=TRUE,'Jan 2027'!R24="x",'Jan 2027'!R24="X"),1,0))</f>
        <v/>
      </c>
      <c r="T110" s="345">
        <f>IF($A110="","",IF(OR('Jan 2027'!R25=TRUE,'Jan 2027'!R25="x",'Jan 2027'!R25="X"),1,0))</f>
        <v/>
      </c>
      <c r="U110" s="345">
        <f>IF($A110="","",IF(OR('Jan 2027'!R26=TRUE,'Jan 2027'!R26="x",'Jan 2027'!R26="X"),1,0))</f>
        <v/>
      </c>
      <c r="V110" s="345">
        <f>IF($A110="","",IF(OR('Jan 2027'!R27=TRUE,'Jan 2027'!R27="x",'Jan 2027'!R27="X"),1,0))</f>
        <v/>
      </c>
      <c r="W110" s="345">
        <f>IF($A110="","",IF(OR('Jan 2027'!R28=TRUE,'Jan 2027'!R28="x",'Jan 2027'!R28="X"),1,0))</f>
        <v/>
      </c>
      <c r="X110" s="345">
        <f>IF($A110="","",IF(OR('Jan 2027'!R29=TRUE,'Jan 2027'!R29="x",'Jan 2027'!R29="X"),1,0))</f>
        <v/>
      </c>
      <c r="Y110" s="345">
        <f>IF($A110="","",IF(OR('Jan 2027'!R30=TRUE,'Jan 2027'!R30="x",'Jan 2027'!R30="X"),1,0))</f>
        <v/>
      </c>
      <c r="Z110" s="345">
        <f>IF($A110="","",IF(OR('Jan 2027'!R31=TRUE,'Jan 2027'!R31="x",'Jan 2027'!R31="X"),1,0))</f>
        <v/>
      </c>
      <c r="AA110" s="345">
        <f>IF($A110="","",IF(OR('Jan 2027'!R32=TRUE,'Jan 2027'!R32="x",'Jan 2027'!R32="X"),1,0))</f>
        <v/>
      </c>
      <c r="AB110" s="345">
        <f>IF($A110="","",IF(OR('Jan 2027'!R34=TRUE,'Jan 2027'!R34="x",'Jan 2027'!R34="X"),1,0))</f>
        <v/>
      </c>
      <c r="AC110" s="345">
        <f>IF($A110="","",IF(OR('Jan 2027'!R35=TRUE,'Jan 2027'!R35="x",'Jan 2027'!R35="X"),1,0))</f>
        <v/>
      </c>
      <c r="AD110" s="345">
        <f>IF($A110="","",IF(OR('Jan 2027'!R36=TRUE,'Jan 2027'!R36="x",'Jan 2027'!R36="X"),1,0))</f>
        <v/>
      </c>
      <c r="AE110" s="345">
        <f>IF($A110="","",IF(OR('Jan 2027'!R37=TRUE,'Jan 2027'!R37="x",'Jan 2027'!R37="X"),1,0))</f>
        <v/>
      </c>
      <c r="AF110" s="345">
        <f>IF($A110="","",IF('Jan 2027'!R59="","",'Jan 2027'!R59))</f>
        <v/>
      </c>
      <c r="AG110" s="345">
        <f>IF($A110="","",IF('Jan 2027'!R60="","",'Jan 2027'!R60))</f>
        <v/>
      </c>
      <c r="AH110" s="345">
        <f>IF($A110="","",IF('Jan 2027'!R61="","",'Jan 2027'!R61))</f>
        <v/>
      </c>
      <c r="AI110" s="345">
        <f>IF($A110="","",IF('Jan 2027'!R62="","",'Jan 2027'!R62))</f>
        <v/>
      </c>
      <c r="AJ110" s="345">
        <f>IF($A110="","",IF('Jan 2027'!R63="","",'Jan 2027'!R63))</f>
        <v/>
      </c>
      <c r="AK110" s="345">
        <f>IF($A110="","",IF('Jan 2027'!R64="","",'Jan 2027'!R64))</f>
        <v/>
      </c>
      <c r="AL110" s="345">
        <f>IF($A110="","",IF('Jan 2027'!R65="","",'Jan 2027'!R65))</f>
        <v/>
      </c>
      <c r="AM110" s="345">
        <f>IF($A110="","",IF('Jan 2027'!R66="","",'Jan 2027'!R66))</f>
        <v/>
      </c>
      <c r="AN110" s="345">
        <f>IF($A110="","",IF('Jan 2027'!R67="","",'Jan 2027'!R67))</f>
        <v/>
      </c>
      <c r="AO110" s="345">
        <f>IF($A110="",0,IF(AND($A110&gt;=TrackStart,$A110&lt;=TODAY()),1,0))</f>
        <v/>
      </c>
      <c r="AP110" s="345">
        <f>IF($A110="",0,IF(SUM(F110:AE110)+COUNT(AF110:AN110)&gt;0,1,0))</f>
        <v/>
      </c>
      <c r="AQ110" s="345">
        <f>IF($A110="","",INT(($A110-TrackStart)/7)+1)</f>
        <v/>
      </c>
      <c r="AR110" s="345">
        <f>IF($A110="","",IF(AQ110&lt;=1,Steps1,IF(AQ110=2,Steps2,Steps3)))</f>
        <v/>
      </c>
      <c r="AS110" s="345">
        <f>IF($A110="",0,IF(ISNUMBER(SEARCH(TEXT(D110,"0"),WorkDays&amp;"")),1,0))</f>
        <v/>
      </c>
      <c r="AT110" s="345">
        <f>IF($A110="",0,IF(ISNUMBER(SEARCH(TEXT(D110,"0"),StrDays&amp;"")),1,0))</f>
        <v/>
      </c>
      <c r="AU110" s="345">
        <f>IF($A110="",0,IF(ISNUMBER(AK110),IF(AK110&gt;=SleepMin,1,0),N110))</f>
        <v/>
      </c>
      <c r="AV110" s="345">
        <f>IF($A110="",0,MAX(I110,O110,S110,AC110))</f>
        <v/>
      </c>
      <c r="AW110" s="345">
        <f>IF($A110="",0,IF(ISNUMBER(AH110),IF(AH110&gt;=ProtHit,1,0),0))</f>
        <v/>
      </c>
      <c r="AX110" s="345">
        <f>IF($A110="",0,IF(ISNUMBER(AI110),IF(AI110&gt;=WaterHit,1,0),0))</f>
        <v/>
      </c>
      <c r="AY110" s="345">
        <f>IF($A110="",0,IF(ISNUMBER(AG110),IF(AG110&gt;=AR110,1,0),0))</f>
        <v/>
      </c>
      <c r="AZ110" s="345">
        <f>IF($A110="",0,G110)</f>
        <v/>
      </c>
      <c r="BA110" s="345">
        <f>IF($A110="",0,J110)</f>
        <v/>
      </c>
      <c r="BB110" s="345">
        <f>IF($A110="",0,K110)</f>
        <v/>
      </c>
      <c r="BC110" s="345">
        <f>IF($A110="",0,MAX(L110,AE110))</f>
        <v/>
      </c>
      <c r="BD110" s="344">
        <f>IF($A110="","",(AU110+AV110+AW110+AX110+AY110+AZ110+BB110+BC110+IF(AS110=1,BA110,0))/(8+AS110))</f>
        <v/>
      </c>
      <c r="BE110" s="344">
        <f>IF($A110="","",(IF(ISNUMBER(AI110),IF(AI110&gt;=WaterMVD,1,0),0)+AV110+IF(ISNUMBER(AH110),IF(AH110&gt;=ProtMVD,1,0),0)+MAX(H110,AD110)+AZ110+BB110+AU110)/7)</f>
        <v/>
      </c>
      <c r="BF110" s="344">
        <f>IF(AO110=0,"",IF(E110="S","",IF(AND(AP110=0,$A110=TODAY()),"",IF(E110="M",BE110,BD110))))</f>
        <v/>
      </c>
      <c r="BG110" s="344">
        <f>IF(AO110=0,"",IFERROR(AVERAGEIFS(Data!$BF$4:$BF$375,Data!$A$4:$A$375,"&gt;"&amp;($A110-7),Data!$A$4:$A$375,"&lt;="&amp;$A110),""))</f>
        <v/>
      </c>
      <c r="BH110" s="344">
        <f>IF(AO110=0,"",IFERROR(AVERAGEIFS(Data!$BF$4:$BF$375,Data!$A$4:$A$375,"&gt;"&amp;($A110-30),Data!$A$4:$A$375,"&lt;="&amp;$A110),""))</f>
        <v/>
      </c>
      <c r="BI110" s="359">
        <f>IF($A110="","",IFERROR(AVERAGEIFS(Data!$AF$4:$AF$375,Data!$A$4:$A$375,"&gt;"&amp;($A110-7),Data!$A$4:$A$375,"&lt;="&amp;$A110,Data!$AF$4:$AF$375,"&gt;0"),""))</f>
        <v/>
      </c>
      <c r="BJ110" s="345">
        <f>IF($A110="","",F110+G110+H110+I110+J110+K110+L110+M110+N110-IF(AS110=1,0,J110))</f>
        <v/>
      </c>
      <c r="BK110" s="345">
        <f>IF($A110="","",8+AS110)</f>
        <v/>
      </c>
      <c r="BL110" s="345">
        <f>IF(ISNUMBER(BF110),BF110,NA())</f>
        <v/>
      </c>
      <c r="BM110" s="345">
        <f>IF(ISNUMBER(AF110),AF110,NA())</f>
        <v/>
      </c>
      <c r="BN110" s="345">
        <f>IF(ISNUMBER(BI110),BI110,NA())</f>
        <v/>
      </c>
      <c r="BO110" s="345">
        <f>IF(ISNUMBER(AL110),AL110,NA())</f>
        <v/>
      </c>
      <c r="BP110" s="345">
        <f>IF(ISNUMBER(AM110),AM110,NA())</f>
        <v/>
      </c>
      <c r="BQ110" s="345">
        <f>IF(ISNUMBER(AN110),AN110,NA())</f>
        <v/>
      </c>
    </row>
    <row r="111">
      <c r="A111" s="358">
        <f>IF('Jan 2027'!S7="","",'Jan 2027'!S7)</f>
        <v/>
      </c>
      <c r="B111" s="345" t="n">
        <v>4</v>
      </c>
      <c r="C111" s="345">
        <f>IF($A111="","",15)</f>
        <v/>
      </c>
      <c r="D111" s="345">
        <f>IF($A111="","",WEEKDAY($A111,2))</f>
        <v/>
      </c>
      <c r="E111" s="345">
        <f>IF($A111="","",UPPER(TRIM('Jan 2027'!S8)))</f>
        <v/>
      </c>
      <c r="F111" s="345">
        <f>IF($A111="","",IF(OR('Jan 2027'!S10=TRUE,'Jan 2027'!S10="x",'Jan 2027'!S10="X"),1,0))</f>
        <v/>
      </c>
      <c r="G111" s="345">
        <f>IF($A111="","",IF(OR('Jan 2027'!S11=TRUE,'Jan 2027'!S11="x",'Jan 2027'!S11="X"),1,0))</f>
        <v/>
      </c>
      <c r="H111" s="345">
        <f>IF($A111="","",IF(OR('Jan 2027'!S12=TRUE,'Jan 2027'!S12="x",'Jan 2027'!S12="X"),1,0))</f>
        <v/>
      </c>
      <c r="I111" s="345">
        <f>IF($A111="","",IF(OR('Jan 2027'!S13=TRUE,'Jan 2027'!S13="x",'Jan 2027'!S13="X"),1,0))</f>
        <v/>
      </c>
      <c r="J111" s="345">
        <f>IF($A111="","",IF(OR('Jan 2027'!S14=TRUE,'Jan 2027'!S14="x",'Jan 2027'!S14="X"),1,0))</f>
        <v/>
      </c>
      <c r="K111" s="345">
        <f>IF($A111="","",IF(OR('Jan 2027'!S15=TRUE,'Jan 2027'!S15="x",'Jan 2027'!S15="X"),1,0))</f>
        <v/>
      </c>
      <c r="L111" s="345">
        <f>IF($A111="","",IF(OR('Jan 2027'!S16=TRUE,'Jan 2027'!S16="x",'Jan 2027'!S16="X"),1,0))</f>
        <v/>
      </c>
      <c r="M111" s="345">
        <f>IF($A111="","",IF(OR('Jan 2027'!S17=TRUE,'Jan 2027'!S17="x",'Jan 2027'!S17="X"),1,0))</f>
        <v/>
      </c>
      <c r="N111" s="345">
        <f>IF($A111="","",IF(OR('Jan 2027'!S18=TRUE,'Jan 2027'!S18="x",'Jan 2027'!S18="X"),1,0))</f>
        <v/>
      </c>
      <c r="O111" s="345">
        <f>IF($A111="","",IF(OR('Jan 2027'!S20=TRUE,'Jan 2027'!S20="x",'Jan 2027'!S20="X"),1,0))</f>
        <v/>
      </c>
      <c r="P111" s="345">
        <f>IF($A111="","",IF(OR('Jan 2027'!S21=TRUE,'Jan 2027'!S21="x",'Jan 2027'!S21="X"),1,0))</f>
        <v/>
      </c>
      <c r="Q111" s="345">
        <f>IF($A111="","",IF(OR('Jan 2027'!S22=TRUE,'Jan 2027'!S22="x",'Jan 2027'!S22="X"),1,0))</f>
        <v/>
      </c>
      <c r="R111" s="345">
        <f>IF($A111="","",IF(OR('Jan 2027'!S23=TRUE,'Jan 2027'!S23="x",'Jan 2027'!S23="X"),1,0))</f>
        <v/>
      </c>
      <c r="S111" s="345">
        <f>IF($A111="","",IF(OR('Jan 2027'!S24=TRUE,'Jan 2027'!S24="x",'Jan 2027'!S24="X"),1,0))</f>
        <v/>
      </c>
      <c r="T111" s="345">
        <f>IF($A111="","",IF(OR('Jan 2027'!S25=TRUE,'Jan 2027'!S25="x",'Jan 2027'!S25="X"),1,0))</f>
        <v/>
      </c>
      <c r="U111" s="345">
        <f>IF($A111="","",IF(OR('Jan 2027'!S26=TRUE,'Jan 2027'!S26="x",'Jan 2027'!S26="X"),1,0))</f>
        <v/>
      </c>
      <c r="V111" s="345">
        <f>IF($A111="","",IF(OR('Jan 2027'!S27=TRUE,'Jan 2027'!S27="x",'Jan 2027'!S27="X"),1,0))</f>
        <v/>
      </c>
      <c r="W111" s="345">
        <f>IF($A111="","",IF(OR('Jan 2027'!S28=TRUE,'Jan 2027'!S28="x",'Jan 2027'!S28="X"),1,0))</f>
        <v/>
      </c>
      <c r="X111" s="345">
        <f>IF($A111="","",IF(OR('Jan 2027'!S29=TRUE,'Jan 2027'!S29="x",'Jan 2027'!S29="X"),1,0))</f>
        <v/>
      </c>
      <c r="Y111" s="345">
        <f>IF($A111="","",IF(OR('Jan 2027'!S30=TRUE,'Jan 2027'!S30="x",'Jan 2027'!S30="X"),1,0))</f>
        <v/>
      </c>
      <c r="Z111" s="345">
        <f>IF($A111="","",IF(OR('Jan 2027'!S31=TRUE,'Jan 2027'!S31="x",'Jan 2027'!S31="X"),1,0))</f>
        <v/>
      </c>
      <c r="AA111" s="345">
        <f>IF($A111="","",IF(OR('Jan 2027'!S32=TRUE,'Jan 2027'!S32="x",'Jan 2027'!S32="X"),1,0))</f>
        <v/>
      </c>
      <c r="AB111" s="345">
        <f>IF($A111="","",IF(OR('Jan 2027'!S34=TRUE,'Jan 2027'!S34="x",'Jan 2027'!S34="X"),1,0))</f>
        <v/>
      </c>
      <c r="AC111" s="345">
        <f>IF($A111="","",IF(OR('Jan 2027'!S35=TRUE,'Jan 2027'!S35="x",'Jan 2027'!S35="X"),1,0))</f>
        <v/>
      </c>
      <c r="AD111" s="345">
        <f>IF($A111="","",IF(OR('Jan 2027'!S36=TRUE,'Jan 2027'!S36="x",'Jan 2027'!S36="X"),1,0))</f>
        <v/>
      </c>
      <c r="AE111" s="345">
        <f>IF($A111="","",IF(OR('Jan 2027'!S37=TRUE,'Jan 2027'!S37="x",'Jan 2027'!S37="X"),1,0))</f>
        <v/>
      </c>
      <c r="AF111" s="345">
        <f>IF($A111="","",IF('Jan 2027'!S59="","",'Jan 2027'!S59))</f>
        <v/>
      </c>
      <c r="AG111" s="345">
        <f>IF($A111="","",IF('Jan 2027'!S60="","",'Jan 2027'!S60))</f>
        <v/>
      </c>
      <c r="AH111" s="345">
        <f>IF($A111="","",IF('Jan 2027'!S61="","",'Jan 2027'!S61))</f>
        <v/>
      </c>
      <c r="AI111" s="345">
        <f>IF($A111="","",IF('Jan 2027'!S62="","",'Jan 2027'!S62))</f>
        <v/>
      </c>
      <c r="AJ111" s="345">
        <f>IF($A111="","",IF('Jan 2027'!S63="","",'Jan 2027'!S63))</f>
        <v/>
      </c>
      <c r="AK111" s="345">
        <f>IF($A111="","",IF('Jan 2027'!S64="","",'Jan 2027'!S64))</f>
        <v/>
      </c>
      <c r="AL111" s="345">
        <f>IF($A111="","",IF('Jan 2027'!S65="","",'Jan 2027'!S65))</f>
        <v/>
      </c>
      <c r="AM111" s="345">
        <f>IF($A111="","",IF('Jan 2027'!S66="","",'Jan 2027'!S66))</f>
        <v/>
      </c>
      <c r="AN111" s="345">
        <f>IF($A111="","",IF('Jan 2027'!S67="","",'Jan 2027'!S67))</f>
        <v/>
      </c>
      <c r="AO111" s="345">
        <f>IF($A111="",0,IF(AND($A111&gt;=TrackStart,$A111&lt;=TODAY()),1,0))</f>
        <v/>
      </c>
      <c r="AP111" s="345">
        <f>IF($A111="",0,IF(SUM(F111:AE111)+COUNT(AF111:AN111)&gt;0,1,0))</f>
        <v/>
      </c>
      <c r="AQ111" s="345">
        <f>IF($A111="","",INT(($A111-TrackStart)/7)+1)</f>
        <v/>
      </c>
      <c r="AR111" s="345">
        <f>IF($A111="","",IF(AQ111&lt;=1,Steps1,IF(AQ111=2,Steps2,Steps3)))</f>
        <v/>
      </c>
      <c r="AS111" s="345">
        <f>IF($A111="",0,IF(ISNUMBER(SEARCH(TEXT(D111,"0"),WorkDays&amp;"")),1,0))</f>
        <v/>
      </c>
      <c r="AT111" s="345">
        <f>IF($A111="",0,IF(ISNUMBER(SEARCH(TEXT(D111,"0"),StrDays&amp;"")),1,0))</f>
        <v/>
      </c>
      <c r="AU111" s="345">
        <f>IF($A111="",0,IF(ISNUMBER(AK111),IF(AK111&gt;=SleepMin,1,0),N111))</f>
        <v/>
      </c>
      <c r="AV111" s="345">
        <f>IF($A111="",0,MAX(I111,O111,S111,AC111))</f>
        <v/>
      </c>
      <c r="AW111" s="345">
        <f>IF($A111="",0,IF(ISNUMBER(AH111),IF(AH111&gt;=ProtHit,1,0),0))</f>
        <v/>
      </c>
      <c r="AX111" s="345">
        <f>IF($A111="",0,IF(ISNUMBER(AI111),IF(AI111&gt;=WaterHit,1,0),0))</f>
        <v/>
      </c>
      <c r="AY111" s="345">
        <f>IF($A111="",0,IF(ISNUMBER(AG111),IF(AG111&gt;=AR111,1,0),0))</f>
        <v/>
      </c>
      <c r="AZ111" s="345">
        <f>IF($A111="",0,G111)</f>
        <v/>
      </c>
      <c r="BA111" s="345">
        <f>IF($A111="",0,J111)</f>
        <v/>
      </c>
      <c r="BB111" s="345">
        <f>IF($A111="",0,K111)</f>
        <v/>
      </c>
      <c r="BC111" s="345">
        <f>IF($A111="",0,MAX(L111,AE111))</f>
        <v/>
      </c>
      <c r="BD111" s="344">
        <f>IF($A111="","",(AU111+AV111+AW111+AX111+AY111+AZ111+BB111+BC111+IF(AS111=1,BA111,0))/(8+AS111))</f>
        <v/>
      </c>
      <c r="BE111" s="344">
        <f>IF($A111="","",(IF(ISNUMBER(AI111),IF(AI111&gt;=WaterMVD,1,0),0)+AV111+IF(ISNUMBER(AH111),IF(AH111&gt;=ProtMVD,1,0),0)+MAX(H111,AD111)+AZ111+BB111+AU111)/7)</f>
        <v/>
      </c>
      <c r="BF111" s="344">
        <f>IF(AO111=0,"",IF(E111="S","",IF(AND(AP111=0,$A111=TODAY()),"",IF(E111="M",BE111,BD111))))</f>
        <v/>
      </c>
      <c r="BG111" s="344">
        <f>IF(AO111=0,"",IFERROR(AVERAGEIFS(Data!$BF$4:$BF$375,Data!$A$4:$A$375,"&gt;"&amp;($A111-7),Data!$A$4:$A$375,"&lt;="&amp;$A111),""))</f>
        <v/>
      </c>
      <c r="BH111" s="344">
        <f>IF(AO111=0,"",IFERROR(AVERAGEIFS(Data!$BF$4:$BF$375,Data!$A$4:$A$375,"&gt;"&amp;($A111-30),Data!$A$4:$A$375,"&lt;="&amp;$A111),""))</f>
        <v/>
      </c>
      <c r="BI111" s="359">
        <f>IF($A111="","",IFERROR(AVERAGEIFS(Data!$AF$4:$AF$375,Data!$A$4:$A$375,"&gt;"&amp;($A111-7),Data!$A$4:$A$375,"&lt;="&amp;$A111,Data!$AF$4:$AF$375,"&gt;0"),""))</f>
        <v/>
      </c>
      <c r="BJ111" s="345">
        <f>IF($A111="","",F111+G111+H111+I111+J111+K111+L111+M111+N111-IF(AS111=1,0,J111))</f>
        <v/>
      </c>
      <c r="BK111" s="345">
        <f>IF($A111="","",8+AS111)</f>
        <v/>
      </c>
      <c r="BL111" s="345">
        <f>IF(ISNUMBER(BF111),BF111,NA())</f>
        <v/>
      </c>
      <c r="BM111" s="345">
        <f>IF(ISNUMBER(AF111),AF111,NA())</f>
        <v/>
      </c>
      <c r="BN111" s="345">
        <f>IF(ISNUMBER(BI111),BI111,NA())</f>
        <v/>
      </c>
      <c r="BO111" s="345">
        <f>IF(ISNUMBER(AL111),AL111,NA())</f>
        <v/>
      </c>
      <c r="BP111" s="345">
        <f>IF(ISNUMBER(AM111),AM111,NA())</f>
        <v/>
      </c>
      <c r="BQ111" s="345">
        <f>IF(ISNUMBER(AN111),AN111,NA())</f>
        <v/>
      </c>
    </row>
    <row r="112">
      <c r="A112" s="358">
        <f>IF('Jan 2027'!T7="","",'Jan 2027'!T7)</f>
        <v/>
      </c>
      <c r="B112" s="345" t="n">
        <v>4</v>
      </c>
      <c r="C112" s="345">
        <f>IF($A112="","",16)</f>
        <v/>
      </c>
      <c r="D112" s="345">
        <f>IF($A112="","",WEEKDAY($A112,2))</f>
        <v/>
      </c>
      <c r="E112" s="345">
        <f>IF($A112="","",UPPER(TRIM('Jan 2027'!T8)))</f>
        <v/>
      </c>
      <c r="F112" s="345">
        <f>IF($A112="","",IF(OR('Jan 2027'!T10=TRUE,'Jan 2027'!T10="x",'Jan 2027'!T10="X"),1,0))</f>
        <v/>
      </c>
      <c r="G112" s="345">
        <f>IF($A112="","",IF(OR('Jan 2027'!T11=TRUE,'Jan 2027'!T11="x",'Jan 2027'!T11="X"),1,0))</f>
        <v/>
      </c>
      <c r="H112" s="345">
        <f>IF($A112="","",IF(OR('Jan 2027'!T12=TRUE,'Jan 2027'!T12="x",'Jan 2027'!T12="X"),1,0))</f>
        <v/>
      </c>
      <c r="I112" s="345">
        <f>IF($A112="","",IF(OR('Jan 2027'!T13=TRUE,'Jan 2027'!T13="x",'Jan 2027'!T13="X"),1,0))</f>
        <v/>
      </c>
      <c r="J112" s="345">
        <f>IF($A112="","",IF(OR('Jan 2027'!T14=TRUE,'Jan 2027'!T14="x",'Jan 2027'!T14="X"),1,0))</f>
        <v/>
      </c>
      <c r="K112" s="345">
        <f>IF($A112="","",IF(OR('Jan 2027'!T15=TRUE,'Jan 2027'!T15="x",'Jan 2027'!T15="X"),1,0))</f>
        <v/>
      </c>
      <c r="L112" s="345">
        <f>IF($A112="","",IF(OR('Jan 2027'!T16=TRUE,'Jan 2027'!T16="x",'Jan 2027'!T16="X"),1,0))</f>
        <v/>
      </c>
      <c r="M112" s="345">
        <f>IF($A112="","",IF(OR('Jan 2027'!T17=TRUE,'Jan 2027'!T17="x",'Jan 2027'!T17="X"),1,0))</f>
        <v/>
      </c>
      <c r="N112" s="345">
        <f>IF($A112="","",IF(OR('Jan 2027'!T18=TRUE,'Jan 2027'!T18="x",'Jan 2027'!T18="X"),1,0))</f>
        <v/>
      </c>
      <c r="O112" s="345">
        <f>IF($A112="","",IF(OR('Jan 2027'!T20=TRUE,'Jan 2027'!T20="x",'Jan 2027'!T20="X"),1,0))</f>
        <v/>
      </c>
      <c r="P112" s="345">
        <f>IF($A112="","",IF(OR('Jan 2027'!T21=TRUE,'Jan 2027'!T21="x",'Jan 2027'!T21="X"),1,0))</f>
        <v/>
      </c>
      <c r="Q112" s="345">
        <f>IF($A112="","",IF(OR('Jan 2027'!T22=TRUE,'Jan 2027'!T22="x",'Jan 2027'!T22="X"),1,0))</f>
        <v/>
      </c>
      <c r="R112" s="345">
        <f>IF($A112="","",IF(OR('Jan 2027'!T23=TRUE,'Jan 2027'!T23="x",'Jan 2027'!T23="X"),1,0))</f>
        <v/>
      </c>
      <c r="S112" s="345">
        <f>IF($A112="","",IF(OR('Jan 2027'!T24=TRUE,'Jan 2027'!T24="x",'Jan 2027'!T24="X"),1,0))</f>
        <v/>
      </c>
      <c r="T112" s="345">
        <f>IF($A112="","",IF(OR('Jan 2027'!T25=TRUE,'Jan 2027'!T25="x",'Jan 2027'!T25="X"),1,0))</f>
        <v/>
      </c>
      <c r="U112" s="345">
        <f>IF($A112="","",IF(OR('Jan 2027'!T26=TRUE,'Jan 2027'!T26="x",'Jan 2027'!T26="X"),1,0))</f>
        <v/>
      </c>
      <c r="V112" s="345">
        <f>IF($A112="","",IF(OR('Jan 2027'!T27=TRUE,'Jan 2027'!T27="x",'Jan 2027'!T27="X"),1,0))</f>
        <v/>
      </c>
      <c r="W112" s="345">
        <f>IF($A112="","",IF(OR('Jan 2027'!T28=TRUE,'Jan 2027'!T28="x",'Jan 2027'!T28="X"),1,0))</f>
        <v/>
      </c>
      <c r="X112" s="345">
        <f>IF($A112="","",IF(OR('Jan 2027'!T29=TRUE,'Jan 2027'!T29="x",'Jan 2027'!T29="X"),1,0))</f>
        <v/>
      </c>
      <c r="Y112" s="345">
        <f>IF($A112="","",IF(OR('Jan 2027'!T30=TRUE,'Jan 2027'!T30="x",'Jan 2027'!T30="X"),1,0))</f>
        <v/>
      </c>
      <c r="Z112" s="345">
        <f>IF($A112="","",IF(OR('Jan 2027'!T31=TRUE,'Jan 2027'!T31="x",'Jan 2027'!T31="X"),1,0))</f>
        <v/>
      </c>
      <c r="AA112" s="345">
        <f>IF($A112="","",IF(OR('Jan 2027'!T32=TRUE,'Jan 2027'!T32="x",'Jan 2027'!T32="X"),1,0))</f>
        <v/>
      </c>
      <c r="AB112" s="345">
        <f>IF($A112="","",IF(OR('Jan 2027'!T34=TRUE,'Jan 2027'!T34="x",'Jan 2027'!T34="X"),1,0))</f>
        <v/>
      </c>
      <c r="AC112" s="345">
        <f>IF($A112="","",IF(OR('Jan 2027'!T35=TRUE,'Jan 2027'!T35="x",'Jan 2027'!T35="X"),1,0))</f>
        <v/>
      </c>
      <c r="AD112" s="345">
        <f>IF($A112="","",IF(OR('Jan 2027'!T36=TRUE,'Jan 2027'!T36="x",'Jan 2027'!T36="X"),1,0))</f>
        <v/>
      </c>
      <c r="AE112" s="345">
        <f>IF($A112="","",IF(OR('Jan 2027'!T37=TRUE,'Jan 2027'!T37="x",'Jan 2027'!T37="X"),1,0))</f>
        <v/>
      </c>
      <c r="AF112" s="345">
        <f>IF($A112="","",IF('Jan 2027'!T59="","",'Jan 2027'!T59))</f>
        <v/>
      </c>
      <c r="AG112" s="345">
        <f>IF($A112="","",IF('Jan 2027'!T60="","",'Jan 2027'!T60))</f>
        <v/>
      </c>
      <c r="AH112" s="345">
        <f>IF($A112="","",IF('Jan 2027'!T61="","",'Jan 2027'!T61))</f>
        <v/>
      </c>
      <c r="AI112" s="345">
        <f>IF($A112="","",IF('Jan 2027'!T62="","",'Jan 2027'!T62))</f>
        <v/>
      </c>
      <c r="AJ112" s="345">
        <f>IF($A112="","",IF('Jan 2027'!T63="","",'Jan 2027'!T63))</f>
        <v/>
      </c>
      <c r="AK112" s="345">
        <f>IF($A112="","",IF('Jan 2027'!T64="","",'Jan 2027'!T64))</f>
        <v/>
      </c>
      <c r="AL112" s="345">
        <f>IF($A112="","",IF('Jan 2027'!T65="","",'Jan 2027'!T65))</f>
        <v/>
      </c>
      <c r="AM112" s="345">
        <f>IF($A112="","",IF('Jan 2027'!T66="","",'Jan 2027'!T66))</f>
        <v/>
      </c>
      <c r="AN112" s="345">
        <f>IF($A112="","",IF('Jan 2027'!T67="","",'Jan 2027'!T67))</f>
        <v/>
      </c>
      <c r="AO112" s="345">
        <f>IF($A112="",0,IF(AND($A112&gt;=TrackStart,$A112&lt;=TODAY()),1,0))</f>
        <v/>
      </c>
      <c r="AP112" s="345">
        <f>IF($A112="",0,IF(SUM(F112:AE112)+COUNT(AF112:AN112)&gt;0,1,0))</f>
        <v/>
      </c>
      <c r="AQ112" s="345">
        <f>IF($A112="","",INT(($A112-TrackStart)/7)+1)</f>
        <v/>
      </c>
      <c r="AR112" s="345">
        <f>IF($A112="","",IF(AQ112&lt;=1,Steps1,IF(AQ112=2,Steps2,Steps3)))</f>
        <v/>
      </c>
      <c r="AS112" s="345">
        <f>IF($A112="",0,IF(ISNUMBER(SEARCH(TEXT(D112,"0"),WorkDays&amp;"")),1,0))</f>
        <v/>
      </c>
      <c r="AT112" s="345">
        <f>IF($A112="",0,IF(ISNUMBER(SEARCH(TEXT(D112,"0"),StrDays&amp;"")),1,0))</f>
        <v/>
      </c>
      <c r="AU112" s="345">
        <f>IF($A112="",0,IF(ISNUMBER(AK112),IF(AK112&gt;=SleepMin,1,0),N112))</f>
        <v/>
      </c>
      <c r="AV112" s="345">
        <f>IF($A112="",0,MAX(I112,O112,S112,AC112))</f>
        <v/>
      </c>
      <c r="AW112" s="345">
        <f>IF($A112="",0,IF(ISNUMBER(AH112),IF(AH112&gt;=ProtHit,1,0),0))</f>
        <v/>
      </c>
      <c r="AX112" s="345">
        <f>IF($A112="",0,IF(ISNUMBER(AI112),IF(AI112&gt;=WaterHit,1,0),0))</f>
        <v/>
      </c>
      <c r="AY112" s="345">
        <f>IF($A112="",0,IF(ISNUMBER(AG112),IF(AG112&gt;=AR112,1,0),0))</f>
        <v/>
      </c>
      <c r="AZ112" s="345">
        <f>IF($A112="",0,G112)</f>
        <v/>
      </c>
      <c r="BA112" s="345">
        <f>IF($A112="",0,J112)</f>
        <v/>
      </c>
      <c r="BB112" s="345">
        <f>IF($A112="",0,K112)</f>
        <v/>
      </c>
      <c r="BC112" s="345">
        <f>IF($A112="",0,MAX(L112,AE112))</f>
        <v/>
      </c>
      <c r="BD112" s="344">
        <f>IF($A112="","",(AU112+AV112+AW112+AX112+AY112+AZ112+BB112+BC112+IF(AS112=1,BA112,0))/(8+AS112))</f>
        <v/>
      </c>
      <c r="BE112" s="344">
        <f>IF($A112="","",(IF(ISNUMBER(AI112),IF(AI112&gt;=WaterMVD,1,0),0)+AV112+IF(ISNUMBER(AH112),IF(AH112&gt;=ProtMVD,1,0),0)+MAX(H112,AD112)+AZ112+BB112+AU112)/7)</f>
        <v/>
      </c>
      <c r="BF112" s="344">
        <f>IF(AO112=0,"",IF(E112="S","",IF(AND(AP112=0,$A112=TODAY()),"",IF(E112="M",BE112,BD112))))</f>
        <v/>
      </c>
      <c r="BG112" s="344">
        <f>IF(AO112=0,"",IFERROR(AVERAGEIFS(Data!$BF$4:$BF$375,Data!$A$4:$A$375,"&gt;"&amp;($A112-7),Data!$A$4:$A$375,"&lt;="&amp;$A112),""))</f>
        <v/>
      </c>
      <c r="BH112" s="344">
        <f>IF(AO112=0,"",IFERROR(AVERAGEIFS(Data!$BF$4:$BF$375,Data!$A$4:$A$375,"&gt;"&amp;($A112-30),Data!$A$4:$A$375,"&lt;="&amp;$A112),""))</f>
        <v/>
      </c>
      <c r="BI112" s="359">
        <f>IF($A112="","",IFERROR(AVERAGEIFS(Data!$AF$4:$AF$375,Data!$A$4:$A$375,"&gt;"&amp;($A112-7),Data!$A$4:$A$375,"&lt;="&amp;$A112,Data!$AF$4:$AF$375,"&gt;0"),""))</f>
        <v/>
      </c>
      <c r="BJ112" s="345">
        <f>IF($A112="","",F112+G112+H112+I112+J112+K112+L112+M112+N112-IF(AS112=1,0,J112))</f>
        <v/>
      </c>
      <c r="BK112" s="345">
        <f>IF($A112="","",8+AS112)</f>
        <v/>
      </c>
      <c r="BL112" s="345">
        <f>IF(ISNUMBER(BF112),BF112,NA())</f>
        <v/>
      </c>
      <c r="BM112" s="345">
        <f>IF(ISNUMBER(AF112),AF112,NA())</f>
        <v/>
      </c>
      <c r="BN112" s="345">
        <f>IF(ISNUMBER(BI112),BI112,NA())</f>
        <v/>
      </c>
      <c r="BO112" s="345">
        <f>IF(ISNUMBER(AL112),AL112,NA())</f>
        <v/>
      </c>
      <c r="BP112" s="345">
        <f>IF(ISNUMBER(AM112),AM112,NA())</f>
        <v/>
      </c>
      <c r="BQ112" s="345">
        <f>IF(ISNUMBER(AN112),AN112,NA())</f>
        <v/>
      </c>
    </row>
    <row r="113">
      <c r="A113" s="358">
        <f>IF('Jan 2027'!U7="","",'Jan 2027'!U7)</f>
        <v/>
      </c>
      <c r="B113" s="345" t="n">
        <v>4</v>
      </c>
      <c r="C113" s="345">
        <f>IF($A113="","",17)</f>
        <v/>
      </c>
      <c r="D113" s="345">
        <f>IF($A113="","",WEEKDAY($A113,2))</f>
        <v/>
      </c>
      <c r="E113" s="345">
        <f>IF($A113="","",UPPER(TRIM('Jan 2027'!U8)))</f>
        <v/>
      </c>
      <c r="F113" s="345">
        <f>IF($A113="","",IF(OR('Jan 2027'!U10=TRUE,'Jan 2027'!U10="x",'Jan 2027'!U10="X"),1,0))</f>
        <v/>
      </c>
      <c r="G113" s="345">
        <f>IF($A113="","",IF(OR('Jan 2027'!U11=TRUE,'Jan 2027'!U11="x",'Jan 2027'!U11="X"),1,0))</f>
        <v/>
      </c>
      <c r="H113" s="345">
        <f>IF($A113="","",IF(OR('Jan 2027'!U12=TRUE,'Jan 2027'!U12="x",'Jan 2027'!U12="X"),1,0))</f>
        <v/>
      </c>
      <c r="I113" s="345">
        <f>IF($A113="","",IF(OR('Jan 2027'!U13=TRUE,'Jan 2027'!U13="x",'Jan 2027'!U13="X"),1,0))</f>
        <v/>
      </c>
      <c r="J113" s="345">
        <f>IF($A113="","",IF(OR('Jan 2027'!U14=TRUE,'Jan 2027'!U14="x",'Jan 2027'!U14="X"),1,0))</f>
        <v/>
      </c>
      <c r="K113" s="345">
        <f>IF($A113="","",IF(OR('Jan 2027'!U15=TRUE,'Jan 2027'!U15="x",'Jan 2027'!U15="X"),1,0))</f>
        <v/>
      </c>
      <c r="L113" s="345">
        <f>IF($A113="","",IF(OR('Jan 2027'!U16=TRUE,'Jan 2027'!U16="x",'Jan 2027'!U16="X"),1,0))</f>
        <v/>
      </c>
      <c r="M113" s="345">
        <f>IF($A113="","",IF(OR('Jan 2027'!U17=TRUE,'Jan 2027'!U17="x",'Jan 2027'!U17="X"),1,0))</f>
        <v/>
      </c>
      <c r="N113" s="345">
        <f>IF($A113="","",IF(OR('Jan 2027'!U18=TRUE,'Jan 2027'!U18="x",'Jan 2027'!U18="X"),1,0))</f>
        <v/>
      </c>
      <c r="O113" s="345">
        <f>IF($A113="","",IF(OR('Jan 2027'!U20=TRUE,'Jan 2027'!U20="x",'Jan 2027'!U20="X"),1,0))</f>
        <v/>
      </c>
      <c r="P113" s="345">
        <f>IF($A113="","",IF(OR('Jan 2027'!U21=TRUE,'Jan 2027'!U21="x",'Jan 2027'!U21="X"),1,0))</f>
        <v/>
      </c>
      <c r="Q113" s="345">
        <f>IF($A113="","",IF(OR('Jan 2027'!U22=TRUE,'Jan 2027'!U22="x",'Jan 2027'!U22="X"),1,0))</f>
        <v/>
      </c>
      <c r="R113" s="345">
        <f>IF($A113="","",IF(OR('Jan 2027'!U23=TRUE,'Jan 2027'!U23="x",'Jan 2027'!U23="X"),1,0))</f>
        <v/>
      </c>
      <c r="S113" s="345">
        <f>IF($A113="","",IF(OR('Jan 2027'!U24=TRUE,'Jan 2027'!U24="x",'Jan 2027'!U24="X"),1,0))</f>
        <v/>
      </c>
      <c r="T113" s="345">
        <f>IF($A113="","",IF(OR('Jan 2027'!U25=TRUE,'Jan 2027'!U25="x",'Jan 2027'!U25="X"),1,0))</f>
        <v/>
      </c>
      <c r="U113" s="345">
        <f>IF($A113="","",IF(OR('Jan 2027'!U26=TRUE,'Jan 2027'!U26="x",'Jan 2027'!U26="X"),1,0))</f>
        <v/>
      </c>
      <c r="V113" s="345">
        <f>IF($A113="","",IF(OR('Jan 2027'!U27=TRUE,'Jan 2027'!U27="x",'Jan 2027'!U27="X"),1,0))</f>
        <v/>
      </c>
      <c r="W113" s="345">
        <f>IF($A113="","",IF(OR('Jan 2027'!U28=TRUE,'Jan 2027'!U28="x",'Jan 2027'!U28="X"),1,0))</f>
        <v/>
      </c>
      <c r="X113" s="345">
        <f>IF($A113="","",IF(OR('Jan 2027'!U29=TRUE,'Jan 2027'!U29="x",'Jan 2027'!U29="X"),1,0))</f>
        <v/>
      </c>
      <c r="Y113" s="345">
        <f>IF($A113="","",IF(OR('Jan 2027'!U30=TRUE,'Jan 2027'!U30="x",'Jan 2027'!U30="X"),1,0))</f>
        <v/>
      </c>
      <c r="Z113" s="345">
        <f>IF($A113="","",IF(OR('Jan 2027'!U31=TRUE,'Jan 2027'!U31="x",'Jan 2027'!U31="X"),1,0))</f>
        <v/>
      </c>
      <c r="AA113" s="345">
        <f>IF($A113="","",IF(OR('Jan 2027'!U32=TRUE,'Jan 2027'!U32="x",'Jan 2027'!U32="X"),1,0))</f>
        <v/>
      </c>
      <c r="AB113" s="345">
        <f>IF($A113="","",IF(OR('Jan 2027'!U34=TRUE,'Jan 2027'!U34="x",'Jan 2027'!U34="X"),1,0))</f>
        <v/>
      </c>
      <c r="AC113" s="345">
        <f>IF($A113="","",IF(OR('Jan 2027'!U35=TRUE,'Jan 2027'!U35="x",'Jan 2027'!U35="X"),1,0))</f>
        <v/>
      </c>
      <c r="AD113" s="345">
        <f>IF($A113="","",IF(OR('Jan 2027'!U36=TRUE,'Jan 2027'!U36="x",'Jan 2027'!U36="X"),1,0))</f>
        <v/>
      </c>
      <c r="AE113" s="345">
        <f>IF($A113="","",IF(OR('Jan 2027'!U37=TRUE,'Jan 2027'!U37="x",'Jan 2027'!U37="X"),1,0))</f>
        <v/>
      </c>
      <c r="AF113" s="345">
        <f>IF($A113="","",IF('Jan 2027'!U59="","",'Jan 2027'!U59))</f>
        <v/>
      </c>
      <c r="AG113" s="345">
        <f>IF($A113="","",IF('Jan 2027'!U60="","",'Jan 2027'!U60))</f>
        <v/>
      </c>
      <c r="AH113" s="345">
        <f>IF($A113="","",IF('Jan 2027'!U61="","",'Jan 2027'!U61))</f>
        <v/>
      </c>
      <c r="AI113" s="345">
        <f>IF($A113="","",IF('Jan 2027'!U62="","",'Jan 2027'!U62))</f>
        <v/>
      </c>
      <c r="AJ113" s="345">
        <f>IF($A113="","",IF('Jan 2027'!U63="","",'Jan 2027'!U63))</f>
        <v/>
      </c>
      <c r="AK113" s="345">
        <f>IF($A113="","",IF('Jan 2027'!U64="","",'Jan 2027'!U64))</f>
        <v/>
      </c>
      <c r="AL113" s="345">
        <f>IF($A113="","",IF('Jan 2027'!U65="","",'Jan 2027'!U65))</f>
        <v/>
      </c>
      <c r="AM113" s="345">
        <f>IF($A113="","",IF('Jan 2027'!U66="","",'Jan 2027'!U66))</f>
        <v/>
      </c>
      <c r="AN113" s="345">
        <f>IF($A113="","",IF('Jan 2027'!U67="","",'Jan 2027'!U67))</f>
        <v/>
      </c>
      <c r="AO113" s="345">
        <f>IF($A113="",0,IF(AND($A113&gt;=TrackStart,$A113&lt;=TODAY()),1,0))</f>
        <v/>
      </c>
      <c r="AP113" s="345">
        <f>IF($A113="",0,IF(SUM(F113:AE113)+COUNT(AF113:AN113)&gt;0,1,0))</f>
        <v/>
      </c>
      <c r="AQ113" s="345">
        <f>IF($A113="","",INT(($A113-TrackStart)/7)+1)</f>
        <v/>
      </c>
      <c r="AR113" s="345">
        <f>IF($A113="","",IF(AQ113&lt;=1,Steps1,IF(AQ113=2,Steps2,Steps3)))</f>
        <v/>
      </c>
      <c r="AS113" s="345">
        <f>IF($A113="",0,IF(ISNUMBER(SEARCH(TEXT(D113,"0"),WorkDays&amp;"")),1,0))</f>
        <v/>
      </c>
      <c r="AT113" s="345">
        <f>IF($A113="",0,IF(ISNUMBER(SEARCH(TEXT(D113,"0"),StrDays&amp;"")),1,0))</f>
        <v/>
      </c>
      <c r="AU113" s="345">
        <f>IF($A113="",0,IF(ISNUMBER(AK113),IF(AK113&gt;=SleepMin,1,0),N113))</f>
        <v/>
      </c>
      <c r="AV113" s="345">
        <f>IF($A113="",0,MAX(I113,O113,S113,AC113))</f>
        <v/>
      </c>
      <c r="AW113" s="345">
        <f>IF($A113="",0,IF(ISNUMBER(AH113),IF(AH113&gt;=ProtHit,1,0),0))</f>
        <v/>
      </c>
      <c r="AX113" s="345">
        <f>IF($A113="",0,IF(ISNUMBER(AI113),IF(AI113&gt;=WaterHit,1,0),0))</f>
        <v/>
      </c>
      <c r="AY113" s="345">
        <f>IF($A113="",0,IF(ISNUMBER(AG113),IF(AG113&gt;=AR113,1,0),0))</f>
        <v/>
      </c>
      <c r="AZ113" s="345">
        <f>IF($A113="",0,G113)</f>
        <v/>
      </c>
      <c r="BA113" s="345">
        <f>IF($A113="",0,J113)</f>
        <v/>
      </c>
      <c r="BB113" s="345">
        <f>IF($A113="",0,K113)</f>
        <v/>
      </c>
      <c r="BC113" s="345">
        <f>IF($A113="",0,MAX(L113,AE113))</f>
        <v/>
      </c>
      <c r="BD113" s="344">
        <f>IF($A113="","",(AU113+AV113+AW113+AX113+AY113+AZ113+BB113+BC113+IF(AS113=1,BA113,0))/(8+AS113))</f>
        <v/>
      </c>
      <c r="BE113" s="344">
        <f>IF($A113="","",(IF(ISNUMBER(AI113),IF(AI113&gt;=WaterMVD,1,0),0)+AV113+IF(ISNUMBER(AH113),IF(AH113&gt;=ProtMVD,1,0),0)+MAX(H113,AD113)+AZ113+BB113+AU113)/7)</f>
        <v/>
      </c>
      <c r="BF113" s="344">
        <f>IF(AO113=0,"",IF(E113="S","",IF(AND(AP113=0,$A113=TODAY()),"",IF(E113="M",BE113,BD113))))</f>
        <v/>
      </c>
      <c r="BG113" s="344">
        <f>IF(AO113=0,"",IFERROR(AVERAGEIFS(Data!$BF$4:$BF$375,Data!$A$4:$A$375,"&gt;"&amp;($A113-7),Data!$A$4:$A$375,"&lt;="&amp;$A113),""))</f>
        <v/>
      </c>
      <c r="BH113" s="344">
        <f>IF(AO113=0,"",IFERROR(AVERAGEIFS(Data!$BF$4:$BF$375,Data!$A$4:$A$375,"&gt;"&amp;($A113-30),Data!$A$4:$A$375,"&lt;="&amp;$A113),""))</f>
        <v/>
      </c>
      <c r="BI113" s="359">
        <f>IF($A113="","",IFERROR(AVERAGEIFS(Data!$AF$4:$AF$375,Data!$A$4:$A$375,"&gt;"&amp;($A113-7),Data!$A$4:$A$375,"&lt;="&amp;$A113,Data!$AF$4:$AF$375,"&gt;0"),""))</f>
        <v/>
      </c>
      <c r="BJ113" s="345">
        <f>IF($A113="","",F113+G113+H113+I113+J113+K113+L113+M113+N113-IF(AS113=1,0,J113))</f>
        <v/>
      </c>
      <c r="BK113" s="345">
        <f>IF($A113="","",8+AS113)</f>
        <v/>
      </c>
      <c r="BL113" s="345">
        <f>IF(ISNUMBER(BF113),BF113,NA())</f>
        <v/>
      </c>
      <c r="BM113" s="345">
        <f>IF(ISNUMBER(AF113),AF113,NA())</f>
        <v/>
      </c>
      <c r="BN113" s="345">
        <f>IF(ISNUMBER(BI113),BI113,NA())</f>
        <v/>
      </c>
      <c r="BO113" s="345">
        <f>IF(ISNUMBER(AL113),AL113,NA())</f>
        <v/>
      </c>
      <c r="BP113" s="345">
        <f>IF(ISNUMBER(AM113),AM113,NA())</f>
        <v/>
      </c>
      <c r="BQ113" s="345">
        <f>IF(ISNUMBER(AN113),AN113,NA())</f>
        <v/>
      </c>
    </row>
    <row r="114">
      <c r="A114" s="358">
        <f>IF('Jan 2027'!V7="","",'Jan 2027'!V7)</f>
        <v/>
      </c>
      <c r="B114" s="345" t="n">
        <v>4</v>
      </c>
      <c r="C114" s="345">
        <f>IF($A114="","",18)</f>
        <v/>
      </c>
      <c r="D114" s="345">
        <f>IF($A114="","",WEEKDAY($A114,2))</f>
        <v/>
      </c>
      <c r="E114" s="345">
        <f>IF($A114="","",UPPER(TRIM('Jan 2027'!V8)))</f>
        <v/>
      </c>
      <c r="F114" s="345">
        <f>IF($A114="","",IF(OR('Jan 2027'!V10=TRUE,'Jan 2027'!V10="x",'Jan 2027'!V10="X"),1,0))</f>
        <v/>
      </c>
      <c r="G114" s="345">
        <f>IF($A114="","",IF(OR('Jan 2027'!V11=TRUE,'Jan 2027'!V11="x",'Jan 2027'!V11="X"),1,0))</f>
        <v/>
      </c>
      <c r="H114" s="345">
        <f>IF($A114="","",IF(OR('Jan 2027'!V12=TRUE,'Jan 2027'!V12="x",'Jan 2027'!V12="X"),1,0))</f>
        <v/>
      </c>
      <c r="I114" s="345">
        <f>IF($A114="","",IF(OR('Jan 2027'!V13=TRUE,'Jan 2027'!V13="x",'Jan 2027'!V13="X"),1,0))</f>
        <v/>
      </c>
      <c r="J114" s="345">
        <f>IF($A114="","",IF(OR('Jan 2027'!V14=TRUE,'Jan 2027'!V14="x",'Jan 2027'!V14="X"),1,0))</f>
        <v/>
      </c>
      <c r="K114" s="345">
        <f>IF($A114="","",IF(OR('Jan 2027'!V15=TRUE,'Jan 2027'!V15="x",'Jan 2027'!V15="X"),1,0))</f>
        <v/>
      </c>
      <c r="L114" s="345">
        <f>IF($A114="","",IF(OR('Jan 2027'!V16=TRUE,'Jan 2027'!V16="x",'Jan 2027'!V16="X"),1,0))</f>
        <v/>
      </c>
      <c r="M114" s="345">
        <f>IF($A114="","",IF(OR('Jan 2027'!V17=TRUE,'Jan 2027'!V17="x",'Jan 2027'!V17="X"),1,0))</f>
        <v/>
      </c>
      <c r="N114" s="345">
        <f>IF($A114="","",IF(OR('Jan 2027'!V18=TRUE,'Jan 2027'!V18="x",'Jan 2027'!V18="X"),1,0))</f>
        <v/>
      </c>
      <c r="O114" s="345">
        <f>IF($A114="","",IF(OR('Jan 2027'!V20=TRUE,'Jan 2027'!V20="x",'Jan 2027'!V20="X"),1,0))</f>
        <v/>
      </c>
      <c r="P114" s="345">
        <f>IF($A114="","",IF(OR('Jan 2027'!V21=TRUE,'Jan 2027'!V21="x",'Jan 2027'!V21="X"),1,0))</f>
        <v/>
      </c>
      <c r="Q114" s="345">
        <f>IF($A114="","",IF(OR('Jan 2027'!V22=TRUE,'Jan 2027'!V22="x",'Jan 2027'!V22="X"),1,0))</f>
        <v/>
      </c>
      <c r="R114" s="345">
        <f>IF($A114="","",IF(OR('Jan 2027'!V23=TRUE,'Jan 2027'!V23="x",'Jan 2027'!V23="X"),1,0))</f>
        <v/>
      </c>
      <c r="S114" s="345">
        <f>IF($A114="","",IF(OR('Jan 2027'!V24=TRUE,'Jan 2027'!V24="x",'Jan 2027'!V24="X"),1,0))</f>
        <v/>
      </c>
      <c r="T114" s="345">
        <f>IF($A114="","",IF(OR('Jan 2027'!V25=TRUE,'Jan 2027'!V25="x",'Jan 2027'!V25="X"),1,0))</f>
        <v/>
      </c>
      <c r="U114" s="345">
        <f>IF($A114="","",IF(OR('Jan 2027'!V26=TRUE,'Jan 2027'!V26="x",'Jan 2027'!V26="X"),1,0))</f>
        <v/>
      </c>
      <c r="V114" s="345">
        <f>IF($A114="","",IF(OR('Jan 2027'!V27=TRUE,'Jan 2027'!V27="x",'Jan 2027'!V27="X"),1,0))</f>
        <v/>
      </c>
      <c r="W114" s="345">
        <f>IF($A114="","",IF(OR('Jan 2027'!V28=TRUE,'Jan 2027'!V28="x",'Jan 2027'!V28="X"),1,0))</f>
        <v/>
      </c>
      <c r="X114" s="345">
        <f>IF($A114="","",IF(OR('Jan 2027'!V29=TRUE,'Jan 2027'!V29="x",'Jan 2027'!V29="X"),1,0))</f>
        <v/>
      </c>
      <c r="Y114" s="345">
        <f>IF($A114="","",IF(OR('Jan 2027'!V30=TRUE,'Jan 2027'!V30="x",'Jan 2027'!V30="X"),1,0))</f>
        <v/>
      </c>
      <c r="Z114" s="345">
        <f>IF($A114="","",IF(OR('Jan 2027'!V31=TRUE,'Jan 2027'!V31="x",'Jan 2027'!V31="X"),1,0))</f>
        <v/>
      </c>
      <c r="AA114" s="345">
        <f>IF($A114="","",IF(OR('Jan 2027'!V32=TRUE,'Jan 2027'!V32="x",'Jan 2027'!V32="X"),1,0))</f>
        <v/>
      </c>
      <c r="AB114" s="345">
        <f>IF($A114="","",IF(OR('Jan 2027'!V34=TRUE,'Jan 2027'!V34="x",'Jan 2027'!V34="X"),1,0))</f>
        <v/>
      </c>
      <c r="AC114" s="345">
        <f>IF($A114="","",IF(OR('Jan 2027'!V35=TRUE,'Jan 2027'!V35="x",'Jan 2027'!V35="X"),1,0))</f>
        <v/>
      </c>
      <c r="AD114" s="345">
        <f>IF($A114="","",IF(OR('Jan 2027'!V36=TRUE,'Jan 2027'!V36="x",'Jan 2027'!V36="X"),1,0))</f>
        <v/>
      </c>
      <c r="AE114" s="345">
        <f>IF($A114="","",IF(OR('Jan 2027'!V37=TRUE,'Jan 2027'!V37="x",'Jan 2027'!V37="X"),1,0))</f>
        <v/>
      </c>
      <c r="AF114" s="345">
        <f>IF($A114="","",IF('Jan 2027'!V59="","",'Jan 2027'!V59))</f>
        <v/>
      </c>
      <c r="AG114" s="345">
        <f>IF($A114="","",IF('Jan 2027'!V60="","",'Jan 2027'!V60))</f>
        <v/>
      </c>
      <c r="AH114" s="345">
        <f>IF($A114="","",IF('Jan 2027'!V61="","",'Jan 2027'!V61))</f>
        <v/>
      </c>
      <c r="AI114" s="345">
        <f>IF($A114="","",IF('Jan 2027'!V62="","",'Jan 2027'!V62))</f>
        <v/>
      </c>
      <c r="AJ114" s="345">
        <f>IF($A114="","",IF('Jan 2027'!V63="","",'Jan 2027'!V63))</f>
        <v/>
      </c>
      <c r="AK114" s="345">
        <f>IF($A114="","",IF('Jan 2027'!V64="","",'Jan 2027'!V64))</f>
        <v/>
      </c>
      <c r="AL114" s="345">
        <f>IF($A114="","",IF('Jan 2027'!V65="","",'Jan 2027'!V65))</f>
        <v/>
      </c>
      <c r="AM114" s="345">
        <f>IF($A114="","",IF('Jan 2027'!V66="","",'Jan 2027'!V66))</f>
        <v/>
      </c>
      <c r="AN114" s="345">
        <f>IF($A114="","",IF('Jan 2027'!V67="","",'Jan 2027'!V67))</f>
        <v/>
      </c>
      <c r="AO114" s="345">
        <f>IF($A114="",0,IF(AND($A114&gt;=TrackStart,$A114&lt;=TODAY()),1,0))</f>
        <v/>
      </c>
      <c r="AP114" s="345">
        <f>IF($A114="",0,IF(SUM(F114:AE114)+COUNT(AF114:AN114)&gt;0,1,0))</f>
        <v/>
      </c>
      <c r="AQ114" s="345">
        <f>IF($A114="","",INT(($A114-TrackStart)/7)+1)</f>
        <v/>
      </c>
      <c r="AR114" s="345">
        <f>IF($A114="","",IF(AQ114&lt;=1,Steps1,IF(AQ114=2,Steps2,Steps3)))</f>
        <v/>
      </c>
      <c r="AS114" s="345">
        <f>IF($A114="",0,IF(ISNUMBER(SEARCH(TEXT(D114,"0"),WorkDays&amp;"")),1,0))</f>
        <v/>
      </c>
      <c r="AT114" s="345">
        <f>IF($A114="",0,IF(ISNUMBER(SEARCH(TEXT(D114,"0"),StrDays&amp;"")),1,0))</f>
        <v/>
      </c>
      <c r="AU114" s="345">
        <f>IF($A114="",0,IF(ISNUMBER(AK114),IF(AK114&gt;=SleepMin,1,0),N114))</f>
        <v/>
      </c>
      <c r="AV114" s="345">
        <f>IF($A114="",0,MAX(I114,O114,S114,AC114))</f>
        <v/>
      </c>
      <c r="AW114" s="345">
        <f>IF($A114="",0,IF(ISNUMBER(AH114),IF(AH114&gt;=ProtHit,1,0),0))</f>
        <v/>
      </c>
      <c r="AX114" s="345">
        <f>IF($A114="",0,IF(ISNUMBER(AI114),IF(AI114&gt;=WaterHit,1,0),0))</f>
        <v/>
      </c>
      <c r="AY114" s="345">
        <f>IF($A114="",0,IF(ISNUMBER(AG114),IF(AG114&gt;=AR114,1,0),0))</f>
        <v/>
      </c>
      <c r="AZ114" s="345">
        <f>IF($A114="",0,G114)</f>
        <v/>
      </c>
      <c r="BA114" s="345">
        <f>IF($A114="",0,J114)</f>
        <v/>
      </c>
      <c r="BB114" s="345">
        <f>IF($A114="",0,K114)</f>
        <v/>
      </c>
      <c r="BC114" s="345">
        <f>IF($A114="",0,MAX(L114,AE114))</f>
        <v/>
      </c>
      <c r="BD114" s="344">
        <f>IF($A114="","",(AU114+AV114+AW114+AX114+AY114+AZ114+BB114+BC114+IF(AS114=1,BA114,0))/(8+AS114))</f>
        <v/>
      </c>
      <c r="BE114" s="344">
        <f>IF($A114="","",(IF(ISNUMBER(AI114),IF(AI114&gt;=WaterMVD,1,0),0)+AV114+IF(ISNUMBER(AH114),IF(AH114&gt;=ProtMVD,1,0),0)+MAX(H114,AD114)+AZ114+BB114+AU114)/7)</f>
        <v/>
      </c>
      <c r="BF114" s="344">
        <f>IF(AO114=0,"",IF(E114="S","",IF(AND(AP114=0,$A114=TODAY()),"",IF(E114="M",BE114,BD114))))</f>
        <v/>
      </c>
      <c r="BG114" s="344">
        <f>IF(AO114=0,"",IFERROR(AVERAGEIFS(Data!$BF$4:$BF$375,Data!$A$4:$A$375,"&gt;"&amp;($A114-7),Data!$A$4:$A$375,"&lt;="&amp;$A114),""))</f>
        <v/>
      </c>
      <c r="BH114" s="344">
        <f>IF(AO114=0,"",IFERROR(AVERAGEIFS(Data!$BF$4:$BF$375,Data!$A$4:$A$375,"&gt;"&amp;($A114-30),Data!$A$4:$A$375,"&lt;="&amp;$A114),""))</f>
        <v/>
      </c>
      <c r="BI114" s="359">
        <f>IF($A114="","",IFERROR(AVERAGEIFS(Data!$AF$4:$AF$375,Data!$A$4:$A$375,"&gt;"&amp;($A114-7),Data!$A$4:$A$375,"&lt;="&amp;$A114,Data!$AF$4:$AF$375,"&gt;0"),""))</f>
        <v/>
      </c>
      <c r="BJ114" s="345">
        <f>IF($A114="","",F114+G114+H114+I114+J114+K114+L114+M114+N114-IF(AS114=1,0,J114))</f>
        <v/>
      </c>
      <c r="BK114" s="345">
        <f>IF($A114="","",8+AS114)</f>
        <v/>
      </c>
      <c r="BL114" s="345">
        <f>IF(ISNUMBER(BF114),BF114,NA())</f>
        <v/>
      </c>
      <c r="BM114" s="345">
        <f>IF(ISNUMBER(AF114),AF114,NA())</f>
        <v/>
      </c>
      <c r="BN114" s="345">
        <f>IF(ISNUMBER(BI114),BI114,NA())</f>
        <v/>
      </c>
      <c r="BO114" s="345">
        <f>IF(ISNUMBER(AL114),AL114,NA())</f>
        <v/>
      </c>
      <c r="BP114" s="345">
        <f>IF(ISNUMBER(AM114),AM114,NA())</f>
        <v/>
      </c>
      <c r="BQ114" s="345">
        <f>IF(ISNUMBER(AN114),AN114,NA())</f>
        <v/>
      </c>
    </row>
    <row r="115">
      <c r="A115" s="358">
        <f>IF('Jan 2027'!W7="","",'Jan 2027'!W7)</f>
        <v/>
      </c>
      <c r="B115" s="345" t="n">
        <v>4</v>
      </c>
      <c r="C115" s="345">
        <f>IF($A115="","",19)</f>
        <v/>
      </c>
      <c r="D115" s="345">
        <f>IF($A115="","",WEEKDAY($A115,2))</f>
        <v/>
      </c>
      <c r="E115" s="345">
        <f>IF($A115="","",UPPER(TRIM('Jan 2027'!W8)))</f>
        <v/>
      </c>
      <c r="F115" s="345">
        <f>IF($A115="","",IF(OR('Jan 2027'!W10=TRUE,'Jan 2027'!W10="x",'Jan 2027'!W10="X"),1,0))</f>
        <v/>
      </c>
      <c r="G115" s="345">
        <f>IF($A115="","",IF(OR('Jan 2027'!W11=TRUE,'Jan 2027'!W11="x",'Jan 2027'!W11="X"),1,0))</f>
        <v/>
      </c>
      <c r="H115" s="345">
        <f>IF($A115="","",IF(OR('Jan 2027'!W12=TRUE,'Jan 2027'!W12="x",'Jan 2027'!W12="X"),1,0))</f>
        <v/>
      </c>
      <c r="I115" s="345">
        <f>IF($A115="","",IF(OR('Jan 2027'!W13=TRUE,'Jan 2027'!W13="x",'Jan 2027'!W13="X"),1,0))</f>
        <v/>
      </c>
      <c r="J115" s="345">
        <f>IF($A115="","",IF(OR('Jan 2027'!W14=TRUE,'Jan 2027'!W14="x",'Jan 2027'!W14="X"),1,0))</f>
        <v/>
      </c>
      <c r="K115" s="345">
        <f>IF($A115="","",IF(OR('Jan 2027'!W15=TRUE,'Jan 2027'!W15="x",'Jan 2027'!W15="X"),1,0))</f>
        <v/>
      </c>
      <c r="L115" s="345">
        <f>IF($A115="","",IF(OR('Jan 2027'!W16=TRUE,'Jan 2027'!W16="x",'Jan 2027'!W16="X"),1,0))</f>
        <v/>
      </c>
      <c r="M115" s="345">
        <f>IF($A115="","",IF(OR('Jan 2027'!W17=TRUE,'Jan 2027'!W17="x",'Jan 2027'!W17="X"),1,0))</f>
        <v/>
      </c>
      <c r="N115" s="345">
        <f>IF($A115="","",IF(OR('Jan 2027'!W18=TRUE,'Jan 2027'!W18="x",'Jan 2027'!W18="X"),1,0))</f>
        <v/>
      </c>
      <c r="O115" s="345">
        <f>IF($A115="","",IF(OR('Jan 2027'!W20=TRUE,'Jan 2027'!W20="x",'Jan 2027'!W20="X"),1,0))</f>
        <v/>
      </c>
      <c r="P115" s="345">
        <f>IF($A115="","",IF(OR('Jan 2027'!W21=TRUE,'Jan 2027'!W21="x",'Jan 2027'!W21="X"),1,0))</f>
        <v/>
      </c>
      <c r="Q115" s="345">
        <f>IF($A115="","",IF(OR('Jan 2027'!W22=TRUE,'Jan 2027'!W22="x",'Jan 2027'!W22="X"),1,0))</f>
        <v/>
      </c>
      <c r="R115" s="345">
        <f>IF($A115="","",IF(OR('Jan 2027'!W23=TRUE,'Jan 2027'!W23="x",'Jan 2027'!W23="X"),1,0))</f>
        <v/>
      </c>
      <c r="S115" s="345">
        <f>IF($A115="","",IF(OR('Jan 2027'!W24=TRUE,'Jan 2027'!W24="x",'Jan 2027'!W24="X"),1,0))</f>
        <v/>
      </c>
      <c r="T115" s="345">
        <f>IF($A115="","",IF(OR('Jan 2027'!W25=TRUE,'Jan 2027'!W25="x",'Jan 2027'!W25="X"),1,0))</f>
        <v/>
      </c>
      <c r="U115" s="345">
        <f>IF($A115="","",IF(OR('Jan 2027'!W26=TRUE,'Jan 2027'!W26="x",'Jan 2027'!W26="X"),1,0))</f>
        <v/>
      </c>
      <c r="V115" s="345">
        <f>IF($A115="","",IF(OR('Jan 2027'!W27=TRUE,'Jan 2027'!W27="x",'Jan 2027'!W27="X"),1,0))</f>
        <v/>
      </c>
      <c r="W115" s="345">
        <f>IF($A115="","",IF(OR('Jan 2027'!W28=TRUE,'Jan 2027'!W28="x",'Jan 2027'!W28="X"),1,0))</f>
        <v/>
      </c>
      <c r="X115" s="345">
        <f>IF($A115="","",IF(OR('Jan 2027'!W29=TRUE,'Jan 2027'!W29="x",'Jan 2027'!W29="X"),1,0))</f>
        <v/>
      </c>
      <c r="Y115" s="345">
        <f>IF($A115="","",IF(OR('Jan 2027'!W30=TRUE,'Jan 2027'!W30="x",'Jan 2027'!W30="X"),1,0))</f>
        <v/>
      </c>
      <c r="Z115" s="345">
        <f>IF($A115="","",IF(OR('Jan 2027'!W31=TRUE,'Jan 2027'!W31="x",'Jan 2027'!W31="X"),1,0))</f>
        <v/>
      </c>
      <c r="AA115" s="345">
        <f>IF($A115="","",IF(OR('Jan 2027'!W32=TRUE,'Jan 2027'!W32="x",'Jan 2027'!W32="X"),1,0))</f>
        <v/>
      </c>
      <c r="AB115" s="345">
        <f>IF($A115="","",IF(OR('Jan 2027'!W34=TRUE,'Jan 2027'!W34="x",'Jan 2027'!W34="X"),1,0))</f>
        <v/>
      </c>
      <c r="AC115" s="345">
        <f>IF($A115="","",IF(OR('Jan 2027'!W35=TRUE,'Jan 2027'!W35="x",'Jan 2027'!W35="X"),1,0))</f>
        <v/>
      </c>
      <c r="AD115" s="345">
        <f>IF($A115="","",IF(OR('Jan 2027'!W36=TRUE,'Jan 2027'!W36="x",'Jan 2027'!W36="X"),1,0))</f>
        <v/>
      </c>
      <c r="AE115" s="345">
        <f>IF($A115="","",IF(OR('Jan 2027'!W37=TRUE,'Jan 2027'!W37="x",'Jan 2027'!W37="X"),1,0))</f>
        <v/>
      </c>
      <c r="AF115" s="345">
        <f>IF($A115="","",IF('Jan 2027'!W59="","",'Jan 2027'!W59))</f>
        <v/>
      </c>
      <c r="AG115" s="345">
        <f>IF($A115="","",IF('Jan 2027'!W60="","",'Jan 2027'!W60))</f>
        <v/>
      </c>
      <c r="AH115" s="345">
        <f>IF($A115="","",IF('Jan 2027'!W61="","",'Jan 2027'!W61))</f>
        <v/>
      </c>
      <c r="AI115" s="345">
        <f>IF($A115="","",IF('Jan 2027'!W62="","",'Jan 2027'!W62))</f>
        <v/>
      </c>
      <c r="AJ115" s="345">
        <f>IF($A115="","",IF('Jan 2027'!W63="","",'Jan 2027'!W63))</f>
        <v/>
      </c>
      <c r="AK115" s="345">
        <f>IF($A115="","",IF('Jan 2027'!W64="","",'Jan 2027'!W64))</f>
        <v/>
      </c>
      <c r="AL115" s="345">
        <f>IF($A115="","",IF('Jan 2027'!W65="","",'Jan 2027'!W65))</f>
        <v/>
      </c>
      <c r="AM115" s="345">
        <f>IF($A115="","",IF('Jan 2027'!W66="","",'Jan 2027'!W66))</f>
        <v/>
      </c>
      <c r="AN115" s="345">
        <f>IF($A115="","",IF('Jan 2027'!W67="","",'Jan 2027'!W67))</f>
        <v/>
      </c>
      <c r="AO115" s="345">
        <f>IF($A115="",0,IF(AND($A115&gt;=TrackStart,$A115&lt;=TODAY()),1,0))</f>
        <v/>
      </c>
      <c r="AP115" s="345">
        <f>IF($A115="",0,IF(SUM(F115:AE115)+COUNT(AF115:AN115)&gt;0,1,0))</f>
        <v/>
      </c>
      <c r="AQ115" s="345">
        <f>IF($A115="","",INT(($A115-TrackStart)/7)+1)</f>
        <v/>
      </c>
      <c r="AR115" s="345">
        <f>IF($A115="","",IF(AQ115&lt;=1,Steps1,IF(AQ115=2,Steps2,Steps3)))</f>
        <v/>
      </c>
      <c r="AS115" s="345">
        <f>IF($A115="",0,IF(ISNUMBER(SEARCH(TEXT(D115,"0"),WorkDays&amp;"")),1,0))</f>
        <v/>
      </c>
      <c r="AT115" s="345">
        <f>IF($A115="",0,IF(ISNUMBER(SEARCH(TEXT(D115,"0"),StrDays&amp;"")),1,0))</f>
        <v/>
      </c>
      <c r="AU115" s="345">
        <f>IF($A115="",0,IF(ISNUMBER(AK115),IF(AK115&gt;=SleepMin,1,0),N115))</f>
        <v/>
      </c>
      <c r="AV115" s="345">
        <f>IF($A115="",0,MAX(I115,O115,S115,AC115))</f>
        <v/>
      </c>
      <c r="AW115" s="345">
        <f>IF($A115="",0,IF(ISNUMBER(AH115),IF(AH115&gt;=ProtHit,1,0),0))</f>
        <v/>
      </c>
      <c r="AX115" s="345">
        <f>IF($A115="",0,IF(ISNUMBER(AI115),IF(AI115&gt;=WaterHit,1,0),0))</f>
        <v/>
      </c>
      <c r="AY115" s="345">
        <f>IF($A115="",0,IF(ISNUMBER(AG115),IF(AG115&gt;=AR115,1,0),0))</f>
        <v/>
      </c>
      <c r="AZ115" s="345">
        <f>IF($A115="",0,G115)</f>
        <v/>
      </c>
      <c r="BA115" s="345">
        <f>IF($A115="",0,J115)</f>
        <v/>
      </c>
      <c r="BB115" s="345">
        <f>IF($A115="",0,K115)</f>
        <v/>
      </c>
      <c r="BC115" s="345">
        <f>IF($A115="",0,MAX(L115,AE115))</f>
        <v/>
      </c>
      <c r="BD115" s="344">
        <f>IF($A115="","",(AU115+AV115+AW115+AX115+AY115+AZ115+BB115+BC115+IF(AS115=1,BA115,0))/(8+AS115))</f>
        <v/>
      </c>
      <c r="BE115" s="344">
        <f>IF($A115="","",(IF(ISNUMBER(AI115),IF(AI115&gt;=WaterMVD,1,0),0)+AV115+IF(ISNUMBER(AH115),IF(AH115&gt;=ProtMVD,1,0),0)+MAX(H115,AD115)+AZ115+BB115+AU115)/7)</f>
        <v/>
      </c>
      <c r="BF115" s="344">
        <f>IF(AO115=0,"",IF(E115="S","",IF(AND(AP115=0,$A115=TODAY()),"",IF(E115="M",BE115,BD115))))</f>
        <v/>
      </c>
      <c r="BG115" s="344">
        <f>IF(AO115=0,"",IFERROR(AVERAGEIFS(Data!$BF$4:$BF$375,Data!$A$4:$A$375,"&gt;"&amp;($A115-7),Data!$A$4:$A$375,"&lt;="&amp;$A115),""))</f>
        <v/>
      </c>
      <c r="BH115" s="344">
        <f>IF(AO115=0,"",IFERROR(AVERAGEIFS(Data!$BF$4:$BF$375,Data!$A$4:$A$375,"&gt;"&amp;($A115-30),Data!$A$4:$A$375,"&lt;="&amp;$A115),""))</f>
        <v/>
      </c>
      <c r="BI115" s="359">
        <f>IF($A115="","",IFERROR(AVERAGEIFS(Data!$AF$4:$AF$375,Data!$A$4:$A$375,"&gt;"&amp;($A115-7),Data!$A$4:$A$375,"&lt;="&amp;$A115,Data!$AF$4:$AF$375,"&gt;0"),""))</f>
        <v/>
      </c>
      <c r="BJ115" s="345">
        <f>IF($A115="","",F115+G115+H115+I115+J115+K115+L115+M115+N115-IF(AS115=1,0,J115))</f>
        <v/>
      </c>
      <c r="BK115" s="345">
        <f>IF($A115="","",8+AS115)</f>
        <v/>
      </c>
      <c r="BL115" s="345">
        <f>IF(ISNUMBER(BF115),BF115,NA())</f>
        <v/>
      </c>
      <c r="BM115" s="345">
        <f>IF(ISNUMBER(AF115),AF115,NA())</f>
        <v/>
      </c>
      <c r="BN115" s="345">
        <f>IF(ISNUMBER(BI115),BI115,NA())</f>
        <v/>
      </c>
      <c r="BO115" s="345">
        <f>IF(ISNUMBER(AL115),AL115,NA())</f>
        <v/>
      </c>
      <c r="BP115" s="345">
        <f>IF(ISNUMBER(AM115),AM115,NA())</f>
        <v/>
      </c>
      <c r="BQ115" s="345">
        <f>IF(ISNUMBER(AN115),AN115,NA())</f>
        <v/>
      </c>
    </row>
    <row r="116">
      <c r="A116" s="358">
        <f>IF('Jan 2027'!X7="","",'Jan 2027'!X7)</f>
        <v/>
      </c>
      <c r="B116" s="345" t="n">
        <v>4</v>
      </c>
      <c r="C116" s="345">
        <f>IF($A116="","",20)</f>
        <v/>
      </c>
      <c r="D116" s="345">
        <f>IF($A116="","",WEEKDAY($A116,2))</f>
        <v/>
      </c>
      <c r="E116" s="345">
        <f>IF($A116="","",UPPER(TRIM('Jan 2027'!X8)))</f>
        <v/>
      </c>
      <c r="F116" s="345">
        <f>IF($A116="","",IF(OR('Jan 2027'!X10=TRUE,'Jan 2027'!X10="x",'Jan 2027'!X10="X"),1,0))</f>
        <v/>
      </c>
      <c r="G116" s="345">
        <f>IF($A116="","",IF(OR('Jan 2027'!X11=TRUE,'Jan 2027'!X11="x",'Jan 2027'!X11="X"),1,0))</f>
        <v/>
      </c>
      <c r="H116" s="345">
        <f>IF($A116="","",IF(OR('Jan 2027'!X12=TRUE,'Jan 2027'!X12="x",'Jan 2027'!X12="X"),1,0))</f>
        <v/>
      </c>
      <c r="I116" s="345">
        <f>IF($A116="","",IF(OR('Jan 2027'!X13=TRUE,'Jan 2027'!X13="x",'Jan 2027'!X13="X"),1,0))</f>
        <v/>
      </c>
      <c r="J116" s="345">
        <f>IF($A116="","",IF(OR('Jan 2027'!X14=TRUE,'Jan 2027'!X14="x",'Jan 2027'!X14="X"),1,0))</f>
        <v/>
      </c>
      <c r="K116" s="345">
        <f>IF($A116="","",IF(OR('Jan 2027'!X15=TRUE,'Jan 2027'!X15="x",'Jan 2027'!X15="X"),1,0))</f>
        <v/>
      </c>
      <c r="L116" s="345">
        <f>IF($A116="","",IF(OR('Jan 2027'!X16=TRUE,'Jan 2027'!X16="x",'Jan 2027'!X16="X"),1,0))</f>
        <v/>
      </c>
      <c r="M116" s="345">
        <f>IF($A116="","",IF(OR('Jan 2027'!X17=TRUE,'Jan 2027'!X17="x",'Jan 2027'!X17="X"),1,0))</f>
        <v/>
      </c>
      <c r="N116" s="345">
        <f>IF($A116="","",IF(OR('Jan 2027'!X18=TRUE,'Jan 2027'!X18="x",'Jan 2027'!X18="X"),1,0))</f>
        <v/>
      </c>
      <c r="O116" s="345">
        <f>IF($A116="","",IF(OR('Jan 2027'!X20=TRUE,'Jan 2027'!X20="x",'Jan 2027'!X20="X"),1,0))</f>
        <v/>
      </c>
      <c r="P116" s="345">
        <f>IF($A116="","",IF(OR('Jan 2027'!X21=TRUE,'Jan 2027'!X21="x",'Jan 2027'!X21="X"),1,0))</f>
        <v/>
      </c>
      <c r="Q116" s="345">
        <f>IF($A116="","",IF(OR('Jan 2027'!X22=TRUE,'Jan 2027'!X22="x",'Jan 2027'!X22="X"),1,0))</f>
        <v/>
      </c>
      <c r="R116" s="345">
        <f>IF($A116="","",IF(OR('Jan 2027'!X23=TRUE,'Jan 2027'!X23="x",'Jan 2027'!X23="X"),1,0))</f>
        <v/>
      </c>
      <c r="S116" s="345">
        <f>IF($A116="","",IF(OR('Jan 2027'!X24=TRUE,'Jan 2027'!X24="x",'Jan 2027'!X24="X"),1,0))</f>
        <v/>
      </c>
      <c r="T116" s="345">
        <f>IF($A116="","",IF(OR('Jan 2027'!X25=TRUE,'Jan 2027'!X25="x",'Jan 2027'!X25="X"),1,0))</f>
        <v/>
      </c>
      <c r="U116" s="345">
        <f>IF($A116="","",IF(OR('Jan 2027'!X26=TRUE,'Jan 2027'!X26="x",'Jan 2027'!X26="X"),1,0))</f>
        <v/>
      </c>
      <c r="V116" s="345">
        <f>IF($A116="","",IF(OR('Jan 2027'!X27=TRUE,'Jan 2027'!X27="x",'Jan 2027'!X27="X"),1,0))</f>
        <v/>
      </c>
      <c r="W116" s="345">
        <f>IF($A116="","",IF(OR('Jan 2027'!X28=TRUE,'Jan 2027'!X28="x",'Jan 2027'!X28="X"),1,0))</f>
        <v/>
      </c>
      <c r="X116" s="345">
        <f>IF($A116="","",IF(OR('Jan 2027'!X29=TRUE,'Jan 2027'!X29="x",'Jan 2027'!X29="X"),1,0))</f>
        <v/>
      </c>
      <c r="Y116" s="345">
        <f>IF($A116="","",IF(OR('Jan 2027'!X30=TRUE,'Jan 2027'!X30="x",'Jan 2027'!X30="X"),1,0))</f>
        <v/>
      </c>
      <c r="Z116" s="345">
        <f>IF($A116="","",IF(OR('Jan 2027'!X31=TRUE,'Jan 2027'!X31="x",'Jan 2027'!X31="X"),1,0))</f>
        <v/>
      </c>
      <c r="AA116" s="345">
        <f>IF($A116="","",IF(OR('Jan 2027'!X32=TRUE,'Jan 2027'!X32="x",'Jan 2027'!X32="X"),1,0))</f>
        <v/>
      </c>
      <c r="AB116" s="345">
        <f>IF($A116="","",IF(OR('Jan 2027'!X34=TRUE,'Jan 2027'!X34="x",'Jan 2027'!X34="X"),1,0))</f>
        <v/>
      </c>
      <c r="AC116" s="345">
        <f>IF($A116="","",IF(OR('Jan 2027'!X35=TRUE,'Jan 2027'!X35="x",'Jan 2027'!X35="X"),1,0))</f>
        <v/>
      </c>
      <c r="AD116" s="345">
        <f>IF($A116="","",IF(OR('Jan 2027'!X36=TRUE,'Jan 2027'!X36="x",'Jan 2027'!X36="X"),1,0))</f>
        <v/>
      </c>
      <c r="AE116" s="345">
        <f>IF($A116="","",IF(OR('Jan 2027'!X37=TRUE,'Jan 2027'!X37="x",'Jan 2027'!X37="X"),1,0))</f>
        <v/>
      </c>
      <c r="AF116" s="345">
        <f>IF($A116="","",IF('Jan 2027'!X59="","",'Jan 2027'!X59))</f>
        <v/>
      </c>
      <c r="AG116" s="345">
        <f>IF($A116="","",IF('Jan 2027'!X60="","",'Jan 2027'!X60))</f>
        <v/>
      </c>
      <c r="AH116" s="345">
        <f>IF($A116="","",IF('Jan 2027'!X61="","",'Jan 2027'!X61))</f>
        <v/>
      </c>
      <c r="AI116" s="345">
        <f>IF($A116="","",IF('Jan 2027'!X62="","",'Jan 2027'!X62))</f>
        <v/>
      </c>
      <c r="AJ116" s="345">
        <f>IF($A116="","",IF('Jan 2027'!X63="","",'Jan 2027'!X63))</f>
        <v/>
      </c>
      <c r="AK116" s="345">
        <f>IF($A116="","",IF('Jan 2027'!X64="","",'Jan 2027'!X64))</f>
        <v/>
      </c>
      <c r="AL116" s="345">
        <f>IF($A116="","",IF('Jan 2027'!X65="","",'Jan 2027'!X65))</f>
        <v/>
      </c>
      <c r="AM116" s="345">
        <f>IF($A116="","",IF('Jan 2027'!X66="","",'Jan 2027'!X66))</f>
        <v/>
      </c>
      <c r="AN116" s="345">
        <f>IF($A116="","",IF('Jan 2027'!X67="","",'Jan 2027'!X67))</f>
        <v/>
      </c>
      <c r="AO116" s="345">
        <f>IF($A116="",0,IF(AND($A116&gt;=TrackStart,$A116&lt;=TODAY()),1,0))</f>
        <v/>
      </c>
      <c r="AP116" s="345">
        <f>IF($A116="",0,IF(SUM(F116:AE116)+COUNT(AF116:AN116)&gt;0,1,0))</f>
        <v/>
      </c>
      <c r="AQ116" s="345">
        <f>IF($A116="","",INT(($A116-TrackStart)/7)+1)</f>
        <v/>
      </c>
      <c r="AR116" s="345">
        <f>IF($A116="","",IF(AQ116&lt;=1,Steps1,IF(AQ116=2,Steps2,Steps3)))</f>
        <v/>
      </c>
      <c r="AS116" s="345">
        <f>IF($A116="",0,IF(ISNUMBER(SEARCH(TEXT(D116,"0"),WorkDays&amp;"")),1,0))</f>
        <v/>
      </c>
      <c r="AT116" s="345">
        <f>IF($A116="",0,IF(ISNUMBER(SEARCH(TEXT(D116,"0"),StrDays&amp;"")),1,0))</f>
        <v/>
      </c>
      <c r="AU116" s="345">
        <f>IF($A116="",0,IF(ISNUMBER(AK116),IF(AK116&gt;=SleepMin,1,0),N116))</f>
        <v/>
      </c>
      <c r="AV116" s="345">
        <f>IF($A116="",0,MAX(I116,O116,S116,AC116))</f>
        <v/>
      </c>
      <c r="AW116" s="345">
        <f>IF($A116="",0,IF(ISNUMBER(AH116),IF(AH116&gt;=ProtHit,1,0),0))</f>
        <v/>
      </c>
      <c r="AX116" s="345">
        <f>IF($A116="",0,IF(ISNUMBER(AI116),IF(AI116&gt;=WaterHit,1,0),0))</f>
        <v/>
      </c>
      <c r="AY116" s="345">
        <f>IF($A116="",0,IF(ISNUMBER(AG116),IF(AG116&gt;=AR116,1,0),0))</f>
        <v/>
      </c>
      <c r="AZ116" s="345">
        <f>IF($A116="",0,G116)</f>
        <v/>
      </c>
      <c r="BA116" s="345">
        <f>IF($A116="",0,J116)</f>
        <v/>
      </c>
      <c r="BB116" s="345">
        <f>IF($A116="",0,K116)</f>
        <v/>
      </c>
      <c r="BC116" s="345">
        <f>IF($A116="",0,MAX(L116,AE116))</f>
        <v/>
      </c>
      <c r="BD116" s="344">
        <f>IF($A116="","",(AU116+AV116+AW116+AX116+AY116+AZ116+BB116+BC116+IF(AS116=1,BA116,0))/(8+AS116))</f>
        <v/>
      </c>
      <c r="BE116" s="344">
        <f>IF($A116="","",(IF(ISNUMBER(AI116),IF(AI116&gt;=WaterMVD,1,0),0)+AV116+IF(ISNUMBER(AH116),IF(AH116&gt;=ProtMVD,1,0),0)+MAX(H116,AD116)+AZ116+BB116+AU116)/7)</f>
        <v/>
      </c>
      <c r="BF116" s="344">
        <f>IF(AO116=0,"",IF(E116="S","",IF(AND(AP116=0,$A116=TODAY()),"",IF(E116="M",BE116,BD116))))</f>
        <v/>
      </c>
      <c r="BG116" s="344">
        <f>IF(AO116=0,"",IFERROR(AVERAGEIFS(Data!$BF$4:$BF$375,Data!$A$4:$A$375,"&gt;"&amp;($A116-7),Data!$A$4:$A$375,"&lt;="&amp;$A116),""))</f>
        <v/>
      </c>
      <c r="BH116" s="344">
        <f>IF(AO116=0,"",IFERROR(AVERAGEIFS(Data!$BF$4:$BF$375,Data!$A$4:$A$375,"&gt;"&amp;($A116-30),Data!$A$4:$A$375,"&lt;="&amp;$A116),""))</f>
        <v/>
      </c>
      <c r="BI116" s="359">
        <f>IF($A116="","",IFERROR(AVERAGEIFS(Data!$AF$4:$AF$375,Data!$A$4:$A$375,"&gt;"&amp;($A116-7),Data!$A$4:$A$375,"&lt;="&amp;$A116,Data!$AF$4:$AF$375,"&gt;0"),""))</f>
        <v/>
      </c>
      <c r="BJ116" s="345">
        <f>IF($A116="","",F116+G116+H116+I116+J116+K116+L116+M116+N116-IF(AS116=1,0,J116))</f>
        <v/>
      </c>
      <c r="BK116" s="345">
        <f>IF($A116="","",8+AS116)</f>
        <v/>
      </c>
      <c r="BL116" s="345">
        <f>IF(ISNUMBER(BF116),BF116,NA())</f>
        <v/>
      </c>
      <c r="BM116" s="345">
        <f>IF(ISNUMBER(AF116),AF116,NA())</f>
        <v/>
      </c>
      <c r="BN116" s="345">
        <f>IF(ISNUMBER(BI116),BI116,NA())</f>
        <v/>
      </c>
      <c r="BO116" s="345">
        <f>IF(ISNUMBER(AL116),AL116,NA())</f>
        <v/>
      </c>
      <c r="BP116" s="345">
        <f>IF(ISNUMBER(AM116),AM116,NA())</f>
        <v/>
      </c>
      <c r="BQ116" s="345">
        <f>IF(ISNUMBER(AN116),AN116,NA())</f>
        <v/>
      </c>
    </row>
    <row r="117">
      <c r="A117" s="358">
        <f>IF('Jan 2027'!Y7="","",'Jan 2027'!Y7)</f>
        <v/>
      </c>
      <c r="B117" s="345" t="n">
        <v>4</v>
      </c>
      <c r="C117" s="345">
        <f>IF($A117="","",21)</f>
        <v/>
      </c>
      <c r="D117" s="345">
        <f>IF($A117="","",WEEKDAY($A117,2))</f>
        <v/>
      </c>
      <c r="E117" s="345">
        <f>IF($A117="","",UPPER(TRIM('Jan 2027'!Y8)))</f>
        <v/>
      </c>
      <c r="F117" s="345">
        <f>IF($A117="","",IF(OR('Jan 2027'!Y10=TRUE,'Jan 2027'!Y10="x",'Jan 2027'!Y10="X"),1,0))</f>
        <v/>
      </c>
      <c r="G117" s="345">
        <f>IF($A117="","",IF(OR('Jan 2027'!Y11=TRUE,'Jan 2027'!Y11="x",'Jan 2027'!Y11="X"),1,0))</f>
        <v/>
      </c>
      <c r="H117" s="345">
        <f>IF($A117="","",IF(OR('Jan 2027'!Y12=TRUE,'Jan 2027'!Y12="x",'Jan 2027'!Y12="X"),1,0))</f>
        <v/>
      </c>
      <c r="I117" s="345">
        <f>IF($A117="","",IF(OR('Jan 2027'!Y13=TRUE,'Jan 2027'!Y13="x",'Jan 2027'!Y13="X"),1,0))</f>
        <v/>
      </c>
      <c r="J117" s="345">
        <f>IF($A117="","",IF(OR('Jan 2027'!Y14=TRUE,'Jan 2027'!Y14="x",'Jan 2027'!Y14="X"),1,0))</f>
        <v/>
      </c>
      <c r="K117" s="345">
        <f>IF($A117="","",IF(OR('Jan 2027'!Y15=TRUE,'Jan 2027'!Y15="x",'Jan 2027'!Y15="X"),1,0))</f>
        <v/>
      </c>
      <c r="L117" s="345">
        <f>IF($A117="","",IF(OR('Jan 2027'!Y16=TRUE,'Jan 2027'!Y16="x",'Jan 2027'!Y16="X"),1,0))</f>
        <v/>
      </c>
      <c r="M117" s="345">
        <f>IF($A117="","",IF(OR('Jan 2027'!Y17=TRUE,'Jan 2027'!Y17="x",'Jan 2027'!Y17="X"),1,0))</f>
        <v/>
      </c>
      <c r="N117" s="345">
        <f>IF($A117="","",IF(OR('Jan 2027'!Y18=TRUE,'Jan 2027'!Y18="x",'Jan 2027'!Y18="X"),1,0))</f>
        <v/>
      </c>
      <c r="O117" s="345">
        <f>IF($A117="","",IF(OR('Jan 2027'!Y20=TRUE,'Jan 2027'!Y20="x",'Jan 2027'!Y20="X"),1,0))</f>
        <v/>
      </c>
      <c r="P117" s="345">
        <f>IF($A117="","",IF(OR('Jan 2027'!Y21=TRUE,'Jan 2027'!Y21="x",'Jan 2027'!Y21="X"),1,0))</f>
        <v/>
      </c>
      <c r="Q117" s="345">
        <f>IF($A117="","",IF(OR('Jan 2027'!Y22=TRUE,'Jan 2027'!Y22="x",'Jan 2027'!Y22="X"),1,0))</f>
        <v/>
      </c>
      <c r="R117" s="345">
        <f>IF($A117="","",IF(OR('Jan 2027'!Y23=TRUE,'Jan 2027'!Y23="x",'Jan 2027'!Y23="X"),1,0))</f>
        <v/>
      </c>
      <c r="S117" s="345">
        <f>IF($A117="","",IF(OR('Jan 2027'!Y24=TRUE,'Jan 2027'!Y24="x",'Jan 2027'!Y24="X"),1,0))</f>
        <v/>
      </c>
      <c r="T117" s="345">
        <f>IF($A117="","",IF(OR('Jan 2027'!Y25=TRUE,'Jan 2027'!Y25="x",'Jan 2027'!Y25="X"),1,0))</f>
        <v/>
      </c>
      <c r="U117" s="345">
        <f>IF($A117="","",IF(OR('Jan 2027'!Y26=TRUE,'Jan 2027'!Y26="x",'Jan 2027'!Y26="X"),1,0))</f>
        <v/>
      </c>
      <c r="V117" s="345">
        <f>IF($A117="","",IF(OR('Jan 2027'!Y27=TRUE,'Jan 2027'!Y27="x",'Jan 2027'!Y27="X"),1,0))</f>
        <v/>
      </c>
      <c r="W117" s="345">
        <f>IF($A117="","",IF(OR('Jan 2027'!Y28=TRUE,'Jan 2027'!Y28="x",'Jan 2027'!Y28="X"),1,0))</f>
        <v/>
      </c>
      <c r="X117" s="345">
        <f>IF($A117="","",IF(OR('Jan 2027'!Y29=TRUE,'Jan 2027'!Y29="x",'Jan 2027'!Y29="X"),1,0))</f>
        <v/>
      </c>
      <c r="Y117" s="345">
        <f>IF($A117="","",IF(OR('Jan 2027'!Y30=TRUE,'Jan 2027'!Y30="x",'Jan 2027'!Y30="X"),1,0))</f>
        <v/>
      </c>
      <c r="Z117" s="345">
        <f>IF($A117="","",IF(OR('Jan 2027'!Y31=TRUE,'Jan 2027'!Y31="x",'Jan 2027'!Y31="X"),1,0))</f>
        <v/>
      </c>
      <c r="AA117" s="345">
        <f>IF($A117="","",IF(OR('Jan 2027'!Y32=TRUE,'Jan 2027'!Y32="x",'Jan 2027'!Y32="X"),1,0))</f>
        <v/>
      </c>
      <c r="AB117" s="345">
        <f>IF($A117="","",IF(OR('Jan 2027'!Y34=TRUE,'Jan 2027'!Y34="x",'Jan 2027'!Y34="X"),1,0))</f>
        <v/>
      </c>
      <c r="AC117" s="345">
        <f>IF($A117="","",IF(OR('Jan 2027'!Y35=TRUE,'Jan 2027'!Y35="x",'Jan 2027'!Y35="X"),1,0))</f>
        <v/>
      </c>
      <c r="AD117" s="345">
        <f>IF($A117="","",IF(OR('Jan 2027'!Y36=TRUE,'Jan 2027'!Y36="x",'Jan 2027'!Y36="X"),1,0))</f>
        <v/>
      </c>
      <c r="AE117" s="345">
        <f>IF($A117="","",IF(OR('Jan 2027'!Y37=TRUE,'Jan 2027'!Y37="x",'Jan 2027'!Y37="X"),1,0))</f>
        <v/>
      </c>
      <c r="AF117" s="345">
        <f>IF($A117="","",IF('Jan 2027'!Y59="","",'Jan 2027'!Y59))</f>
        <v/>
      </c>
      <c r="AG117" s="345">
        <f>IF($A117="","",IF('Jan 2027'!Y60="","",'Jan 2027'!Y60))</f>
        <v/>
      </c>
      <c r="AH117" s="345">
        <f>IF($A117="","",IF('Jan 2027'!Y61="","",'Jan 2027'!Y61))</f>
        <v/>
      </c>
      <c r="AI117" s="345">
        <f>IF($A117="","",IF('Jan 2027'!Y62="","",'Jan 2027'!Y62))</f>
        <v/>
      </c>
      <c r="AJ117" s="345">
        <f>IF($A117="","",IF('Jan 2027'!Y63="","",'Jan 2027'!Y63))</f>
        <v/>
      </c>
      <c r="AK117" s="345">
        <f>IF($A117="","",IF('Jan 2027'!Y64="","",'Jan 2027'!Y64))</f>
        <v/>
      </c>
      <c r="AL117" s="345">
        <f>IF($A117="","",IF('Jan 2027'!Y65="","",'Jan 2027'!Y65))</f>
        <v/>
      </c>
      <c r="AM117" s="345">
        <f>IF($A117="","",IF('Jan 2027'!Y66="","",'Jan 2027'!Y66))</f>
        <v/>
      </c>
      <c r="AN117" s="345">
        <f>IF($A117="","",IF('Jan 2027'!Y67="","",'Jan 2027'!Y67))</f>
        <v/>
      </c>
      <c r="AO117" s="345">
        <f>IF($A117="",0,IF(AND($A117&gt;=TrackStart,$A117&lt;=TODAY()),1,0))</f>
        <v/>
      </c>
      <c r="AP117" s="345">
        <f>IF($A117="",0,IF(SUM(F117:AE117)+COUNT(AF117:AN117)&gt;0,1,0))</f>
        <v/>
      </c>
      <c r="AQ117" s="345">
        <f>IF($A117="","",INT(($A117-TrackStart)/7)+1)</f>
        <v/>
      </c>
      <c r="AR117" s="345">
        <f>IF($A117="","",IF(AQ117&lt;=1,Steps1,IF(AQ117=2,Steps2,Steps3)))</f>
        <v/>
      </c>
      <c r="AS117" s="345">
        <f>IF($A117="",0,IF(ISNUMBER(SEARCH(TEXT(D117,"0"),WorkDays&amp;"")),1,0))</f>
        <v/>
      </c>
      <c r="AT117" s="345">
        <f>IF($A117="",0,IF(ISNUMBER(SEARCH(TEXT(D117,"0"),StrDays&amp;"")),1,0))</f>
        <v/>
      </c>
      <c r="AU117" s="345">
        <f>IF($A117="",0,IF(ISNUMBER(AK117),IF(AK117&gt;=SleepMin,1,0),N117))</f>
        <v/>
      </c>
      <c r="AV117" s="345">
        <f>IF($A117="",0,MAX(I117,O117,S117,AC117))</f>
        <v/>
      </c>
      <c r="AW117" s="345">
        <f>IF($A117="",0,IF(ISNUMBER(AH117),IF(AH117&gt;=ProtHit,1,0),0))</f>
        <v/>
      </c>
      <c r="AX117" s="345">
        <f>IF($A117="",0,IF(ISNUMBER(AI117),IF(AI117&gt;=WaterHit,1,0),0))</f>
        <v/>
      </c>
      <c r="AY117" s="345">
        <f>IF($A117="",0,IF(ISNUMBER(AG117),IF(AG117&gt;=AR117,1,0),0))</f>
        <v/>
      </c>
      <c r="AZ117" s="345">
        <f>IF($A117="",0,G117)</f>
        <v/>
      </c>
      <c r="BA117" s="345">
        <f>IF($A117="",0,J117)</f>
        <v/>
      </c>
      <c r="BB117" s="345">
        <f>IF($A117="",0,K117)</f>
        <v/>
      </c>
      <c r="BC117" s="345">
        <f>IF($A117="",0,MAX(L117,AE117))</f>
        <v/>
      </c>
      <c r="BD117" s="344">
        <f>IF($A117="","",(AU117+AV117+AW117+AX117+AY117+AZ117+BB117+BC117+IF(AS117=1,BA117,0))/(8+AS117))</f>
        <v/>
      </c>
      <c r="BE117" s="344">
        <f>IF($A117="","",(IF(ISNUMBER(AI117),IF(AI117&gt;=WaterMVD,1,0),0)+AV117+IF(ISNUMBER(AH117),IF(AH117&gt;=ProtMVD,1,0),0)+MAX(H117,AD117)+AZ117+BB117+AU117)/7)</f>
        <v/>
      </c>
      <c r="BF117" s="344">
        <f>IF(AO117=0,"",IF(E117="S","",IF(AND(AP117=0,$A117=TODAY()),"",IF(E117="M",BE117,BD117))))</f>
        <v/>
      </c>
      <c r="BG117" s="344">
        <f>IF(AO117=0,"",IFERROR(AVERAGEIFS(Data!$BF$4:$BF$375,Data!$A$4:$A$375,"&gt;"&amp;($A117-7),Data!$A$4:$A$375,"&lt;="&amp;$A117),""))</f>
        <v/>
      </c>
      <c r="BH117" s="344">
        <f>IF(AO117=0,"",IFERROR(AVERAGEIFS(Data!$BF$4:$BF$375,Data!$A$4:$A$375,"&gt;"&amp;($A117-30),Data!$A$4:$A$375,"&lt;="&amp;$A117),""))</f>
        <v/>
      </c>
      <c r="BI117" s="359">
        <f>IF($A117="","",IFERROR(AVERAGEIFS(Data!$AF$4:$AF$375,Data!$A$4:$A$375,"&gt;"&amp;($A117-7),Data!$A$4:$A$375,"&lt;="&amp;$A117,Data!$AF$4:$AF$375,"&gt;0"),""))</f>
        <v/>
      </c>
      <c r="BJ117" s="345">
        <f>IF($A117="","",F117+G117+H117+I117+J117+K117+L117+M117+N117-IF(AS117=1,0,J117))</f>
        <v/>
      </c>
      <c r="BK117" s="345">
        <f>IF($A117="","",8+AS117)</f>
        <v/>
      </c>
      <c r="BL117" s="345">
        <f>IF(ISNUMBER(BF117),BF117,NA())</f>
        <v/>
      </c>
      <c r="BM117" s="345">
        <f>IF(ISNUMBER(AF117),AF117,NA())</f>
        <v/>
      </c>
      <c r="BN117" s="345">
        <f>IF(ISNUMBER(BI117),BI117,NA())</f>
        <v/>
      </c>
      <c r="BO117" s="345">
        <f>IF(ISNUMBER(AL117),AL117,NA())</f>
        <v/>
      </c>
      <c r="BP117" s="345">
        <f>IF(ISNUMBER(AM117),AM117,NA())</f>
        <v/>
      </c>
      <c r="BQ117" s="345">
        <f>IF(ISNUMBER(AN117),AN117,NA())</f>
        <v/>
      </c>
    </row>
    <row r="118">
      <c r="A118" s="358">
        <f>IF('Jan 2027'!Z7="","",'Jan 2027'!Z7)</f>
        <v/>
      </c>
      <c r="B118" s="345" t="n">
        <v>4</v>
      </c>
      <c r="C118" s="345">
        <f>IF($A118="","",22)</f>
        <v/>
      </c>
      <c r="D118" s="345">
        <f>IF($A118="","",WEEKDAY($A118,2))</f>
        <v/>
      </c>
      <c r="E118" s="345">
        <f>IF($A118="","",UPPER(TRIM('Jan 2027'!Z8)))</f>
        <v/>
      </c>
      <c r="F118" s="345">
        <f>IF($A118="","",IF(OR('Jan 2027'!Z10=TRUE,'Jan 2027'!Z10="x",'Jan 2027'!Z10="X"),1,0))</f>
        <v/>
      </c>
      <c r="G118" s="345">
        <f>IF($A118="","",IF(OR('Jan 2027'!Z11=TRUE,'Jan 2027'!Z11="x",'Jan 2027'!Z11="X"),1,0))</f>
        <v/>
      </c>
      <c r="H118" s="345">
        <f>IF($A118="","",IF(OR('Jan 2027'!Z12=TRUE,'Jan 2027'!Z12="x",'Jan 2027'!Z12="X"),1,0))</f>
        <v/>
      </c>
      <c r="I118" s="345">
        <f>IF($A118="","",IF(OR('Jan 2027'!Z13=TRUE,'Jan 2027'!Z13="x",'Jan 2027'!Z13="X"),1,0))</f>
        <v/>
      </c>
      <c r="J118" s="345">
        <f>IF($A118="","",IF(OR('Jan 2027'!Z14=TRUE,'Jan 2027'!Z14="x",'Jan 2027'!Z14="X"),1,0))</f>
        <v/>
      </c>
      <c r="K118" s="345">
        <f>IF($A118="","",IF(OR('Jan 2027'!Z15=TRUE,'Jan 2027'!Z15="x",'Jan 2027'!Z15="X"),1,0))</f>
        <v/>
      </c>
      <c r="L118" s="345">
        <f>IF($A118="","",IF(OR('Jan 2027'!Z16=TRUE,'Jan 2027'!Z16="x",'Jan 2027'!Z16="X"),1,0))</f>
        <v/>
      </c>
      <c r="M118" s="345">
        <f>IF($A118="","",IF(OR('Jan 2027'!Z17=TRUE,'Jan 2027'!Z17="x",'Jan 2027'!Z17="X"),1,0))</f>
        <v/>
      </c>
      <c r="N118" s="345">
        <f>IF($A118="","",IF(OR('Jan 2027'!Z18=TRUE,'Jan 2027'!Z18="x",'Jan 2027'!Z18="X"),1,0))</f>
        <v/>
      </c>
      <c r="O118" s="345">
        <f>IF($A118="","",IF(OR('Jan 2027'!Z20=TRUE,'Jan 2027'!Z20="x",'Jan 2027'!Z20="X"),1,0))</f>
        <v/>
      </c>
      <c r="P118" s="345">
        <f>IF($A118="","",IF(OR('Jan 2027'!Z21=TRUE,'Jan 2027'!Z21="x",'Jan 2027'!Z21="X"),1,0))</f>
        <v/>
      </c>
      <c r="Q118" s="345">
        <f>IF($A118="","",IF(OR('Jan 2027'!Z22=TRUE,'Jan 2027'!Z22="x",'Jan 2027'!Z22="X"),1,0))</f>
        <v/>
      </c>
      <c r="R118" s="345">
        <f>IF($A118="","",IF(OR('Jan 2027'!Z23=TRUE,'Jan 2027'!Z23="x",'Jan 2027'!Z23="X"),1,0))</f>
        <v/>
      </c>
      <c r="S118" s="345">
        <f>IF($A118="","",IF(OR('Jan 2027'!Z24=TRUE,'Jan 2027'!Z24="x",'Jan 2027'!Z24="X"),1,0))</f>
        <v/>
      </c>
      <c r="T118" s="345">
        <f>IF($A118="","",IF(OR('Jan 2027'!Z25=TRUE,'Jan 2027'!Z25="x",'Jan 2027'!Z25="X"),1,0))</f>
        <v/>
      </c>
      <c r="U118" s="345">
        <f>IF($A118="","",IF(OR('Jan 2027'!Z26=TRUE,'Jan 2027'!Z26="x",'Jan 2027'!Z26="X"),1,0))</f>
        <v/>
      </c>
      <c r="V118" s="345">
        <f>IF($A118="","",IF(OR('Jan 2027'!Z27=TRUE,'Jan 2027'!Z27="x",'Jan 2027'!Z27="X"),1,0))</f>
        <v/>
      </c>
      <c r="W118" s="345">
        <f>IF($A118="","",IF(OR('Jan 2027'!Z28=TRUE,'Jan 2027'!Z28="x",'Jan 2027'!Z28="X"),1,0))</f>
        <v/>
      </c>
      <c r="X118" s="345">
        <f>IF($A118="","",IF(OR('Jan 2027'!Z29=TRUE,'Jan 2027'!Z29="x",'Jan 2027'!Z29="X"),1,0))</f>
        <v/>
      </c>
      <c r="Y118" s="345">
        <f>IF($A118="","",IF(OR('Jan 2027'!Z30=TRUE,'Jan 2027'!Z30="x",'Jan 2027'!Z30="X"),1,0))</f>
        <v/>
      </c>
      <c r="Z118" s="345">
        <f>IF($A118="","",IF(OR('Jan 2027'!Z31=TRUE,'Jan 2027'!Z31="x",'Jan 2027'!Z31="X"),1,0))</f>
        <v/>
      </c>
      <c r="AA118" s="345">
        <f>IF($A118="","",IF(OR('Jan 2027'!Z32=TRUE,'Jan 2027'!Z32="x",'Jan 2027'!Z32="X"),1,0))</f>
        <v/>
      </c>
      <c r="AB118" s="345">
        <f>IF($A118="","",IF(OR('Jan 2027'!Z34=TRUE,'Jan 2027'!Z34="x",'Jan 2027'!Z34="X"),1,0))</f>
        <v/>
      </c>
      <c r="AC118" s="345">
        <f>IF($A118="","",IF(OR('Jan 2027'!Z35=TRUE,'Jan 2027'!Z35="x",'Jan 2027'!Z35="X"),1,0))</f>
        <v/>
      </c>
      <c r="AD118" s="345">
        <f>IF($A118="","",IF(OR('Jan 2027'!Z36=TRUE,'Jan 2027'!Z36="x",'Jan 2027'!Z36="X"),1,0))</f>
        <v/>
      </c>
      <c r="AE118" s="345">
        <f>IF($A118="","",IF(OR('Jan 2027'!Z37=TRUE,'Jan 2027'!Z37="x",'Jan 2027'!Z37="X"),1,0))</f>
        <v/>
      </c>
      <c r="AF118" s="345">
        <f>IF($A118="","",IF('Jan 2027'!Z59="","",'Jan 2027'!Z59))</f>
        <v/>
      </c>
      <c r="AG118" s="345">
        <f>IF($A118="","",IF('Jan 2027'!Z60="","",'Jan 2027'!Z60))</f>
        <v/>
      </c>
      <c r="AH118" s="345">
        <f>IF($A118="","",IF('Jan 2027'!Z61="","",'Jan 2027'!Z61))</f>
        <v/>
      </c>
      <c r="AI118" s="345">
        <f>IF($A118="","",IF('Jan 2027'!Z62="","",'Jan 2027'!Z62))</f>
        <v/>
      </c>
      <c r="AJ118" s="345">
        <f>IF($A118="","",IF('Jan 2027'!Z63="","",'Jan 2027'!Z63))</f>
        <v/>
      </c>
      <c r="AK118" s="345">
        <f>IF($A118="","",IF('Jan 2027'!Z64="","",'Jan 2027'!Z64))</f>
        <v/>
      </c>
      <c r="AL118" s="345">
        <f>IF($A118="","",IF('Jan 2027'!Z65="","",'Jan 2027'!Z65))</f>
        <v/>
      </c>
      <c r="AM118" s="345">
        <f>IF($A118="","",IF('Jan 2027'!Z66="","",'Jan 2027'!Z66))</f>
        <v/>
      </c>
      <c r="AN118" s="345">
        <f>IF($A118="","",IF('Jan 2027'!Z67="","",'Jan 2027'!Z67))</f>
        <v/>
      </c>
      <c r="AO118" s="345">
        <f>IF($A118="",0,IF(AND($A118&gt;=TrackStart,$A118&lt;=TODAY()),1,0))</f>
        <v/>
      </c>
      <c r="AP118" s="345">
        <f>IF($A118="",0,IF(SUM(F118:AE118)+COUNT(AF118:AN118)&gt;0,1,0))</f>
        <v/>
      </c>
      <c r="AQ118" s="345">
        <f>IF($A118="","",INT(($A118-TrackStart)/7)+1)</f>
        <v/>
      </c>
      <c r="AR118" s="345">
        <f>IF($A118="","",IF(AQ118&lt;=1,Steps1,IF(AQ118=2,Steps2,Steps3)))</f>
        <v/>
      </c>
      <c r="AS118" s="345">
        <f>IF($A118="",0,IF(ISNUMBER(SEARCH(TEXT(D118,"0"),WorkDays&amp;"")),1,0))</f>
        <v/>
      </c>
      <c r="AT118" s="345">
        <f>IF($A118="",0,IF(ISNUMBER(SEARCH(TEXT(D118,"0"),StrDays&amp;"")),1,0))</f>
        <v/>
      </c>
      <c r="AU118" s="345">
        <f>IF($A118="",0,IF(ISNUMBER(AK118),IF(AK118&gt;=SleepMin,1,0),N118))</f>
        <v/>
      </c>
      <c r="AV118" s="345">
        <f>IF($A118="",0,MAX(I118,O118,S118,AC118))</f>
        <v/>
      </c>
      <c r="AW118" s="345">
        <f>IF($A118="",0,IF(ISNUMBER(AH118),IF(AH118&gt;=ProtHit,1,0),0))</f>
        <v/>
      </c>
      <c r="AX118" s="345">
        <f>IF($A118="",0,IF(ISNUMBER(AI118),IF(AI118&gt;=WaterHit,1,0),0))</f>
        <v/>
      </c>
      <c r="AY118" s="345">
        <f>IF($A118="",0,IF(ISNUMBER(AG118),IF(AG118&gt;=AR118,1,0),0))</f>
        <v/>
      </c>
      <c r="AZ118" s="345">
        <f>IF($A118="",0,G118)</f>
        <v/>
      </c>
      <c r="BA118" s="345">
        <f>IF($A118="",0,J118)</f>
        <v/>
      </c>
      <c r="BB118" s="345">
        <f>IF($A118="",0,K118)</f>
        <v/>
      </c>
      <c r="BC118" s="345">
        <f>IF($A118="",0,MAX(L118,AE118))</f>
        <v/>
      </c>
      <c r="BD118" s="344">
        <f>IF($A118="","",(AU118+AV118+AW118+AX118+AY118+AZ118+BB118+BC118+IF(AS118=1,BA118,0))/(8+AS118))</f>
        <v/>
      </c>
      <c r="BE118" s="344">
        <f>IF($A118="","",(IF(ISNUMBER(AI118),IF(AI118&gt;=WaterMVD,1,0),0)+AV118+IF(ISNUMBER(AH118),IF(AH118&gt;=ProtMVD,1,0),0)+MAX(H118,AD118)+AZ118+BB118+AU118)/7)</f>
        <v/>
      </c>
      <c r="BF118" s="344">
        <f>IF(AO118=0,"",IF(E118="S","",IF(AND(AP118=0,$A118=TODAY()),"",IF(E118="M",BE118,BD118))))</f>
        <v/>
      </c>
      <c r="BG118" s="344">
        <f>IF(AO118=0,"",IFERROR(AVERAGEIFS(Data!$BF$4:$BF$375,Data!$A$4:$A$375,"&gt;"&amp;($A118-7),Data!$A$4:$A$375,"&lt;="&amp;$A118),""))</f>
        <v/>
      </c>
      <c r="BH118" s="344">
        <f>IF(AO118=0,"",IFERROR(AVERAGEIFS(Data!$BF$4:$BF$375,Data!$A$4:$A$375,"&gt;"&amp;($A118-30),Data!$A$4:$A$375,"&lt;="&amp;$A118),""))</f>
        <v/>
      </c>
      <c r="BI118" s="359">
        <f>IF($A118="","",IFERROR(AVERAGEIFS(Data!$AF$4:$AF$375,Data!$A$4:$A$375,"&gt;"&amp;($A118-7),Data!$A$4:$A$375,"&lt;="&amp;$A118,Data!$AF$4:$AF$375,"&gt;0"),""))</f>
        <v/>
      </c>
      <c r="BJ118" s="345">
        <f>IF($A118="","",F118+G118+H118+I118+J118+K118+L118+M118+N118-IF(AS118=1,0,J118))</f>
        <v/>
      </c>
      <c r="BK118" s="345">
        <f>IF($A118="","",8+AS118)</f>
        <v/>
      </c>
      <c r="BL118" s="345">
        <f>IF(ISNUMBER(BF118),BF118,NA())</f>
        <v/>
      </c>
      <c r="BM118" s="345">
        <f>IF(ISNUMBER(AF118),AF118,NA())</f>
        <v/>
      </c>
      <c r="BN118" s="345">
        <f>IF(ISNUMBER(BI118),BI118,NA())</f>
        <v/>
      </c>
      <c r="BO118" s="345">
        <f>IF(ISNUMBER(AL118),AL118,NA())</f>
        <v/>
      </c>
      <c r="BP118" s="345">
        <f>IF(ISNUMBER(AM118),AM118,NA())</f>
        <v/>
      </c>
      <c r="BQ118" s="345">
        <f>IF(ISNUMBER(AN118),AN118,NA())</f>
        <v/>
      </c>
    </row>
    <row r="119">
      <c r="A119" s="358">
        <f>IF('Jan 2027'!AA7="","",'Jan 2027'!AA7)</f>
        <v/>
      </c>
      <c r="B119" s="345" t="n">
        <v>4</v>
      </c>
      <c r="C119" s="345">
        <f>IF($A119="","",23)</f>
        <v/>
      </c>
      <c r="D119" s="345">
        <f>IF($A119="","",WEEKDAY($A119,2))</f>
        <v/>
      </c>
      <c r="E119" s="345">
        <f>IF($A119="","",UPPER(TRIM('Jan 2027'!AA8)))</f>
        <v/>
      </c>
      <c r="F119" s="345">
        <f>IF($A119="","",IF(OR('Jan 2027'!AA10=TRUE,'Jan 2027'!AA10="x",'Jan 2027'!AA10="X"),1,0))</f>
        <v/>
      </c>
      <c r="G119" s="345">
        <f>IF($A119="","",IF(OR('Jan 2027'!AA11=TRUE,'Jan 2027'!AA11="x",'Jan 2027'!AA11="X"),1,0))</f>
        <v/>
      </c>
      <c r="H119" s="345">
        <f>IF($A119="","",IF(OR('Jan 2027'!AA12=TRUE,'Jan 2027'!AA12="x",'Jan 2027'!AA12="X"),1,0))</f>
        <v/>
      </c>
      <c r="I119" s="345">
        <f>IF($A119="","",IF(OR('Jan 2027'!AA13=TRUE,'Jan 2027'!AA13="x",'Jan 2027'!AA13="X"),1,0))</f>
        <v/>
      </c>
      <c r="J119" s="345">
        <f>IF($A119="","",IF(OR('Jan 2027'!AA14=TRUE,'Jan 2027'!AA14="x",'Jan 2027'!AA14="X"),1,0))</f>
        <v/>
      </c>
      <c r="K119" s="345">
        <f>IF($A119="","",IF(OR('Jan 2027'!AA15=TRUE,'Jan 2027'!AA15="x",'Jan 2027'!AA15="X"),1,0))</f>
        <v/>
      </c>
      <c r="L119" s="345">
        <f>IF($A119="","",IF(OR('Jan 2027'!AA16=TRUE,'Jan 2027'!AA16="x",'Jan 2027'!AA16="X"),1,0))</f>
        <v/>
      </c>
      <c r="M119" s="345">
        <f>IF($A119="","",IF(OR('Jan 2027'!AA17=TRUE,'Jan 2027'!AA17="x",'Jan 2027'!AA17="X"),1,0))</f>
        <v/>
      </c>
      <c r="N119" s="345">
        <f>IF($A119="","",IF(OR('Jan 2027'!AA18=TRUE,'Jan 2027'!AA18="x",'Jan 2027'!AA18="X"),1,0))</f>
        <v/>
      </c>
      <c r="O119" s="345">
        <f>IF($A119="","",IF(OR('Jan 2027'!AA20=TRUE,'Jan 2027'!AA20="x",'Jan 2027'!AA20="X"),1,0))</f>
        <v/>
      </c>
      <c r="P119" s="345">
        <f>IF($A119="","",IF(OR('Jan 2027'!AA21=TRUE,'Jan 2027'!AA21="x",'Jan 2027'!AA21="X"),1,0))</f>
        <v/>
      </c>
      <c r="Q119" s="345">
        <f>IF($A119="","",IF(OR('Jan 2027'!AA22=TRUE,'Jan 2027'!AA22="x",'Jan 2027'!AA22="X"),1,0))</f>
        <v/>
      </c>
      <c r="R119" s="345">
        <f>IF($A119="","",IF(OR('Jan 2027'!AA23=TRUE,'Jan 2027'!AA23="x",'Jan 2027'!AA23="X"),1,0))</f>
        <v/>
      </c>
      <c r="S119" s="345">
        <f>IF($A119="","",IF(OR('Jan 2027'!AA24=TRUE,'Jan 2027'!AA24="x",'Jan 2027'!AA24="X"),1,0))</f>
        <v/>
      </c>
      <c r="T119" s="345">
        <f>IF($A119="","",IF(OR('Jan 2027'!AA25=TRUE,'Jan 2027'!AA25="x",'Jan 2027'!AA25="X"),1,0))</f>
        <v/>
      </c>
      <c r="U119" s="345">
        <f>IF($A119="","",IF(OR('Jan 2027'!AA26=TRUE,'Jan 2027'!AA26="x",'Jan 2027'!AA26="X"),1,0))</f>
        <v/>
      </c>
      <c r="V119" s="345">
        <f>IF($A119="","",IF(OR('Jan 2027'!AA27=TRUE,'Jan 2027'!AA27="x",'Jan 2027'!AA27="X"),1,0))</f>
        <v/>
      </c>
      <c r="W119" s="345">
        <f>IF($A119="","",IF(OR('Jan 2027'!AA28=TRUE,'Jan 2027'!AA28="x",'Jan 2027'!AA28="X"),1,0))</f>
        <v/>
      </c>
      <c r="X119" s="345">
        <f>IF($A119="","",IF(OR('Jan 2027'!AA29=TRUE,'Jan 2027'!AA29="x",'Jan 2027'!AA29="X"),1,0))</f>
        <v/>
      </c>
      <c r="Y119" s="345">
        <f>IF($A119="","",IF(OR('Jan 2027'!AA30=TRUE,'Jan 2027'!AA30="x",'Jan 2027'!AA30="X"),1,0))</f>
        <v/>
      </c>
      <c r="Z119" s="345">
        <f>IF($A119="","",IF(OR('Jan 2027'!AA31=TRUE,'Jan 2027'!AA31="x",'Jan 2027'!AA31="X"),1,0))</f>
        <v/>
      </c>
      <c r="AA119" s="345">
        <f>IF($A119="","",IF(OR('Jan 2027'!AA32=TRUE,'Jan 2027'!AA32="x",'Jan 2027'!AA32="X"),1,0))</f>
        <v/>
      </c>
      <c r="AB119" s="345">
        <f>IF($A119="","",IF(OR('Jan 2027'!AA34=TRUE,'Jan 2027'!AA34="x",'Jan 2027'!AA34="X"),1,0))</f>
        <v/>
      </c>
      <c r="AC119" s="345">
        <f>IF($A119="","",IF(OR('Jan 2027'!AA35=TRUE,'Jan 2027'!AA35="x",'Jan 2027'!AA35="X"),1,0))</f>
        <v/>
      </c>
      <c r="AD119" s="345">
        <f>IF($A119="","",IF(OR('Jan 2027'!AA36=TRUE,'Jan 2027'!AA36="x",'Jan 2027'!AA36="X"),1,0))</f>
        <v/>
      </c>
      <c r="AE119" s="345">
        <f>IF($A119="","",IF(OR('Jan 2027'!AA37=TRUE,'Jan 2027'!AA37="x",'Jan 2027'!AA37="X"),1,0))</f>
        <v/>
      </c>
      <c r="AF119" s="345">
        <f>IF($A119="","",IF('Jan 2027'!AA59="","",'Jan 2027'!AA59))</f>
        <v/>
      </c>
      <c r="AG119" s="345">
        <f>IF($A119="","",IF('Jan 2027'!AA60="","",'Jan 2027'!AA60))</f>
        <v/>
      </c>
      <c r="AH119" s="345">
        <f>IF($A119="","",IF('Jan 2027'!AA61="","",'Jan 2027'!AA61))</f>
        <v/>
      </c>
      <c r="AI119" s="345">
        <f>IF($A119="","",IF('Jan 2027'!AA62="","",'Jan 2027'!AA62))</f>
        <v/>
      </c>
      <c r="AJ119" s="345">
        <f>IF($A119="","",IF('Jan 2027'!AA63="","",'Jan 2027'!AA63))</f>
        <v/>
      </c>
      <c r="AK119" s="345">
        <f>IF($A119="","",IF('Jan 2027'!AA64="","",'Jan 2027'!AA64))</f>
        <v/>
      </c>
      <c r="AL119" s="345">
        <f>IF($A119="","",IF('Jan 2027'!AA65="","",'Jan 2027'!AA65))</f>
        <v/>
      </c>
      <c r="AM119" s="345">
        <f>IF($A119="","",IF('Jan 2027'!AA66="","",'Jan 2027'!AA66))</f>
        <v/>
      </c>
      <c r="AN119" s="345">
        <f>IF($A119="","",IF('Jan 2027'!AA67="","",'Jan 2027'!AA67))</f>
        <v/>
      </c>
      <c r="AO119" s="345">
        <f>IF($A119="",0,IF(AND($A119&gt;=TrackStart,$A119&lt;=TODAY()),1,0))</f>
        <v/>
      </c>
      <c r="AP119" s="345">
        <f>IF($A119="",0,IF(SUM(F119:AE119)+COUNT(AF119:AN119)&gt;0,1,0))</f>
        <v/>
      </c>
      <c r="AQ119" s="345">
        <f>IF($A119="","",INT(($A119-TrackStart)/7)+1)</f>
        <v/>
      </c>
      <c r="AR119" s="345">
        <f>IF($A119="","",IF(AQ119&lt;=1,Steps1,IF(AQ119=2,Steps2,Steps3)))</f>
        <v/>
      </c>
      <c r="AS119" s="345">
        <f>IF($A119="",0,IF(ISNUMBER(SEARCH(TEXT(D119,"0"),WorkDays&amp;"")),1,0))</f>
        <v/>
      </c>
      <c r="AT119" s="345">
        <f>IF($A119="",0,IF(ISNUMBER(SEARCH(TEXT(D119,"0"),StrDays&amp;"")),1,0))</f>
        <v/>
      </c>
      <c r="AU119" s="345">
        <f>IF($A119="",0,IF(ISNUMBER(AK119),IF(AK119&gt;=SleepMin,1,0),N119))</f>
        <v/>
      </c>
      <c r="AV119" s="345">
        <f>IF($A119="",0,MAX(I119,O119,S119,AC119))</f>
        <v/>
      </c>
      <c r="AW119" s="345">
        <f>IF($A119="",0,IF(ISNUMBER(AH119),IF(AH119&gt;=ProtHit,1,0),0))</f>
        <v/>
      </c>
      <c r="AX119" s="345">
        <f>IF($A119="",0,IF(ISNUMBER(AI119),IF(AI119&gt;=WaterHit,1,0),0))</f>
        <v/>
      </c>
      <c r="AY119" s="345">
        <f>IF($A119="",0,IF(ISNUMBER(AG119),IF(AG119&gt;=AR119,1,0),0))</f>
        <v/>
      </c>
      <c r="AZ119" s="345">
        <f>IF($A119="",0,G119)</f>
        <v/>
      </c>
      <c r="BA119" s="345">
        <f>IF($A119="",0,J119)</f>
        <v/>
      </c>
      <c r="BB119" s="345">
        <f>IF($A119="",0,K119)</f>
        <v/>
      </c>
      <c r="BC119" s="345">
        <f>IF($A119="",0,MAX(L119,AE119))</f>
        <v/>
      </c>
      <c r="BD119" s="344">
        <f>IF($A119="","",(AU119+AV119+AW119+AX119+AY119+AZ119+BB119+BC119+IF(AS119=1,BA119,0))/(8+AS119))</f>
        <v/>
      </c>
      <c r="BE119" s="344">
        <f>IF($A119="","",(IF(ISNUMBER(AI119),IF(AI119&gt;=WaterMVD,1,0),0)+AV119+IF(ISNUMBER(AH119),IF(AH119&gt;=ProtMVD,1,0),0)+MAX(H119,AD119)+AZ119+BB119+AU119)/7)</f>
        <v/>
      </c>
      <c r="BF119" s="344">
        <f>IF(AO119=0,"",IF(E119="S","",IF(AND(AP119=0,$A119=TODAY()),"",IF(E119="M",BE119,BD119))))</f>
        <v/>
      </c>
      <c r="BG119" s="344">
        <f>IF(AO119=0,"",IFERROR(AVERAGEIFS(Data!$BF$4:$BF$375,Data!$A$4:$A$375,"&gt;"&amp;($A119-7),Data!$A$4:$A$375,"&lt;="&amp;$A119),""))</f>
        <v/>
      </c>
      <c r="BH119" s="344">
        <f>IF(AO119=0,"",IFERROR(AVERAGEIFS(Data!$BF$4:$BF$375,Data!$A$4:$A$375,"&gt;"&amp;($A119-30),Data!$A$4:$A$375,"&lt;="&amp;$A119),""))</f>
        <v/>
      </c>
      <c r="BI119" s="359">
        <f>IF($A119="","",IFERROR(AVERAGEIFS(Data!$AF$4:$AF$375,Data!$A$4:$A$375,"&gt;"&amp;($A119-7),Data!$A$4:$A$375,"&lt;="&amp;$A119,Data!$AF$4:$AF$375,"&gt;0"),""))</f>
        <v/>
      </c>
      <c r="BJ119" s="345">
        <f>IF($A119="","",F119+G119+H119+I119+J119+K119+L119+M119+N119-IF(AS119=1,0,J119))</f>
        <v/>
      </c>
      <c r="BK119" s="345">
        <f>IF($A119="","",8+AS119)</f>
        <v/>
      </c>
      <c r="BL119" s="345">
        <f>IF(ISNUMBER(BF119),BF119,NA())</f>
        <v/>
      </c>
      <c r="BM119" s="345">
        <f>IF(ISNUMBER(AF119),AF119,NA())</f>
        <v/>
      </c>
      <c r="BN119" s="345">
        <f>IF(ISNUMBER(BI119),BI119,NA())</f>
        <v/>
      </c>
      <c r="BO119" s="345">
        <f>IF(ISNUMBER(AL119),AL119,NA())</f>
        <v/>
      </c>
      <c r="BP119" s="345">
        <f>IF(ISNUMBER(AM119),AM119,NA())</f>
        <v/>
      </c>
      <c r="BQ119" s="345">
        <f>IF(ISNUMBER(AN119),AN119,NA())</f>
        <v/>
      </c>
    </row>
    <row r="120">
      <c r="A120" s="358">
        <f>IF('Jan 2027'!AB7="","",'Jan 2027'!AB7)</f>
        <v/>
      </c>
      <c r="B120" s="345" t="n">
        <v>4</v>
      </c>
      <c r="C120" s="345">
        <f>IF($A120="","",24)</f>
        <v/>
      </c>
      <c r="D120" s="345">
        <f>IF($A120="","",WEEKDAY($A120,2))</f>
        <v/>
      </c>
      <c r="E120" s="345">
        <f>IF($A120="","",UPPER(TRIM('Jan 2027'!AB8)))</f>
        <v/>
      </c>
      <c r="F120" s="345">
        <f>IF($A120="","",IF(OR('Jan 2027'!AB10=TRUE,'Jan 2027'!AB10="x",'Jan 2027'!AB10="X"),1,0))</f>
        <v/>
      </c>
      <c r="G120" s="345">
        <f>IF($A120="","",IF(OR('Jan 2027'!AB11=TRUE,'Jan 2027'!AB11="x",'Jan 2027'!AB11="X"),1,0))</f>
        <v/>
      </c>
      <c r="H120" s="345">
        <f>IF($A120="","",IF(OR('Jan 2027'!AB12=TRUE,'Jan 2027'!AB12="x",'Jan 2027'!AB12="X"),1,0))</f>
        <v/>
      </c>
      <c r="I120" s="345">
        <f>IF($A120="","",IF(OR('Jan 2027'!AB13=TRUE,'Jan 2027'!AB13="x",'Jan 2027'!AB13="X"),1,0))</f>
        <v/>
      </c>
      <c r="J120" s="345">
        <f>IF($A120="","",IF(OR('Jan 2027'!AB14=TRUE,'Jan 2027'!AB14="x",'Jan 2027'!AB14="X"),1,0))</f>
        <v/>
      </c>
      <c r="K120" s="345">
        <f>IF($A120="","",IF(OR('Jan 2027'!AB15=TRUE,'Jan 2027'!AB15="x",'Jan 2027'!AB15="X"),1,0))</f>
        <v/>
      </c>
      <c r="L120" s="345">
        <f>IF($A120="","",IF(OR('Jan 2027'!AB16=TRUE,'Jan 2027'!AB16="x",'Jan 2027'!AB16="X"),1,0))</f>
        <v/>
      </c>
      <c r="M120" s="345">
        <f>IF($A120="","",IF(OR('Jan 2027'!AB17=TRUE,'Jan 2027'!AB17="x",'Jan 2027'!AB17="X"),1,0))</f>
        <v/>
      </c>
      <c r="N120" s="345">
        <f>IF($A120="","",IF(OR('Jan 2027'!AB18=TRUE,'Jan 2027'!AB18="x",'Jan 2027'!AB18="X"),1,0))</f>
        <v/>
      </c>
      <c r="O120" s="345">
        <f>IF($A120="","",IF(OR('Jan 2027'!AB20=TRUE,'Jan 2027'!AB20="x",'Jan 2027'!AB20="X"),1,0))</f>
        <v/>
      </c>
      <c r="P120" s="345">
        <f>IF($A120="","",IF(OR('Jan 2027'!AB21=TRUE,'Jan 2027'!AB21="x",'Jan 2027'!AB21="X"),1,0))</f>
        <v/>
      </c>
      <c r="Q120" s="345">
        <f>IF($A120="","",IF(OR('Jan 2027'!AB22=TRUE,'Jan 2027'!AB22="x",'Jan 2027'!AB22="X"),1,0))</f>
        <v/>
      </c>
      <c r="R120" s="345">
        <f>IF($A120="","",IF(OR('Jan 2027'!AB23=TRUE,'Jan 2027'!AB23="x",'Jan 2027'!AB23="X"),1,0))</f>
        <v/>
      </c>
      <c r="S120" s="345">
        <f>IF($A120="","",IF(OR('Jan 2027'!AB24=TRUE,'Jan 2027'!AB24="x",'Jan 2027'!AB24="X"),1,0))</f>
        <v/>
      </c>
      <c r="T120" s="345">
        <f>IF($A120="","",IF(OR('Jan 2027'!AB25=TRUE,'Jan 2027'!AB25="x",'Jan 2027'!AB25="X"),1,0))</f>
        <v/>
      </c>
      <c r="U120" s="345">
        <f>IF($A120="","",IF(OR('Jan 2027'!AB26=TRUE,'Jan 2027'!AB26="x",'Jan 2027'!AB26="X"),1,0))</f>
        <v/>
      </c>
      <c r="V120" s="345">
        <f>IF($A120="","",IF(OR('Jan 2027'!AB27=TRUE,'Jan 2027'!AB27="x",'Jan 2027'!AB27="X"),1,0))</f>
        <v/>
      </c>
      <c r="W120" s="345">
        <f>IF($A120="","",IF(OR('Jan 2027'!AB28=TRUE,'Jan 2027'!AB28="x",'Jan 2027'!AB28="X"),1,0))</f>
        <v/>
      </c>
      <c r="X120" s="345">
        <f>IF($A120="","",IF(OR('Jan 2027'!AB29=TRUE,'Jan 2027'!AB29="x",'Jan 2027'!AB29="X"),1,0))</f>
        <v/>
      </c>
      <c r="Y120" s="345">
        <f>IF($A120="","",IF(OR('Jan 2027'!AB30=TRUE,'Jan 2027'!AB30="x",'Jan 2027'!AB30="X"),1,0))</f>
        <v/>
      </c>
      <c r="Z120" s="345">
        <f>IF($A120="","",IF(OR('Jan 2027'!AB31=TRUE,'Jan 2027'!AB31="x",'Jan 2027'!AB31="X"),1,0))</f>
        <v/>
      </c>
      <c r="AA120" s="345">
        <f>IF($A120="","",IF(OR('Jan 2027'!AB32=TRUE,'Jan 2027'!AB32="x",'Jan 2027'!AB32="X"),1,0))</f>
        <v/>
      </c>
      <c r="AB120" s="345">
        <f>IF($A120="","",IF(OR('Jan 2027'!AB34=TRUE,'Jan 2027'!AB34="x",'Jan 2027'!AB34="X"),1,0))</f>
        <v/>
      </c>
      <c r="AC120" s="345">
        <f>IF($A120="","",IF(OR('Jan 2027'!AB35=TRUE,'Jan 2027'!AB35="x",'Jan 2027'!AB35="X"),1,0))</f>
        <v/>
      </c>
      <c r="AD120" s="345">
        <f>IF($A120="","",IF(OR('Jan 2027'!AB36=TRUE,'Jan 2027'!AB36="x",'Jan 2027'!AB36="X"),1,0))</f>
        <v/>
      </c>
      <c r="AE120" s="345">
        <f>IF($A120="","",IF(OR('Jan 2027'!AB37=TRUE,'Jan 2027'!AB37="x",'Jan 2027'!AB37="X"),1,0))</f>
        <v/>
      </c>
      <c r="AF120" s="345">
        <f>IF($A120="","",IF('Jan 2027'!AB59="","",'Jan 2027'!AB59))</f>
        <v/>
      </c>
      <c r="AG120" s="345">
        <f>IF($A120="","",IF('Jan 2027'!AB60="","",'Jan 2027'!AB60))</f>
        <v/>
      </c>
      <c r="AH120" s="345">
        <f>IF($A120="","",IF('Jan 2027'!AB61="","",'Jan 2027'!AB61))</f>
        <v/>
      </c>
      <c r="AI120" s="345">
        <f>IF($A120="","",IF('Jan 2027'!AB62="","",'Jan 2027'!AB62))</f>
        <v/>
      </c>
      <c r="AJ120" s="345">
        <f>IF($A120="","",IF('Jan 2027'!AB63="","",'Jan 2027'!AB63))</f>
        <v/>
      </c>
      <c r="AK120" s="345">
        <f>IF($A120="","",IF('Jan 2027'!AB64="","",'Jan 2027'!AB64))</f>
        <v/>
      </c>
      <c r="AL120" s="345">
        <f>IF($A120="","",IF('Jan 2027'!AB65="","",'Jan 2027'!AB65))</f>
        <v/>
      </c>
      <c r="AM120" s="345">
        <f>IF($A120="","",IF('Jan 2027'!AB66="","",'Jan 2027'!AB66))</f>
        <v/>
      </c>
      <c r="AN120" s="345">
        <f>IF($A120="","",IF('Jan 2027'!AB67="","",'Jan 2027'!AB67))</f>
        <v/>
      </c>
      <c r="AO120" s="345">
        <f>IF($A120="",0,IF(AND($A120&gt;=TrackStart,$A120&lt;=TODAY()),1,0))</f>
        <v/>
      </c>
      <c r="AP120" s="345">
        <f>IF($A120="",0,IF(SUM(F120:AE120)+COUNT(AF120:AN120)&gt;0,1,0))</f>
        <v/>
      </c>
      <c r="AQ120" s="345">
        <f>IF($A120="","",INT(($A120-TrackStart)/7)+1)</f>
        <v/>
      </c>
      <c r="AR120" s="345">
        <f>IF($A120="","",IF(AQ120&lt;=1,Steps1,IF(AQ120=2,Steps2,Steps3)))</f>
        <v/>
      </c>
      <c r="AS120" s="345">
        <f>IF($A120="",0,IF(ISNUMBER(SEARCH(TEXT(D120,"0"),WorkDays&amp;"")),1,0))</f>
        <v/>
      </c>
      <c r="AT120" s="345">
        <f>IF($A120="",0,IF(ISNUMBER(SEARCH(TEXT(D120,"0"),StrDays&amp;"")),1,0))</f>
        <v/>
      </c>
      <c r="AU120" s="345">
        <f>IF($A120="",0,IF(ISNUMBER(AK120),IF(AK120&gt;=SleepMin,1,0),N120))</f>
        <v/>
      </c>
      <c r="AV120" s="345">
        <f>IF($A120="",0,MAX(I120,O120,S120,AC120))</f>
        <v/>
      </c>
      <c r="AW120" s="345">
        <f>IF($A120="",0,IF(ISNUMBER(AH120),IF(AH120&gt;=ProtHit,1,0),0))</f>
        <v/>
      </c>
      <c r="AX120" s="345">
        <f>IF($A120="",0,IF(ISNUMBER(AI120),IF(AI120&gt;=WaterHit,1,0),0))</f>
        <v/>
      </c>
      <c r="AY120" s="345">
        <f>IF($A120="",0,IF(ISNUMBER(AG120),IF(AG120&gt;=AR120,1,0),0))</f>
        <v/>
      </c>
      <c r="AZ120" s="345">
        <f>IF($A120="",0,G120)</f>
        <v/>
      </c>
      <c r="BA120" s="345">
        <f>IF($A120="",0,J120)</f>
        <v/>
      </c>
      <c r="BB120" s="345">
        <f>IF($A120="",0,K120)</f>
        <v/>
      </c>
      <c r="BC120" s="345">
        <f>IF($A120="",0,MAX(L120,AE120))</f>
        <v/>
      </c>
      <c r="BD120" s="344">
        <f>IF($A120="","",(AU120+AV120+AW120+AX120+AY120+AZ120+BB120+BC120+IF(AS120=1,BA120,0))/(8+AS120))</f>
        <v/>
      </c>
      <c r="BE120" s="344">
        <f>IF($A120="","",(IF(ISNUMBER(AI120),IF(AI120&gt;=WaterMVD,1,0),0)+AV120+IF(ISNUMBER(AH120),IF(AH120&gt;=ProtMVD,1,0),0)+MAX(H120,AD120)+AZ120+BB120+AU120)/7)</f>
        <v/>
      </c>
      <c r="BF120" s="344">
        <f>IF(AO120=0,"",IF(E120="S","",IF(AND(AP120=0,$A120=TODAY()),"",IF(E120="M",BE120,BD120))))</f>
        <v/>
      </c>
      <c r="BG120" s="344">
        <f>IF(AO120=0,"",IFERROR(AVERAGEIFS(Data!$BF$4:$BF$375,Data!$A$4:$A$375,"&gt;"&amp;($A120-7),Data!$A$4:$A$375,"&lt;="&amp;$A120),""))</f>
        <v/>
      </c>
      <c r="BH120" s="344">
        <f>IF(AO120=0,"",IFERROR(AVERAGEIFS(Data!$BF$4:$BF$375,Data!$A$4:$A$375,"&gt;"&amp;($A120-30),Data!$A$4:$A$375,"&lt;="&amp;$A120),""))</f>
        <v/>
      </c>
      <c r="BI120" s="359">
        <f>IF($A120="","",IFERROR(AVERAGEIFS(Data!$AF$4:$AF$375,Data!$A$4:$A$375,"&gt;"&amp;($A120-7),Data!$A$4:$A$375,"&lt;="&amp;$A120,Data!$AF$4:$AF$375,"&gt;0"),""))</f>
        <v/>
      </c>
      <c r="BJ120" s="345">
        <f>IF($A120="","",F120+G120+H120+I120+J120+K120+L120+M120+N120-IF(AS120=1,0,J120))</f>
        <v/>
      </c>
      <c r="BK120" s="345">
        <f>IF($A120="","",8+AS120)</f>
        <v/>
      </c>
      <c r="BL120" s="345">
        <f>IF(ISNUMBER(BF120),BF120,NA())</f>
        <v/>
      </c>
      <c r="BM120" s="345">
        <f>IF(ISNUMBER(AF120),AF120,NA())</f>
        <v/>
      </c>
      <c r="BN120" s="345">
        <f>IF(ISNUMBER(BI120),BI120,NA())</f>
        <v/>
      </c>
      <c r="BO120" s="345">
        <f>IF(ISNUMBER(AL120),AL120,NA())</f>
        <v/>
      </c>
      <c r="BP120" s="345">
        <f>IF(ISNUMBER(AM120),AM120,NA())</f>
        <v/>
      </c>
      <c r="BQ120" s="345">
        <f>IF(ISNUMBER(AN120),AN120,NA())</f>
        <v/>
      </c>
    </row>
    <row r="121">
      <c r="A121" s="358">
        <f>IF('Jan 2027'!AC7="","",'Jan 2027'!AC7)</f>
        <v/>
      </c>
      <c r="B121" s="345" t="n">
        <v>4</v>
      </c>
      <c r="C121" s="345">
        <f>IF($A121="","",25)</f>
        <v/>
      </c>
      <c r="D121" s="345">
        <f>IF($A121="","",WEEKDAY($A121,2))</f>
        <v/>
      </c>
      <c r="E121" s="345">
        <f>IF($A121="","",UPPER(TRIM('Jan 2027'!AC8)))</f>
        <v/>
      </c>
      <c r="F121" s="345">
        <f>IF($A121="","",IF(OR('Jan 2027'!AC10=TRUE,'Jan 2027'!AC10="x",'Jan 2027'!AC10="X"),1,0))</f>
        <v/>
      </c>
      <c r="G121" s="345">
        <f>IF($A121="","",IF(OR('Jan 2027'!AC11=TRUE,'Jan 2027'!AC11="x",'Jan 2027'!AC11="X"),1,0))</f>
        <v/>
      </c>
      <c r="H121" s="345">
        <f>IF($A121="","",IF(OR('Jan 2027'!AC12=TRUE,'Jan 2027'!AC12="x",'Jan 2027'!AC12="X"),1,0))</f>
        <v/>
      </c>
      <c r="I121" s="345">
        <f>IF($A121="","",IF(OR('Jan 2027'!AC13=TRUE,'Jan 2027'!AC13="x",'Jan 2027'!AC13="X"),1,0))</f>
        <v/>
      </c>
      <c r="J121" s="345">
        <f>IF($A121="","",IF(OR('Jan 2027'!AC14=TRUE,'Jan 2027'!AC14="x",'Jan 2027'!AC14="X"),1,0))</f>
        <v/>
      </c>
      <c r="K121" s="345">
        <f>IF($A121="","",IF(OR('Jan 2027'!AC15=TRUE,'Jan 2027'!AC15="x",'Jan 2027'!AC15="X"),1,0))</f>
        <v/>
      </c>
      <c r="L121" s="345">
        <f>IF($A121="","",IF(OR('Jan 2027'!AC16=TRUE,'Jan 2027'!AC16="x",'Jan 2027'!AC16="X"),1,0))</f>
        <v/>
      </c>
      <c r="M121" s="345">
        <f>IF($A121="","",IF(OR('Jan 2027'!AC17=TRUE,'Jan 2027'!AC17="x",'Jan 2027'!AC17="X"),1,0))</f>
        <v/>
      </c>
      <c r="N121" s="345">
        <f>IF($A121="","",IF(OR('Jan 2027'!AC18=TRUE,'Jan 2027'!AC18="x",'Jan 2027'!AC18="X"),1,0))</f>
        <v/>
      </c>
      <c r="O121" s="345">
        <f>IF($A121="","",IF(OR('Jan 2027'!AC20=TRUE,'Jan 2027'!AC20="x",'Jan 2027'!AC20="X"),1,0))</f>
        <v/>
      </c>
      <c r="P121" s="345">
        <f>IF($A121="","",IF(OR('Jan 2027'!AC21=TRUE,'Jan 2027'!AC21="x",'Jan 2027'!AC21="X"),1,0))</f>
        <v/>
      </c>
      <c r="Q121" s="345">
        <f>IF($A121="","",IF(OR('Jan 2027'!AC22=TRUE,'Jan 2027'!AC22="x",'Jan 2027'!AC22="X"),1,0))</f>
        <v/>
      </c>
      <c r="R121" s="345">
        <f>IF($A121="","",IF(OR('Jan 2027'!AC23=TRUE,'Jan 2027'!AC23="x",'Jan 2027'!AC23="X"),1,0))</f>
        <v/>
      </c>
      <c r="S121" s="345">
        <f>IF($A121="","",IF(OR('Jan 2027'!AC24=TRUE,'Jan 2027'!AC24="x",'Jan 2027'!AC24="X"),1,0))</f>
        <v/>
      </c>
      <c r="T121" s="345">
        <f>IF($A121="","",IF(OR('Jan 2027'!AC25=TRUE,'Jan 2027'!AC25="x",'Jan 2027'!AC25="X"),1,0))</f>
        <v/>
      </c>
      <c r="U121" s="345">
        <f>IF($A121="","",IF(OR('Jan 2027'!AC26=TRUE,'Jan 2027'!AC26="x",'Jan 2027'!AC26="X"),1,0))</f>
        <v/>
      </c>
      <c r="V121" s="345">
        <f>IF($A121="","",IF(OR('Jan 2027'!AC27=TRUE,'Jan 2027'!AC27="x",'Jan 2027'!AC27="X"),1,0))</f>
        <v/>
      </c>
      <c r="W121" s="345">
        <f>IF($A121="","",IF(OR('Jan 2027'!AC28=TRUE,'Jan 2027'!AC28="x",'Jan 2027'!AC28="X"),1,0))</f>
        <v/>
      </c>
      <c r="X121" s="345">
        <f>IF($A121="","",IF(OR('Jan 2027'!AC29=TRUE,'Jan 2027'!AC29="x",'Jan 2027'!AC29="X"),1,0))</f>
        <v/>
      </c>
      <c r="Y121" s="345">
        <f>IF($A121="","",IF(OR('Jan 2027'!AC30=TRUE,'Jan 2027'!AC30="x",'Jan 2027'!AC30="X"),1,0))</f>
        <v/>
      </c>
      <c r="Z121" s="345">
        <f>IF($A121="","",IF(OR('Jan 2027'!AC31=TRUE,'Jan 2027'!AC31="x",'Jan 2027'!AC31="X"),1,0))</f>
        <v/>
      </c>
      <c r="AA121" s="345">
        <f>IF($A121="","",IF(OR('Jan 2027'!AC32=TRUE,'Jan 2027'!AC32="x",'Jan 2027'!AC32="X"),1,0))</f>
        <v/>
      </c>
      <c r="AB121" s="345">
        <f>IF($A121="","",IF(OR('Jan 2027'!AC34=TRUE,'Jan 2027'!AC34="x",'Jan 2027'!AC34="X"),1,0))</f>
        <v/>
      </c>
      <c r="AC121" s="345">
        <f>IF($A121="","",IF(OR('Jan 2027'!AC35=TRUE,'Jan 2027'!AC35="x",'Jan 2027'!AC35="X"),1,0))</f>
        <v/>
      </c>
      <c r="AD121" s="345">
        <f>IF($A121="","",IF(OR('Jan 2027'!AC36=TRUE,'Jan 2027'!AC36="x",'Jan 2027'!AC36="X"),1,0))</f>
        <v/>
      </c>
      <c r="AE121" s="345">
        <f>IF($A121="","",IF(OR('Jan 2027'!AC37=TRUE,'Jan 2027'!AC37="x",'Jan 2027'!AC37="X"),1,0))</f>
        <v/>
      </c>
      <c r="AF121" s="345">
        <f>IF($A121="","",IF('Jan 2027'!AC59="","",'Jan 2027'!AC59))</f>
        <v/>
      </c>
      <c r="AG121" s="345">
        <f>IF($A121="","",IF('Jan 2027'!AC60="","",'Jan 2027'!AC60))</f>
        <v/>
      </c>
      <c r="AH121" s="345">
        <f>IF($A121="","",IF('Jan 2027'!AC61="","",'Jan 2027'!AC61))</f>
        <v/>
      </c>
      <c r="AI121" s="345">
        <f>IF($A121="","",IF('Jan 2027'!AC62="","",'Jan 2027'!AC62))</f>
        <v/>
      </c>
      <c r="AJ121" s="345">
        <f>IF($A121="","",IF('Jan 2027'!AC63="","",'Jan 2027'!AC63))</f>
        <v/>
      </c>
      <c r="AK121" s="345">
        <f>IF($A121="","",IF('Jan 2027'!AC64="","",'Jan 2027'!AC64))</f>
        <v/>
      </c>
      <c r="AL121" s="345">
        <f>IF($A121="","",IF('Jan 2027'!AC65="","",'Jan 2027'!AC65))</f>
        <v/>
      </c>
      <c r="AM121" s="345">
        <f>IF($A121="","",IF('Jan 2027'!AC66="","",'Jan 2027'!AC66))</f>
        <v/>
      </c>
      <c r="AN121" s="345">
        <f>IF($A121="","",IF('Jan 2027'!AC67="","",'Jan 2027'!AC67))</f>
        <v/>
      </c>
      <c r="AO121" s="345">
        <f>IF($A121="",0,IF(AND($A121&gt;=TrackStart,$A121&lt;=TODAY()),1,0))</f>
        <v/>
      </c>
      <c r="AP121" s="345">
        <f>IF($A121="",0,IF(SUM(F121:AE121)+COUNT(AF121:AN121)&gt;0,1,0))</f>
        <v/>
      </c>
      <c r="AQ121" s="345">
        <f>IF($A121="","",INT(($A121-TrackStart)/7)+1)</f>
        <v/>
      </c>
      <c r="AR121" s="345">
        <f>IF($A121="","",IF(AQ121&lt;=1,Steps1,IF(AQ121=2,Steps2,Steps3)))</f>
        <v/>
      </c>
      <c r="AS121" s="345">
        <f>IF($A121="",0,IF(ISNUMBER(SEARCH(TEXT(D121,"0"),WorkDays&amp;"")),1,0))</f>
        <v/>
      </c>
      <c r="AT121" s="345">
        <f>IF($A121="",0,IF(ISNUMBER(SEARCH(TEXT(D121,"0"),StrDays&amp;"")),1,0))</f>
        <v/>
      </c>
      <c r="AU121" s="345">
        <f>IF($A121="",0,IF(ISNUMBER(AK121),IF(AK121&gt;=SleepMin,1,0),N121))</f>
        <v/>
      </c>
      <c r="AV121" s="345">
        <f>IF($A121="",0,MAX(I121,O121,S121,AC121))</f>
        <v/>
      </c>
      <c r="AW121" s="345">
        <f>IF($A121="",0,IF(ISNUMBER(AH121),IF(AH121&gt;=ProtHit,1,0),0))</f>
        <v/>
      </c>
      <c r="AX121" s="345">
        <f>IF($A121="",0,IF(ISNUMBER(AI121),IF(AI121&gt;=WaterHit,1,0),0))</f>
        <v/>
      </c>
      <c r="AY121" s="345">
        <f>IF($A121="",0,IF(ISNUMBER(AG121),IF(AG121&gt;=AR121,1,0),0))</f>
        <v/>
      </c>
      <c r="AZ121" s="345">
        <f>IF($A121="",0,G121)</f>
        <v/>
      </c>
      <c r="BA121" s="345">
        <f>IF($A121="",0,J121)</f>
        <v/>
      </c>
      <c r="BB121" s="345">
        <f>IF($A121="",0,K121)</f>
        <v/>
      </c>
      <c r="BC121" s="345">
        <f>IF($A121="",0,MAX(L121,AE121))</f>
        <v/>
      </c>
      <c r="BD121" s="344">
        <f>IF($A121="","",(AU121+AV121+AW121+AX121+AY121+AZ121+BB121+BC121+IF(AS121=1,BA121,0))/(8+AS121))</f>
        <v/>
      </c>
      <c r="BE121" s="344">
        <f>IF($A121="","",(IF(ISNUMBER(AI121),IF(AI121&gt;=WaterMVD,1,0),0)+AV121+IF(ISNUMBER(AH121),IF(AH121&gt;=ProtMVD,1,0),0)+MAX(H121,AD121)+AZ121+BB121+AU121)/7)</f>
        <v/>
      </c>
      <c r="BF121" s="344">
        <f>IF(AO121=0,"",IF(E121="S","",IF(AND(AP121=0,$A121=TODAY()),"",IF(E121="M",BE121,BD121))))</f>
        <v/>
      </c>
      <c r="BG121" s="344">
        <f>IF(AO121=0,"",IFERROR(AVERAGEIFS(Data!$BF$4:$BF$375,Data!$A$4:$A$375,"&gt;"&amp;($A121-7),Data!$A$4:$A$375,"&lt;="&amp;$A121),""))</f>
        <v/>
      </c>
      <c r="BH121" s="344">
        <f>IF(AO121=0,"",IFERROR(AVERAGEIFS(Data!$BF$4:$BF$375,Data!$A$4:$A$375,"&gt;"&amp;($A121-30),Data!$A$4:$A$375,"&lt;="&amp;$A121),""))</f>
        <v/>
      </c>
      <c r="BI121" s="359">
        <f>IF($A121="","",IFERROR(AVERAGEIFS(Data!$AF$4:$AF$375,Data!$A$4:$A$375,"&gt;"&amp;($A121-7),Data!$A$4:$A$375,"&lt;="&amp;$A121,Data!$AF$4:$AF$375,"&gt;0"),""))</f>
        <v/>
      </c>
      <c r="BJ121" s="345">
        <f>IF($A121="","",F121+G121+H121+I121+J121+K121+L121+M121+N121-IF(AS121=1,0,J121))</f>
        <v/>
      </c>
      <c r="BK121" s="345">
        <f>IF($A121="","",8+AS121)</f>
        <v/>
      </c>
      <c r="BL121" s="345">
        <f>IF(ISNUMBER(BF121),BF121,NA())</f>
        <v/>
      </c>
      <c r="BM121" s="345">
        <f>IF(ISNUMBER(AF121),AF121,NA())</f>
        <v/>
      </c>
      <c r="BN121" s="345">
        <f>IF(ISNUMBER(BI121),BI121,NA())</f>
        <v/>
      </c>
      <c r="BO121" s="345">
        <f>IF(ISNUMBER(AL121),AL121,NA())</f>
        <v/>
      </c>
      <c r="BP121" s="345">
        <f>IF(ISNUMBER(AM121),AM121,NA())</f>
        <v/>
      </c>
      <c r="BQ121" s="345">
        <f>IF(ISNUMBER(AN121),AN121,NA())</f>
        <v/>
      </c>
    </row>
    <row r="122">
      <c r="A122" s="358">
        <f>IF('Jan 2027'!AD7="","",'Jan 2027'!AD7)</f>
        <v/>
      </c>
      <c r="B122" s="345" t="n">
        <v>4</v>
      </c>
      <c r="C122" s="345">
        <f>IF($A122="","",26)</f>
        <v/>
      </c>
      <c r="D122" s="345">
        <f>IF($A122="","",WEEKDAY($A122,2))</f>
        <v/>
      </c>
      <c r="E122" s="345">
        <f>IF($A122="","",UPPER(TRIM('Jan 2027'!AD8)))</f>
        <v/>
      </c>
      <c r="F122" s="345">
        <f>IF($A122="","",IF(OR('Jan 2027'!AD10=TRUE,'Jan 2027'!AD10="x",'Jan 2027'!AD10="X"),1,0))</f>
        <v/>
      </c>
      <c r="G122" s="345">
        <f>IF($A122="","",IF(OR('Jan 2027'!AD11=TRUE,'Jan 2027'!AD11="x",'Jan 2027'!AD11="X"),1,0))</f>
        <v/>
      </c>
      <c r="H122" s="345">
        <f>IF($A122="","",IF(OR('Jan 2027'!AD12=TRUE,'Jan 2027'!AD12="x",'Jan 2027'!AD12="X"),1,0))</f>
        <v/>
      </c>
      <c r="I122" s="345">
        <f>IF($A122="","",IF(OR('Jan 2027'!AD13=TRUE,'Jan 2027'!AD13="x",'Jan 2027'!AD13="X"),1,0))</f>
        <v/>
      </c>
      <c r="J122" s="345">
        <f>IF($A122="","",IF(OR('Jan 2027'!AD14=TRUE,'Jan 2027'!AD14="x",'Jan 2027'!AD14="X"),1,0))</f>
        <v/>
      </c>
      <c r="K122" s="345">
        <f>IF($A122="","",IF(OR('Jan 2027'!AD15=TRUE,'Jan 2027'!AD15="x",'Jan 2027'!AD15="X"),1,0))</f>
        <v/>
      </c>
      <c r="L122" s="345">
        <f>IF($A122="","",IF(OR('Jan 2027'!AD16=TRUE,'Jan 2027'!AD16="x",'Jan 2027'!AD16="X"),1,0))</f>
        <v/>
      </c>
      <c r="M122" s="345">
        <f>IF($A122="","",IF(OR('Jan 2027'!AD17=TRUE,'Jan 2027'!AD17="x",'Jan 2027'!AD17="X"),1,0))</f>
        <v/>
      </c>
      <c r="N122" s="345">
        <f>IF($A122="","",IF(OR('Jan 2027'!AD18=TRUE,'Jan 2027'!AD18="x",'Jan 2027'!AD18="X"),1,0))</f>
        <v/>
      </c>
      <c r="O122" s="345">
        <f>IF($A122="","",IF(OR('Jan 2027'!AD20=TRUE,'Jan 2027'!AD20="x",'Jan 2027'!AD20="X"),1,0))</f>
        <v/>
      </c>
      <c r="P122" s="345">
        <f>IF($A122="","",IF(OR('Jan 2027'!AD21=TRUE,'Jan 2027'!AD21="x",'Jan 2027'!AD21="X"),1,0))</f>
        <v/>
      </c>
      <c r="Q122" s="345">
        <f>IF($A122="","",IF(OR('Jan 2027'!AD22=TRUE,'Jan 2027'!AD22="x",'Jan 2027'!AD22="X"),1,0))</f>
        <v/>
      </c>
      <c r="R122" s="345">
        <f>IF($A122="","",IF(OR('Jan 2027'!AD23=TRUE,'Jan 2027'!AD23="x",'Jan 2027'!AD23="X"),1,0))</f>
        <v/>
      </c>
      <c r="S122" s="345">
        <f>IF($A122="","",IF(OR('Jan 2027'!AD24=TRUE,'Jan 2027'!AD24="x",'Jan 2027'!AD24="X"),1,0))</f>
        <v/>
      </c>
      <c r="T122" s="345">
        <f>IF($A122="","",IF(OR('Jan 2027'!AD25=TRUE,'Jan 2027'!AD25="x",'Jan 2027'!AD25="X"),1,0))</f>
        <v/>
      </c>
      <c r="U122" s="345">
        <f>IF($A122="","",IF(OR('Jan 2027'!AD26=TRUE,'Jan 2027'!AD26="x",'Jan 2027'!AD26="X"),1,0))</f>
        <v/>
      </c>
      <c r="V122" s="345">
        <f>IF($A122="","",IF(OR('Jan 2027'!AD27=TRUE,'Jan 2027'!AD27="x",'Jan 2027'!AD27="X"),1,0))</f>
        <v/>
      </c>
      <c r="W122" s="345">
        <f>IF($A122="","",IF(OR('Jan 2027'!AD28=TRUE,'Jan 2027'!AD28="x",'Jan 2027'!AD28="X"),1,0))</f>
        <v/>
      </c>
      <c r="X122" s="345">
        <f>IF($A122="","",IF(OR('Jan 2027'!AD29=TRUE,'Jan 2027'!AD29="x",'Jan 2027'!AD29="X"),1,0))</f>
        <v/>
      </c>
      <c r="Y122" s="345">
        <f>IF($A122="","",IF(OR('Jan 2027'!AD30=TRUE,'Jan 2027'!AD30="x",'Jan 2027'!AD30="X"),1,0))</f>
        <v/>
      </c>
      <c r="Z122" s="345">
        <f>IF($A122="","",IF(OR('Jan 2027'!AD31=TRUE,'Jan 2027'!AD31="x",'Jan 2027'!AD31="X"),1,0))</f>
        <v/>
      </c>
      <c r="AA122" s="345">
        <f>IF($A122="","",IF(OR('Jan 2027'!AD32=TRUE,'Jan 2027'!AD32="x",'Jan 2027'!AD32="X"),1,0))</f>
        <v/>
      </c>
      <c r="AB122" s="345">
        <f>IF($A122="","",IF(OR('Jan 2027'!AD34=TRUE,'Jan 2027'!AD34="x",'Jan 2027'!AD34="X"),1,0))</f>
        <v/>
      </c>
      <c r="AC122" s="345">
        <f>IF($A122="","",IF(OR('Jan 2027'!AD35=TRUE,'Jan 2027'!AD35="x",'Jan 2027'!AD35="X"),1,0))</f>
        <v/>
      </c>
      <c r="AD122" s="345">
        <f>IF($A122="","",IF(OR('Jan 2027'!AD36=TRUE,'Jan 2027'!AD36="x",'Jan 2027'!AD36="X"),1,0))</f>
        <v/>
      </c>
      <c r="AE122" s="345">
        <f>IF($A122="","",IF(OR('Jan 2027'!AD37=TRUE,'Jan 2027'!AD37="x",'Jan 2027'!AD37="X"),1,0))</f>
        <v/>
      </c>
      <c r="AF122" s="345">
        <f>IF($A122="","",IF('Jan 2027'!AD59="","",'Jan 2027'!AD59))</f>
        <v/>
      </c>
      <c r="AG122" s="345">
        <f>IF($A122="","",IF('Jan 2027'!AD60="","",'Jan 2027'!AD60))</f>
        <v/>
      </c>
      <c r="AH122" s="345">
        <f>IF($A122="","",IF('Jan 2027'!AD61="","",'Jan 2027'!AD61))</f>
        <v/>
      </c>
      <c r="AI122" s="345">
        <f>IF($A122="","",IF('Jan 2027'!AD62="","",'Jan 2027'!AD62))</f>
        <v/>
      </c>
      <c r="AJ122" s="345">
        <f>IF($A122="","",IF('Jan 2027'!AD63="","",'Jan 2027'!AD63))</f>
        <v/>
      </c>
      <c r="AK122" s="345">
        <f>IF($A122="","",IF('Jan 2027'!AD64="","",'Jan 2027'!AD64))</f>
        <v/>
      </c>
      <c r="AL122" s="345">
        <f>IF($A122="","",IF('Jan 2027'!AD65="","",'Jan 2027'!AD65))</f>
        <v/>
      </c>
      <c r="AM122" s="345">
        <f>IF($A122="","",IF('Jan 2027'!AD66="","",'Jan 2027'!AD66))</f>
        <v/>
      </c>
      <c r="AN122" s="345">
        <f>IF($A122="","",IF('Jan 2027'!AD67="","",'Jan 2027'!AD67))</f>
        <v/>
      </c>
      <c r="AO122" s="345">
        <f>IF($A122="",0,IF(AND($A122&gt;=TrackStart,$A122&lt;=TODAY()),1,0))</f>
        <v/>
      </c>
      <c r="AP122" s="345">
        <f>IF($A122="",0,IF(SUM(F122:AE122)+COUNT(AF122:AN122)&gt;0,1,0))</f>
        <v/>
      </c>
      <c r="AQ122" s="345">
        <f>IF($A122="","",INT(($A122-TrackStart)/7)+1)</f>
        <v/>
      </c>
      <c r="AR122" s="345">
        <f>IF($A122="","",IF(AQ122&lt;=1,Steps1,IF(AQ122=2,Steps2,Steps3)))</f>
        <v/>
      </c>
      <c r="AS122" s="345">
        <f>IF($A122="",0,IF(ISNUMBER(SEARCH(TEXT(D122,"0"),WorkDays&amp;"")),1,0))</f>
        <v/>
      </c>
      <c r="AT122" s="345">
        <f>IF($A122="",0,IF(ISNUMBER(SEARCH(TEXT(D122,"0"),StrDays&amp;"")),1,0))</f>
        <v/>
      </c>
      <c r="AU122" s="345">
        <f>IF($A122="",0,IF(ISNUMBER(AK122),IF(AK122&gt;=SleepMin,1,0),N122))</f>
        <v/>
      </c>
      <c r="AV122" s="345">
        <f>IF($A122="",0,MAX(I122,O122,S122,AC122))</f>
        <v/>
      </c>
      <c r="AW122" s="345">
        <f>IF($A122="",0,IF(ISNUMBER(AH122),IF(AH122&gt;=ProtHit,1,0),0))</f>
        <v/>
      </c>
      <c r="AX122" s="345">
        <f>IF($A122="",0,IF(ISNUMBER(AI122),IF(AI122&gt;=WaterHit,1,0),0))</f>
        <v/>
      </c>
      <c r="AY122" s="345">
        <f>IF($A122="",0,IF(ISNUMBER(AG122),IF(AG122&gt;=AR122,1,0),0))</f>
        <v/>
      </c>
      <c r="AZ122" s="345">
        <f>IF($A122="",0,G122)</f>
        <v/>
      </c>
      <c r="BA122" s="345">
        <f>IF($A122="",0,J122)</f>
        <v/>
      </c>
      <c r="BB122" s="345">
        <f>IF($A122="",0,K122)</f>
        <v/>
      </c>
      <c r="BC122" s="345">
        <f>IF($A122="",0,MAX(L122,AE122))</f>
        <v/>
      </c>
      <c r="BD122" s="344">
        <f>IF($A122="","",(AU122+AV122+AW122+AX122+AY122+AZ122+BB122+BC122+IF(AS122=1,BA122,0))/(8+AS122))</f>
        <v/>
      </c>
      <c r="BE122" s="344">
        <f>IF($A122="","",(IF(ISNUMBER(AI122),IF(AI122&gt;=WaterMVD,1,0),0)+AV122+IF(ISNUMBER(AH122),IF(AH122&gt;=ProtMVD,1,0),0)+MAX(H122,AD122)+AZ122+BB122+AU122)/7)</f>
        <v/>
      </c>
      <c r="BF122" s="344">
        <f>IF(AO122=0,"",IF(E122="S","",IF(AND(AP122=0,$A122=TODAY()),"",IF(E122="M",BE122,BD122))))</f>
        <v/>
      </c>
      <c r="BG122" s="344">
        <f>IF(AO122=0,"",IFERROR(AVERAGEIFS(Data!$BF$4:$BF$375,Data!$A$4:$A$375,"&gt;"&amp;($A122-7),Data!$A$4:$A$375,"&lt;="&amp;$A122),""))</f>
        <v/>
      </c>
      <c r="BH122" s="344">
        <f>IF(AO122=0,"",IFERROR(AVERAGEIFS(Data!$BF$4:$BF$375,Data!$A$4:$A$375,"&gt;"&amp;($A122-30),Data!$A$4:$A$375,"&lt;="&amp;$A122),""))</f>
        <v/>
      </c>
      <c r="BI122" s="359">
        <f>IF($A122="","",IFERROR(AVERAGEIFS(Data!$AF$4:$AF$375,Data!$A$4:$A$375,"&gt;"&amp;($A122-7),Data!$A$4:$A$375,"&lt;="&amp;$A122,Data!$AF$4:$AF$375,"&gt;0"),""))</f>
        <v/>
      </c>
      <c r="BJ122" s="345">
        <f>IF($A122="","",F122+G122+H122+I122+J122+K122+L122+M122+N122-IF(AS122=1,0,J122))</f>
        <v/>
      </c>
      <c r="BK122" s="345">
        <f>IF($A122="","",8+AS122)</f>
        <v/>
      </c>
      <c r="BL122" s="345">
        <f>IF(ISNUMBER(BF122),BF122,NA())</f>
        <v/>
      </c>
      <c r="BM122" s="345">
        <f>IF(ISNUMBER(AF122),AF122,NA())</f>
        <v/>
      </c>
      <c r="BN122" s="345">
        <f>IF(ISNUMBER(BI122),BI122,NA())</f>
        <v/>
      </c>
      <c r="BO122" s="345">
        <f>IF(ISNUMBER(AL122),AL122,NA())</f>
        <v/>
      </c>
      <c r="BP122" s="345">
        <f>IF(ISNUMBER(AM122),AM122,NA())</f>
        <v/>
      </c>
      <c r="BQ122" s="345">
        <f>IF(ISNUMBER(AN122),AN122,NA())</f>
        <v/>
      </c>
    </row>
    <row r="123">
      <c r="A123" s="358">
        <f>IF('Jan 2027'!AE7="","",'Jan 2027'!AE7)</f>
        <v/>
      </c>
      <c r="B123" s="345" t="n">
        <v>4</v>
      </c>
      <c r="C123" s="345">
        <f>IF($A123="","",27)</f>
        <v/>
      </c>
      <c r="D123" s="345">
        <f>IF($A123="","",WEEKDAY($A123,2))</f>
        <v/>
      </c>
      <c r="E123" s="345">
        <f>IF($A123="","",UPPER(TRIM('Jan 2027'!AE8)))</f>
        <v/>
      </c>
      <c r="F123" s="345">
        <f>IF($A123="","",IF(OR('Jan 2027'!AE10=TRUE,'Jan 2027'!AE10="x",'Jan 2027'!AE10="X"),1,0))</f>
        <v/>
      </c>
      <c r="G123" s="345">
        <f>IF($A123="","",IF(OR('Jan 2027'!AE11=TRUE,'Jan 2027'!AE11="x",'Jan 2027'!AE11="X"),1,0))</f>
        <v/>
      </c>
      <c r="H123" s="345">
        <f>IF($A123="","",IF(OR('Jan 2027'!AE12=TRUE,'Jan 2027'!AE12="x",'Jan 2027'!AE12="X"),1,0))</f>
        <v/>
      </c>
      <c r="I123" s="345">
        <f>IF($A123="","",IF(OR('Jan 2027'!AE13=TRUE,'Jan 2027'!AE13="x",'Jan 2027'!AE13="X"),1,0))</f>
        <v/>
      </c>
      <c r="J123" s="345">
        <f>IF($A123="","",IF(OR('Jan 2027'!AE14=TRUE,'Jan 2027'!AE14="x",'Jan 2027'!AE14="X"),1,0))</f>
        <v/>
      </c>
      <c r="K123" s="345">
        <f>IF($A123="","",IF(OR('Jan 2027'!AE15=TRUE,'Jan 2027'!AE15="x",'Jan 2027'!AE15="X"),1,0))</f>
        <v/>
      </c>
      <c r="L123" s="345">
        <f>IF($A123="","",IF(OR('Jan 2027'!AE16=TRUE,'Jan 2027'!AE16="x",'Jan 2027'!AE16="X"),1,0))</f>
        <v/>
      </c>
      <c r="M123" s="345">
        <f>IF($A123="","",IF(OR('Jan 2027'!AE17=TRUE,'Jan 2027'!AE17="x",'Jan 2027'!AE17="X"),1,0))</f>
        <v/>
      </c>
      <c r="N123" s="345">
        <f>IF($A123="","",IF(OR('Jan 2027'!AE18=TRUE,'Jan 2027'!AE18="x",'Jan 2027'!AE18="X"),1,0))</f>
        <v/>
      </c>
      <c r="O123" s="345">
        <f>IF($A123="","",IF(OR('Jan 2027'!AE20=TRUE,'Jan 2027'!AE20="x",'Jan 2027'!AE20="X"),1,0))</f>
        <v/>
      </c>
      <c r="P123" s="345">
        <f>IF($A123="","",IF(OR('Jan 2027'!AE21=TRUE,'Jan 2027'!AE21="x",'Jan 2027'!AE21="X"),1,0))</f>
        <v/>
      </c>
      <c r="Q123" s="345">
        <f>IF($A123="","",IF(OR('Jan 2027'!AE22=TRUE,'Jan 2027'!AE22="x",'Jan 2027'!AE22="X"),1,0))</f>
        <v/>
      </c>
      <c r="R123" s="345">
        <f>IF($A123="","",IF(OR('Jan 2027'!AE23=TRUE,'Jan 2027'!AE23="x",'Jan 2027'!AE23="X"),1,0))</f>
        <v/>
      </c>
      <c r="S123" s="345">
        <f>IF($A123="","",IF(OR('Jan 2027'!AE24=TRUE,'Jan 2027'!AE24="x",'Jan 2027'!AE24="X"),1,0))</f>
        <v/>
      </c>
      <c r="T123" s="345">
        <f>IF($A123="","",IF(OR('Jan 2027'!AE25=TRUE,'Jan 2027'!AE25="x",'Jan 2027'!AE25="X"),1,0))</f>
        <v/>
      </c>
      <c r="U123" s="345">
        <f>IF($A123="","",IF(OR('Jan 2027'!AE26=TRUE,'Jan 2027'!AE26="x",'Jan 2027'!AE26="X"),1,0))</f>
        <v/>
      </c>
      <c r="V123" s="345">
        <f>IF($A123="","",IF(OR('Jan 2027'!AE27=TRUE,'Jan 2027'!AE27="x",'Jan 2027'!AE27="X"),1,0))</f>
        <v/>
      </c>
      <c r="W123" s="345">
        <f>IF($A123="","",IF(OR('Jan 2027'!AE28=TRUE,'Jan 2027'!AE28="x",'Jan 2027'!AE28="X"),1,0))</f>
        <v/>
      </c>
      <c r="X123" s="345">
        <f>IF($A123="","",IF(OR('Jan 2027'!AE29=TRUE,'Jan 2027'!AE29="x",'Jan 2027'!AE29="X"),1,0))</f>
        <v/>
      </c>
      <c r="Y123" s="345">
        <f>IF($A123="","",IF(OR('Jan 2027'!AE30=TRUE,'Jan 2027'!AE30="x",'Jan 2027'!AE30="X"),1,0))</f>
        <v/>
      </c>
      <c r="Z123" s="345">
        <f>IF($A123="","",IF(OR('Jan 2027'!AE31=TRUE,'Jan 2027'!AE31="x",'Jan 2027'!AE31="X"),1,0))</f>
        <v/>
      </c>
      <c r="AA123" s="345">
        <f>IF($A123="","",IF(OR('Jan 2027'!AE32=TRUE,'Jan 2027'!AE32="x",'Jan 2027'!AE32="X"),1,0))</f>
        <v/>
      </c>
      <c r="AB123" s="345">
        <f>IF($A123="","",IF(OR('Jan 2027'!AE34=TRUE,'Jan 2027'!AE34="x",'Jan 2027'!AE34="X"),1,0))</f>
        <v/>
      </c>
      <c r="AC123" s="345">
        <f>IF($A123="","",IF(OR('Jan 2027'!AE35=TRUE,'Jan 2027'!AE35="x",'Jan 2027'!AE35="X"),1,0))</f>
        <v/>
      </c>
      <c r="AD123" s="345">
        <f>IF($A123="","",IF(OR('Jan 2027'!AE36=TRUE,'Jan 2027'!AE36="x",'Jan 2027'!AE36="X"),1,0))</f>
        <v/>
      </c>
      <c r="AE123" s="345">
        <f>IF($A123="","",IF(OR('Jan 2027'!AE37=TRUE,'Jan 2027'!AE37="x",'Jan 2027'!AE37="X"),1,0))</f>
        <v/>
      </c>
      <c r="AF123" s="345">
        <f>IF($A123="","",IF('Jan 2027'!AE59="","",'Jan 2027'!AE59))</f>
        <v/>
      </c>
      <c r="AG123" s="345">
        <f>IF($A123="","",IF('Jan 2027'!AE60="","",'Jan 2027'!AE60))</f>
        <v/>
      </c>
      <c r="AH123" s="345">
        <f>IF($A123="","",IF('Jan 2027'!AE61="","",'Jan 2027'!AE61))</f>
        <v/>
      </c>
      <c r="AI123" s="345">
        <f>IF($A123="","",IF('Jan 2027'!AE62="","",'Jan 2027'!AE62))</f>
        <v/>
      </c>
      <c r="AJ123" s="345">
        <f>IF($A123="","",IF('Jan 2027'!AE63="","",'Jan 2027'!AE63))</f>
        <v/>
      </c>
      <c r="AK123" s="345">
        <f>IF($A123="","",IF('Jan 2027'!AE64="","",'Jan 2027'!AE64))</f>
        <v/>
      </c>
      <c r="AL123" s="345">
        <f>IF($A123="","",IF('Jan 2027'!AE65="","",'Jan 2027'!AE65))</f>
        <v/>
      </c>
      <c r="AM123" s="345">
        <f>IF($A123="","",IF('Jan 2027'!AE66="","",'Jan 2027'!AE66))</f>
        <v/>
      </c>
      <c r="AN123" s="345">
        <f>IF($A123="","",IF('Jan 2027'!AE67="","",'Jan 2027'!AE67))</f>
        <v/>
      </c>
      <c r="AO123" s="345">
        <f>IF($A123="",0,IF(AND($A123&gt;=TrackStart,$A123&lt;=TODAY()),1,0))</f>
        <v/>
      </c>
      <c r="AP123" s="345">
        <f>IF($A123="",0,IF(SUM(F123:AE123)+COUNT(AF123:AN123)&gt;0,1,0))</f>
        <v/>
      </c>
      <c r="AQ123" s="345">
        <f>IF($A123="","",INT(($A123-TrackStart)/7)+1)</f>
        <v/>
      </c>
      <c r="AR123" s="345">
        <f>IF($A123="","",IF(AQ123&lt;=1,Steps1,IF(AQ123=2,Steps2,Steps3)))</f>
        <v/>
      </c>
      <c r="AS123" s="345">
        <f>IF($A123="",0,IF(ISNUMBER(SEARCH(TEXT(D123,"0"),WorkDays&amp;"")),1,0))</f>
        <v/>
      </c>
      <c r="AT123" s="345">
        <f>IF($A123="",0,IF(ISNUMBER(SEARCH(TEXT(D123,"0"),StrDays&amp;"")),1,0))</f>
        <v/>
      </c>
      <c r="AU123" s="345">
        <f>IF($A123="",0,IF(ISNUMBER(AK123),IF(AK123&gt;=SleepMin,1,0),N123))</f>
        <v/>
      </c>
      <c r="AV123" s="345">
        <f>IF($A123="",0,MAX(I123,O123,S123,AC123))</f>
        <v/>
      </c>
      <c r="AW123" s="345">
        <f>IF($A123="",0,IF(ISNUMBER(AH123),IF(AH123&gt;=ProtHit,1,0),0))</f>
        <v/>
      </c>
      <c r="AX123" s="345">
        <f>IF($A123="",0,IF(ISNUMBER(AI123),IF(AI123&gt;=WaterHit,1,0),0))</f>
        <v/>
      </c>
      <c r="AY123" s="345">
        <f>IF($A123="",0,IF(ISNUMBER(AG123),IF(AG123&gt;=AR123,1,0),0))</f>
        <v/>
      </c>
      <c r="AZ123" s="345">
        <f>IF($A123="",0,G123)</f>
        <v/>
      </c>
      <c r="BA123" s="345">
        <f>IF($A123="",0,J123)</f>
        <v/>
      </c>
      <c r="BB123" s="345">
        <f>IF($A123="",0,K123)</f>
        <v/>
      </c>
      <c r="BC123" s="345">
        <f>IF($A123="",0,MAX(L123,AE123))</f>
        <v/>
      </c>
      <c r="BD123" s="344">
        <f>IF($A123="","",(AU123+AV123+AW123+AX123+AY123+AZ123+BB123+BC123+IF(AS123=1,BA123,0))/(8+AS123))</f>
        <v/>
      </c>
      <c r="BE123" s="344">
        <f>IF($A123="","",(IF(ISNUMBER(AI123),IF(AI123&gt;=WaterMVD,1,0),0)+AV123+IF(ISNUMBER(AH123),IF(AH123&gt;=ProtMVD,1,0),0)+MAX(H123,AD123)+AZ123+BB123+AU123)/7)</f>
        <v/>
      </c>
      <c r="BF123" s="344">
        <f>IF(AO123=0,"",IF(E123="S","",IF(AND(AP123=0,$A123=TODAY()),"",IF(E123="M",BE123,BD123))))</f>
        <v/>
      </c>
      <c r="BG123" s="344">
        <f>IF(AO123=0,"",IFERROR(AVERAGEIFS(Data!$BF$4:$BF$375,Data!$A$4:$A$375,"&gt;"&amp;($A123-7),Data!$A$4:$A$375,"&lt;="&amp;$A123),""))</f>
        <v/>
      </c>
      <c r="BH123" s="344">
        <f>IF(AO123=0,"",IFERROR(AVERAGEIFS(Data!$BF$4:$BF$375,Data!$A$4:$A$375,"&gt;"&amp;($A123-30),Data!$A$4:$A$375,"&lt;="&amp;$A123),""))</f>
        <v/>
      </c>
      <c r="BI123" s="359">
        <f>IF($A123="","",IFERROR(AVERAGEIFS(Data!$AF$4:$AF$375,Data!$A$4:$A$375,"&gt;"&amp;($A123-7),Data!$A$4:$A$375,"&lt;="&amp;$A123,Data!$AF$4:$AF$375,"&gt;0"),""))</f>
        <v/>
      </c>
      <c r="BJ123" s="345">
        <f>IF($A123="","",F123+G123+H123+I123+J123+K123+L123+M123+N123-IF(AS123=1,0,J123))</f>
        <v/>
      </c>
      <c r="BK123" s="345">
        <f>IF($A123="","",8+AS123)</f>
        <v/>
      </c>
      <c r="BL123" s="345">
        <f>IF(ISNUMBER(BF123),BF123,NA())</f>
        <v/>
      </c>
      <c r="BM123" s="345">
        <f>IF(ISNUMBER(AF123),AF123,NA())</f>
        <v/>
      </c>
      <c r="BN123" s="345">
        <f>IF(ISNUMBER(BI123),BI123,NA())</f>
        <v/>
      </c>
      <c r="BO123" s="345">
        <f>IF(ISNUMBER(AL123),AL123,NA())</f>
        <v/>
      </c>
      <c r="BP123" s="345">
        <f>IF(ISNUMBER(AM123),AM123,NA())</f>
        <v/>
      </c>
      <c r="BQ123" s="345">
        <f>IF(ISNUMBER(AN123),AN123,NA())</f>
        <v/>
      </c>
    </row>
    <row r="124">
      <c r="A124" s="358">
        <f>IF('Jan 2027'!AF7="","",'Jan 2027'!AF7)</f>
        <v/>
      </c>
      <c r="B124" s="345" t="n">
        <v>4</v>
      </c>
      <c r="C124" s="345">
        <f>IF($A124="","",28)</f>
        <v/>
      </c>
      <c r="D124" s="345">
        <f>IF($A124="","",WEEKDAY($A124,2))</f>
        <v/>
      </c>
      <c r="E124" s="345">
        <f>IF($A124="","",UPPER(TRIM('Jan 2027'!AF8)))</f>
        <v/>
      </c>
      <c r="F124" s="345">
        <f>IF($A124="","",IF(OR('Jan 2027'!AF10=TRUE,'Jan 2027'!AF10="x",'Jan 2027'!AF10="X"),1,0))</f>
        <v/>
      </c>
      <c r="G124" s="345">
        <f>IF($A124="","",IF(OR('Jan 2027'!AF11=TRUE,'Jan 2027'!AF11="x",'Jan 2027'!AF11="X"),1,0))</f>
        <v/>
      </c>
      <c r="H124" s="345">
        <f>IF($A124="","",IF(OR('Jan 2027'!AF12=TRUE,'Jan 2027'!AF12="x",'Jan 2027'!AF12="X"),1,0))</f>
        <v/>
      </c>
      <c r="I124" s="345">
        <f>IF($A124="","",IF(OR('Jan 2027'!AF13=TRUE,'Jan 2027'!AF13="x",'Jan 2027'!AF13="X"),1,0))</f>
        <v/>
      </c>
      <c r="J124" s="345">
        <f>IF($A124="","",IF(OR('Jan 2027'!AF14=TRUE,'Jan 2027'!AF14="x",'Jan 2027'!AF14="X"),1,0))</f>
        <v/>
      </c>
      <c r="K124" s="345">
        <f>IF($A124="","",IF(OR('Jan 2027'!AF15=TRUE,'Jan 2027'!AF15="x",'Jan 2027'!AF15="X"),1,0))</f>
        <v/>
      </c>
      <c r="L124" s="345">
        <f>IF($A124="","",IF(OR('Jan 2027'!AF16=TRUE,'Jan 2027'!AF16="x",'Jan 2027'!AF16="X"),1,0))</f>
        <v/>
      </c>
      <c r="M124" s="345">
        <f>IF($A124="","",IF(OR('Jan 2027'!AF17=TRUE,'Jan 2027'!AF17="x",'Jan 2027'!AF17="X"),1,0))</f>
        <v/>
      </c>
      <c r="N124" s="345">
        <f>IF($A124="","",IF(OR('Jan 2027'!AF18=TRUE,'Jan 2027'!AF18="x",'Jan 2027'!AF18="X"),1,0))</f>
        <v/>
      </c>
      <c r="O124" s="345">
        <f>IF($A124="","",IF(OR('Jan 2027'!AF20=TRUE,'Jan 2027'!AF20="x",'Jan 2027'!AF20="X"),1,0))</f>
        <v/>
      </c>
      <c r="P124" s="345">
        <f>IF($A124="","",IF(OR('Jan 2027'!AF21=TRUE,'Jan 2027'!AF21="x",'Jan 2027'!AF21="X"),1,0))</f>
        <v/>
      </c>
      <c r="Q124" s="345">
        <f>IF($A124="","",IF(OR('Jan 2027'!AF22=TRUE,'Jan 2027'!AF22="x",'Jan 2027'!AF22="X"),1,0))</f>
        <v/>
      </c>
      <c r="R124" s="345">
        <f>IF($A124="","",IF(OR('Jan 2027'!AF23=TRUE,'Jan 2027'!AF23="x",'Jan 2027'!AF23="X"),1,0))</f>
        <v/>
      </c>
      <c r="S124" s="345">
        <f>IF($A124="","",IF(OR('Jan 2027'!AF24=TRUE,'Jan 2027'!AF24="x",'Jan 2027'!AF24="X"),1,0))</f>
        <v/>
      </c>
      <c r="T124" s="345">
        <f>IF($A124="","",IF(OR('Jan 2027'!AF25=TRUE,'Jan 2027'!AF25="x",'Jan 2027'!AF25="X"),1,0))</f>
        <v/>
      </c>
      <c r="U124" s="345">
        <f>IF($A124="","",IF(OR('Jan 2027'!AF26=TRUE,'Jan 2027'!AF26="x",'Jan 2027'!AF26="X"),1,0))</f>
        <v/>
      </c>
      <c r="V124" s="345">
        <f>IF($A124="","",IF(OR('Jan 2027'!AF27=TRUE,'Jan 2027'!AF27="x",'Jan 2027'!AF27="X"),1,0))</f>
        <v/>
      </c>
      <c r="W124" s="345">
        <f>IF($A124="","",IF(OR('Jan 2027'!AF28=TRUE,'Jan 2027'!AF28="x",'Jan 2027'!AF28="X"),1,0))</f>
        <v/>
      </c>
      <c r="X124" s="345">
        <f>IF($A124="","",IF(OR('Jan 2027'!AF29=TRUE,'Jan 2027'!AF29="x",'Jan 2027'!AF29="X"),1,0))</f>
        <v/>
      </c>
      <c r="Y124" s="345">
        <f>IF($A124="","",IF(OR('Jan 2027'!AF30=TRUE,'Jan 2027'!AF30="x",'Jan 2027'!AF30="X"),1,0))</f>
        <v/>
      </c>
      <c r="Z124" s="345">
        <f>IF($A124="","",IF(OR('Jan 2027'!AF31=TRUE,'Jan 2027'!AF31="x",'Jan 2027'!AF31="X"),1,0))</f>
        <v/>
      </c>
      <c r="AA124" s="345">
        <f>IF($A124="","",IF(OR('Jan 2027'!AF32=TRUE,'Jan 2027'!AF32="x",'Jan 2027'!AF32="X"),1,0))</f>
        <v/>
      </c>
      <c r="AB124" s="345">
        <f>IF($A124="","",IF(OR('Jan 2027'!AF34=TRUE,'Jan 2027'!AF34="x",'Jan 2027'!AF34="X"),1,0))</f>
        <v/>
      </c>
      <c r="AC124" s="345">
        <f>IF($A124="","",IF(OR('Jan 2027'!AF35=TRUE,'Jan 2027'!AF35="x",'Jan 2027'!AF35="X"),1,0))</f>
        <v/>
      </c>
      <c r="AD124" s="345">
        <f>IF($A124="","",IF(OR('Jan 2027'!AF36=TRUE,'Jan 2027'!AF36="x",'Jan 2027'!AF36="X"),1,0))</f>
        <v/>
      </c>
      <c r="AE124" s="345">
        <f>IF($A124="","",IF(OR('Jan 2027'!AF37=TRUE,'Jan 2027'!AF37="x",'Jan 2027'!AF37="X"),1,0))</f>
        <v/>
      </c>
      <c r="AF124" s="345">
        <f>IF($A124="","",IF('Jan 2027'!AF59="","",'Jan 2027'!AF59))</f>
        <v/>
      </c>
      <c r="AG124" s="345">
        <f>IF($A124="","",IF('Jan 2027'!AF60="","",'Jan 2027'!AF60))</f>
        <v/>
      </c>
      <c r="AH124" s="345">
        <f>IF($A124="","",IF('Jan 2027'!AF61="","",'Jan 2027'!AF61))</f>
        <v/>
      </c>
      <c r="AI124" s="345">
        <f>IF($A124="","",IF('Jan 2027'!AF62="","",'Jan 2027'!AF62))</f>
        <v/>
      </c>
      <c r="AJ124" s="345">
        <f>IF($A124="","",IF('Jan 2027'!AF63="","",'Jan 2027'!AF63))</f>
        <v/>
      </c>
      <c r="AK124" s="345">
        <f>IF($A124="","",IF('Jan 2027'!AF64="","",'Jan 2027'!AF64))</f>
        <v/>
      </c>
      <c r="AL124" s="345">
        <f>IF($A124="","",IF('Jan 2027'!AF65="","",'Jan 2027'!AF65))</f>
        <v/>
      </c>
      <c r="AM124" s="345">
        <f>IF($A124="","",IF('Jan 2027'!AF66="","",'Jan 2027'!AF66))</f>
        <v/>
      </c>
      <c r="AN124" s="345">
        <f>IF($A124="","",IF('Jan 2027'!AF67="","",'Jan 2027'!AF67))</f>
        <v/>
      </c>
      <c r="AO124" s="345">
        <f>IF($A124="",0,IF(AND($A124&gt;=TrackStart,$A124&lt;=TODAY()),1,0))</f>
        <v/>
      </c>
      <c r="AP124" s="345">
        <f>IF($A124="",0,IF(SUM(F124:AE124)+COUNT(AF124:AN124)&gt;0,1,0))</f>
        <v/>
      </c>
      <c r="AQ124" s="345">
        <f>IF($A124="","",INT(($A124-TrackStart)/7)+1)</f>
        <v/>
      </c>
      <c r="AR124" s="345">
        <f>IF($A124="","",IF(AQ124&lt;=1,Steps1,IF(AQ124=2,Steps2,Steps3)))</f>
        <v/>
      </c>
      <c r="AS124" s="345">
        <f>IF($A124="",0,IF(ISNUMBER(SEARCH(TEXT(D124,"0"),WorkDays&amp;"")),1,0))</f>
        <v/>
      </c>
      <c r="AT124" s="345">
        <f>IF($A124="",0,IF(ISNUMBER(SEARCH(TEXT(D124,"0"),StrDays&amp;"")),1,0))</f>
        <v/>
      </c>
      <c r="AU124" s="345">
        <f>IF($A124="",0,IF(ISNUMBER(AK124),IF(AK124&gt;=SleepMin,1,0),N124))</f>
        <v/>
      </c>
      <c r="AV124" s="345">
        <f>IF($A124="",0,MAX(I124,O124,S124,AC124))</f>
        <v/>
      </c>
      <c r="AW124" s="345">
        <f>IF($A124="",0,IF(ISNUMBER(AH124),IF(AH124&gt;=ProtHit,1,0),0))</f>
        <v/>
      </c>
      <c r="AX124" s="345">
        <f>IF($A124="",0,IF(ISNUMBER(AI124),IF(AI124&gt;=WaterHit,1,0),0))</f>
        <v/>
      </c>
      <c r="AY124" s="345">
        <f>IF($A124="",0,IF(ISNUMBER(AG124),IF(AG124&gt;=AR124,1,0),0))</f>
        <v/>
      </c>
      <c r="AZ124" s="345">
        <f>IF($A124="",0,G124)</f>
        <v/>
      </c>
      <c r="BA124" s="345">
        <f>IF($A124="",0,J124)</f>
        <v/>
      </c>
      <c r="BB124" s="345">
        <f>IF($A124="",0,K124)</f>
        <v/>
      </c>
      <c r="BC124" s="345">
        <f>IF($A124="",0,MAX(L124,AE124))</f>
        <v/>
      </c>
      <c r="BD124" s="344">
        <f>IF($A124="","",(AU124+AV124+AW124+AX124+AY124+AZ124+BB124+BC124+IF(AS124=1,BA124,0))/(8+AS124))</f>
        <v/>
      </c>
      <c r="BE124" s="344">
        <f>IF($A124="","",(IF(ISNUMBER(AI124),IF(AI124&gt;=WaterMVD,1,0),0)+AV124+IF(ISNUMBER(AH124),IF(AH124&gt;=ProtMVD,1,0),0)+MAX(H124,AD124)+AZ124+BB124+AU124)/7)</f>
        <v/>
      </c>
      <c r="BF124" s="344">
        <f>IF(AO124=0,"",IF(E124="S","",IF(AND(AP124=0,$A124=TODAY()),"",IF(E124="M",BE124,BD124))))</f>
        <v/>
      </c>
      <c r="BG124" s="344">
        <f>IF(AO124=0,"",IFERROR(AVERAGEIFS(Data!$BF$4:$BF$375,Data!$A$4:$A$375,"&gt;"&amp;($A124-7),Data!$A$4:$A$375,"&lt;="&amp;$A124),""))</f>
        <v/>
      </c>
      <c r="BH124" s="344">
        <f>IF(AO124=0,"",IFERROR(AVERAGEIFS(Data!$BF$4:$BF$375,Data!$A$4:$A$375,"&gt;"&amp;($A124-30),Data!$A$4:$A$375,"&lt;="&amp;$A124),""))</f>
        <v/>
      </c>
      <c r="BI124" s="359">
        <f>IF($A124="","",IFERROR(AVERAGEIFS(Data!$AF$4:$AF$375,Data!$A$4:$A$375,"&gt;"&amp;($A124-7),Data!$A$4:$A$375,"&lt;="&amp;$A124,Data!$AF$4:$AF$375,"&gt;0"),""))</f>
        <v/>
      </c>
      <c r="BJ124" s="345">
        <f>IF($A124="","",F124+G124+H124+I124+J124+K124+L124+M124+N124-IF(AS124=1,0,J124))</f>
        <v/>
      </c>
      <c r="BK124" s="345">
        <f>IF($A124="","",8+AS124)</f>
        <v/>
      </c>
      <c r="BL124" s="345">
        <f>IF(ISNUMBER(BF124),BF124,NA())</f>
        <v/>
      </c>
      <c r="BM124" s="345">
        <f>IF(ISNUMBER(AF124),AF124,NA())</f>
        <v/>
      </c>
      <c r="BN124" s="345">
        <f>IF(ISNUMBER(BI124),BI124,NA())</f>
        <v/>
      </c>
      <c r="BO124" s="345">
        <f>IF(ISNUMBER(AL124),AL124,NA())</f>
        <v/>
      </c>
      <c r="BP124" s="345">
        <f>IF(ISNUMBER(AM124),AM124,NA())</f>
        <v/>
      </c>
      <c r="BQ124" s="345">
        <f>IF(ISNUMBER(AN124),AN124,NA())</f>
        <v/>
      </c>
    </row>
    <row r="125">
      <c r="A125" s="358">
        <f>IF('Jan 2027'!AG7="","",'Jan 2027'!AG7)</f>
        <v/>
      </c>
      <c r="B125" s="345" t="n">
        <v>4</v>
      </c>
      <c r="C125" s="345">
        <f>IF($A125="","",29)</f>
        <v/>
      </c>
      <c r="D125" s="345">
        <f>IF($A125="","",WEEKDAY($A125,2))</f>
        <v/>
      </c>
      <c r="E125" s="345">
        <f>IF($A125="","",UPPER(TRIM('Jan 2027'!AG8)))</f>
        <v/>
      </c>
      <c r="F125" s="345">
        <f>IF($A125="","",IF(OR('Jan 2027'!AG10=TRUE,'Jan 2027'!AG10="x",'Jan 2027'!AG10="X"),1,0))</f>
        <v/>
      </c>
      <c r="G125" s="345">
        <f>IF($A125="","",IF(OR('Jan 2027'!AG11=TRUE,'Jan 2027'!AG11="x",'Jan 2027'!AG11="X"),1,0))</f>
        <v/>
      </c>
      <c r="H125" s="345">
        <f>IF($A125="","",IF(OR('Jan 2027'!AG12=TRUE,'Jan 2027'!AG12="x",'Jan 2027'!AG12="X"),1,0))</f>
        <v/>
      </c>
      <c r="I125" s="345">
        <f>IF($A125="","",IF(OR('Jan 2027'!AG13=TRUE,'Jan 2027'!AG13="x",'Jan 2027'!AG13="X"),1,0))</f>
        <v/>
      </c>
      <c r="J125" s="345">
        <f>IF($A125="","",IF(OR('Jan 2027'!AG14=TRUE,'Jan 2027'!AG14="x",'Jan 2027'!AG14="X"),1,0))</f>
        <v/>
      </c>
      <c r="K125" s="345">
        <f>IF($A125="","",IF(OR('Jan 2027'!AG15=TRUE,'Jan 2027'!AG15="x",'Jan 2027'!AG15="X"),1,0))</f>
        <v/>
      </c>
      <c r="L125" s="345">
        <f>IF($A125="","",IF(OR('Jan 2027'!AG16=TRUE,'Jan 2027'!AG16="x",'Jan 2027'!AG16="X"),1,0))</f>
        <v/>
      </c>
      <c r="M125" s="345">
        <f>IF($A125="","",IF(OR('Jan 2027'!AG17=TRUE,'Jan 2027'!AG17="x",'Jan 2027'!AG17="X"),1,0))</f>
        <v/>
      </c>
      <c r="N125" s="345">
        <f>IF($A125="","",IF(OR('Jan 2027'!AG18=TRUE,'Jan 2027'!AG18="x",'Jan 2027'!AG18="X"),1,0))</f>
        <v/>
      </c>
      <c r="O125" s="345">
        <f>IF($A125="","",IF(OR('Jan 2027'!AG20=TRUE,'Jan 2027'!AG20="x",'Jan 2027'!AG20="X"),1,0))</f>
        <v/>
      </c>
      <c r="P125" s="345">
        <f>IF($A125="","",IF(OR('Jan 2027'!AG21=TRUE,'Jan 2027'!AG21="x",'Jan 2027'!AG21="X"),1,0))</f>
        <v/>
      </c>
      <c r="Q125" s="345">
        <f>IF($A125="","",IF(OR('Jan 2027'!AG22=TRUE,'Jan 2027'!AG22="x",'Jan 2027'!AG22="X"),1,0))</f>
        <v/>
      </c>
      <c r="R125" s="345">
        <f>IF($A125="","",IF(OR('Jan 2027'!AG23=TRUE,'Jan 2027'!AG23="x",'Jan 2027'!AG23="X"),1,0))</f>
        <v/>
      </c>
      <c r="S125" s="345">
        <f>IF($A125="","",IF(OR('Jan 2027'!AG24=TRUE,'Jan 2027'!AG24="x",'Jan 2027'!AG24="X"),1,0))</f>
        <v/>
      </c>
      <c r="T125" s="345">
        <f>IF($A125="","",IF(OR('Jan 2027'!AG25=TRUE,'Jan 2027'!AG25="x",'Jan 2027'!AG25="X"),1,0))</f>
        <v/>
      </c>
      <c r="U125" s="345">
        <f>IF($A125="","",IF(OR('Jan 2027'!AG26=TRUE,'Jan 2027'!AG26="x",'Jan 2027'!AG26="X"),1,0))</f>
        <v/>
      </c>
      <c r="V125" s="345">
        <f>IF($A125="","",IF(OR('Jan 2027'!AG27=TRUE,'Jan 2027'!AG27="x",'Jan 2027'!AG27="X"),1,0))</f>
        <v/>
      </c>
      <c r="W125" s="345">
        <f>IF($A125="","",IF(OR('Jan 2027'!AG28=TRUE,'Jan 2027'!AG28="x",'Jan 2027'!AG28="X"),1,0))</f>
        <v/>
      </c>
      <c r="X125" s="345">
        <f>IF($A125="","",IF(OR('Jan 2027'!AG29=TRUE,'Jan 2027'!AG29="x",'Jan 2027'!AG29="X"),1,0))</f>
        <v/>
      </c>
      <c r="Y125" s="345">
        <f>IF($A125="","",IF(OR('Jan 2027'!AG30=TRUE,'Jan 2027'!AG30="x",'Jan 2027'!AG30="X"),1,0))</f>
        <v/>
      </c>
      <c r="Z125" s="345">
        <f>IF($A125="","",IF(OR('Jan 2027'!AG31=TRUE,'Jan 2027'!AG31="x",'Jan 2027'!AG31="X"),1,0))</f>
        <v/>
      </c>
      <c r="AA125" s="345">
        <f>IF($A125="","",IF(OR('Jan 2027'!AG32=TRUE,'Jan 2027'!AG32="x",'Jan 2027'!AG32="X"),1,0))</f>
        <v/>
      </c>
      <c r="AB125" s="345">
        <f>IF($A125="","",IF(OR('Jan 2027'!AG34=TRUE,'Jan 2027'!AG34="x",'Jan 2027'!AG34="X"),1,0))</f>
        <v/>
      </c>
      <c r="AC125" s="345">
        <f>IF($A125="","",IF(OR('Jan 2027'!AG35=TRUE,'Jan 2027'!AG35="x",'Jan 2027'!AG35="X"),1,0))</f>
        <v/>
      </c>
      <c r="AD125" s="345">
        <f>IF($A125="","",IF(OR('Jan 2027'!AG36=TRUE,'Jan 2027'!AG36="x",'Jan 2027'!AG36="X"),1,0))</f>
        <v/>
      </c>
      <c r="AE125" s="345">
        <f>IF($A125="","",IF(OR('Jan 2027'!AG37=TRUE,'Jan 2027'!AG37="x",'Jan 2027'!AG37="X"),1,0))</f>
        <v/>
      </c>
      <c r="AF125" s="345">
        <f>IF($A125="","",IF('Jan 2027'!AG59="","",'Jan 2027'!AG59))</f>
        <v/>
      </c>
      <c r="AG125" s="345">
        <f>IF($A125="","",IF('Jan 2027'!AG60="","",'Jan 2027'!AG60))</f>
        <v/>
      </c>
      <c r="AH125" s="345">
        <f>IF($A125="","",IF('Jan 2027'!AG61="","",'Jan 2027'!AG61))</f>
        <v/>
      </c>
      <c r="AI125" s="345">
        <f>IF($A125="","",IF('Jan 2027'!AG62="","",'Jan 2027'!AG62))</f>
        <v/>
      </c>
      <c r="AJ125" s="345">
        <f>IF($A125="","",IF('Jan 2027'!AG63="","",'Jan 2027'!AG63))</f>
        <v/>
      </c>
      <c r="AK125" s="345">
        <f>IF($A125="","",IF('Jan 2027'!AG64="","",'Jan 2027'!AG64))</f>
        <v/>
      </c>
      <c r="AL125" s="345">
        <f>IF($A125="","",IF('Jan 2027'!AG65="","",'Jan 2027'!AG65))</f>
        <v/>
      </c>
      <c r="AM125" s="345">
        <f>IF($A125="","",IF('Jan 2027'!AG66="","",'Jan 2027'!AG66))</f>
        <v/>
      </c>
      <c r="AN125" s="345">
        <f>IF($A125="","",IF('Jan 2027'!AG67="","",'Jan 2027'!AG67))</f>
        <v/>
      </c>
      <c r="AO125" s="345">
        <f>IF($A125="",0,IF(AND($A125&gt;=TrackStart,$A125&lt;=TODAY()),1,0))</f>
        <v/>
      </c>
      <c r="AP125" s="345">
        <f>IF($A125="",0,IF(SUM(F125:AE125)+COUNT(AF125:AN125)&gt;0,1,0))</f>
        <v/>
      </c>
      <c r="AQ125" s="345">
        <f>IF($A125="","",INT(($A125-TrackStart)/7)+1)</f>
        <v/>
      </c>
      <c r="AR125" s="345">
        <f>IF($A125="","",IF(AQ125&lt;=1,Steps1,IF(AQ125=2,Steps2,Steps3)))</f>
        <v/>
      </c>
      <c r="AS125" s="345">
        <f>IF($A125="",0,IF(ISNUMBER(SEARCH(TEXT(D125,"0"),WorkDays&amp;"")),1,0))</f>
        <v/>
      </c>
      <c r="AT125" s="345">
        <f>IF($A125="",0,IF(ISNUMBER(SEARCH(TEXT(D125,"0"),StrDays&amp;"")),1,0))</f>
        <v/>
      </c>
      <c r="AU125" s="345">
        <f>IF($A125="",0,IF(ISNUMBER(AK125),IF(AK125&gt;=SleepMin,1,0),N125))</f>
        <v/>
      </c>
      <c r="AV125" s="345">
        <f>IF($A125="",0,MAX(I125,O125,S125,AC125))</f>
        <v/>
      </c>
      <c r="AW125" s="345">
        <f>IF($A125="",0,IF(ISNUMBER(AH125),IF(AH125&gt;=ProtHit,1,0),0))</f>
        <v/>
      </c>
      <c r="AX125" s="345">
        <f>IF($A125="",0,IF(ISNUMBER(AI125),IF(AI125&gt;=WaterHit,1,0),0))</f>
        <v/>
      </c>
      <c r="AY125" s="345">
        <f>IF($A125="",0,IF(ISNUMBER(AG125),IF(AG125&gt;=AR125,1,0),0))</f>
        <v/>
      </c>
      <c r="AZ125" s="345">
        <f>IF($A125="",0,G125)</f>
        <v/>
      </c>
      <c r="BA125" s="345">
        <f>IF($A125="",0,J125)</f>
        <v/>
      </c>
      <c r="BB125" s="345">
        <f>IF($A125="",0,K125)</f>
        <v/>
      </c>
      <c r="BC125" s="345">
        <f>IF($A125="",0,MAX(L125,AE125))</f>
        <v/>
      </c>
      <c r="BD125" s="344">
        <f>IF($A125="","",(AU125+AV125+AW125+AX125+AY125+AZ125+BB125+BC125+IF(AS125=1,BA125,0))/(8+AS125))</f>
        <v/>
      </c>
      <c r="BE125" s="344">
        <f>IF($A125="","",(IF(ISNUMBER(AI125),IF(AI125&gt;=WaterMVD,1,0),0)+AV125+IF(ISNUMBER(AH125),IF(AH125&gt;=ProtMVD,1,0),0)+MAX(H125,AD125)+AZ125+BB125+AU125)/7)</f>
        <v/>
      </c>
      <c r="BF125" s="344">
        <f>IF(AO125=0,"",IF(E125="S","",IF(AND(AP125=0,$A125=TODAY()),"",IF(E125="M",BE125,BD125))))</f>
        <v/>
      </c>
      <c r="BG125" s="344">
        <f>IF(AO125=0,"",IFERROR(AVERAGEIFS(Data!$BF$4:$BF$375,Data!$A$4:$A$375,"&gt;"&amp;($A125-7),Data!$A$4:$A$375,"&lt;="&amp;$A125),""))</f>
        <v/>
      </c>
      <c r="BH125" s="344">
        <f>IF(AO125=0,"",IFERROR(AVERAGEIFS(Data!$BF$4:$BF$375,Data!$A$4:$A$375,"&gt;"&amp;($A125-30),Data!$A$4:$A$375,"&lt;="&amp;$A125),""))</f>
        <v/>
      </c>
      <c r="BI125" s="359">
        <f>IF($A125="","",IFERROR(AVERAGEIFS(Data!$AF$4:$AF$375,Data!$A$4:$A$375,"&gt;"&amp;($A125-7),Data!$A$4:$A$375,"&lt;="&amp;$A125,Data!$AF$4:$AF$375,"&gt;0"),""))</f>
        <v/>
      </c>
      <c r="BJ125" s="345">
        <f>IF($A125="","",F125+G125+H125+I125+J125+K125+L125+M125+N125-IF(AS125=1,0,J125))</f>
        <v/>
      </c>
      <c r="BK125" s="345">
        <f>IF($A125="","",8+AS125)</f>
        <v/>
      </c>
      <c r="BL125" s="345">
        <f>IF(ISNUMBER(BF125),BF125,NA())</f>
        <v/>
      </c>
      <c r="BM125" s="345">
        <f>IF(ISNUMBER(AF125),AF125,NA())</f>
        <v/>
      </c>
      <c r="BN125" s="345">
        <f>IF(ISNUMBER(BI125),BI125,NA())</f>
        <v/>
      </c>
      <c r="BO125" s="345">
        <f>IF(ISNUMBER(AL125),AL125,NA())</f>
        <v/>
      </c>
      <c r="BP125" s="345">
        <f>IF(ISNUMBER(AM125),AM125,NA())</f>
        <v/>
      </c>
      <c r="BQ125" s="345">
        <f>IF(ISNUMBER(AN125),AN125,NA())</f>
        <v/>
      </c>
    </row>
    <row r="126">
      <c r="A126" s="358">
        <f>IF('Jan 2027'!AH7="","",'Jan 2027'!AH7)</f>
        <v/>
      </c>
      <c r="B126" s="345" t="n">
        <v>4</v>
      </c>
      <c r="C126" s="345">
        <f>IF($A126="","",30)</f>
        <v/>
      </c>
      <c r="D126" s="345">
        <f>IF($A126="","",WEEKDAY($A126,2))</f>
        <v/>
      </c>
      <c r="E126" s="345">
        <f>IF($A126="","",UPPER(TRIM('Jan 2027'!AH8)))</f>
        <v/>
      </c>
      <c r="F126" s="345">
        <f>IF($A126="","",IF(OR('Jan 2027'!AH10=TRUE,'Jan 2027'!AH10="x",'Jan 2027'!AH10="X"),1,0))</f>
        <v/>
      </c>
      <c r="G126" s="345">
        <f>IF($A126="","",IF(OR('Jan 2027'!AH11=TRUE,'Jan 2027'!AH11="x",'Jan 2027'!AH11="X"),1,0))</f>
        <v/>
      </c>
      <c r="H126" s="345">
        <f>IF($A126="","",IF(OR('Jan 2027'!AH12=TRUE,'Jan 2027'!AH12="x",'Jan 2027'!AH12="X"),1,0))</f>
        <v/>
      </c>
      <c r="I126" s="345">
        <f>IF($A126="","",IF(OR('Jan 2027'!AH13=TRUE,'Jan 2027'!AH13="x",'Jan 2027'!AH13="X"),1,0))</f>
        <v/>
      </c>
      <c r="J126" s="345">
        <f>IF($A126="","",IF(OR('Jan 2027'!AH14=TRUE,'Jan 2027'!AH14="x",'Jan 2027'!AH14="X"),1,0))</f>
        <v/>
      </c>
      <c r="K126" s="345">
        <f>IF($A126="","",IF(OR('Jan 2027'!AH15=TRUE,'Jan 2027'!AH15="x",'Jan 2027'!AH15="X"),1,0))</f>
        <v/>
      </c>
      <c r="L126" s="345">
        <f>IF($A126="","",IF(OR('Jan 2027'!AH16=TRUE,'Jan 2027'!AH16="x",'Jan 2027'!AH16="X"),1,0))</f>
        <v/>
      </c>
      <c r="M126" s="345">
        <f>IF($A126="","",IF(OR('Jan 2027'!AH17=TRUE,'Jan 2027'!AH17="x",'Jan 2027'!AH17="X"),1,0))</f>
        <v/>
      </c>
      <c r="N126" s="345">
        <f>IF($A126="","",IF(OR('Jan 2027'!AH18=TRUE,'Jan 2027'!AH18="x",'Jan 2027'!AH18="X"),1,0))</f>
        <v/>
      </c>
      <c r="O126" s="345">
        <f>IF($A126="","",IF(OR('Jan 2027'!AH20=TRUE,'Jan 2027'!AH20="x",'Jan 2027'!AH20="X"),1,0))</f>
        <v/>
      </c>
      <c r="P126" s="345">
        <f>IF($A126="","",IF(OR('Jan 2027'!AH21=TRUE,'Jan 2027'!AH21="x",'Jan 2027'!AH21="X"),1,0))</f>
        <v/>
      </c>
      <c r="Q126" s="345">
        <f>IF($A126="","",IF(OR('Jan 2027'!AH22=TRUE,'Jan 2027'!AH22="x",'Jan 2027'!AH22="X"),1,0))</f>
        <v/>
      </c>
      <c r="R126" s="345">
        <f>IF($A126="","",IF(OR('Jan 2027'!AH23=TRUE,'Jan 2027'!AH23="x",'Jan 2027'!AH23="X"),1,0))</f>
        <v/>
      </c>
      <c r="S126" s="345">
        <f>IF($A126="","",IF(OR('Jan 2027'!AH24=TRUE,'Jan 2027'!AH24="x",'Jan 2027'!AH24="X"),1,0))</f>
        <v/>
      </c>
      <c r="T126" s="345">
        <f>IF($A126="","",IF(OR('Jan 2027'!AH25=TRUE,'Jan 2027'!AH25="x",'Jan 2027'!AH25="X"),1,0))</f>
        <v/>
      </c>
      <c r="U126" s="345">
        <f>IF($A126="","",IF(OR('Jan 2027'!AH26=TRUE,'Jan 2027'!AH26="x",'Jan 2027'!AH26="X"),1,0))</f>
        <v/>
      </c>
      <c r="V126" s="345">
        <f>IF($A126="","",IF(OR('Jan 2027'!AH27=TRUE,'Jan 2027'!AH27="x",'Jan 2027'!AH27="X"),1,0))</f>
        <v/>
      </c>
      <c r="W126" s="345">
        <f>IF($A126="","",IF(OR('Jan 2027'!AH28=TRUE,'Jan 2027'!AH28="x",'Jan 2027'!AH28="X"),1,0))</f>
        <v/>
      </c>
      <c r="X126" s="345">
        <f>IF($A126="","",IF(OR('Jan 2027'!AH29=TRUE,'Jan 2027'!AH29="x",'Jan 2027'!AH29="X"),1,0))</f>
        <v/>
      </c>
      <c r="Y126" s="345">
        <f>IF($A126="","",IF(OR('Jan 2027'!AH30=TRUE,'Jan 2027'!AH30="x",'Jan 2027'!AH30="X"),1,0))</f>
        <v/>
      </c>
      <c r="Z126" s="345">
        <f>IF($A126="","",IF(OR('Jan 2027'!AH31=TRUE,'Jan 2027'!AH31="x",'Jan 2027'!AH31="X"),1,0))</f>
        <v/>
      </c>
      <c r="AA126" s="345">
        <f>IF($A126="","",IF(OR('Jan 2027'!AH32=TRUE,'Jan 2027'!AH32="x",'Jan 2027'!AH32="X"),1,0))</f>
        <v/>
      </c>
      <c r="AB126" s="345">
        <f>IF($A126="","",IF(OR('Jan 2027'!AH34=TRUE,'Jan 2027'!AH34="x",'Jan 2027'!AH34="X"),1,0))</f>
        <v/>
      </c>
      <c r="AC126" s="345">
        <f>IF($A126="","",IF(OR('Jan 2027'!AH35=TRUE,'Jan 2027'!AH35="x",'Jan 2027'!AH35="X"),1,0))</f>
        <v/>
      </c>
      <c r="AD126" s="345">
        <f>IF($A126="","",IF(OR('Jan 2027'!AH36=TRUE,'Jan 2027'!AH36="x",'Jan 2027'!AH36="X"),1,0))</f>
        <v/>
      </c>
      <c r="AE126" s="345">
        <f>IF($A126="","",IF(OR('Jan 2027'!AH37=TRUE,'Jan 2027'!AH37="x",'Jan 2027'!AH37="X"),1,0))</f>
        <v/>
      </c>
      <c r="AF126" s="345">
        <f>IF($A126="","",IF('Jan 2027'!AH59="","",'Jan 2027'!AH59))</f>
        <v/>
      </c>
      <c r="AG126" s="345">
        <f>IF($A126="","",IF('Jan 2027'!AH60="","",'Jan 2027'!AH60))</f>
        <v/>
      </c>
      <c r="AH126" s="345">
        <f>IF($A126="","",IF('Jan 2027'!AH61="","",'Jan 2027'!AH61))</f>
        <v/>
      </c>
      <c r="AI126" s="345">
        <f>IF($A126="","",IF('Jan 2027'!AH62="","",'Jan 2027'!AH62))</f>
        <v/>
      </c>
      <c r="AJ126" s="345">
        <f>IF($A126="","",IF('Jan 2027'!AH63="","",'Jan 2027'!AH63))</f>
        <v/>
      </c>
      <c r="AK126" s="345">
        <f>IF($A126="","",IF('Jan 2027'!AH64="","",'Jan 2027'!AH64))</f>
        <v/>
      </c>
      <c r="AL126" s="345">
        <f>IF($A126="","",IF('Jan 2027'!AH65="","",'Jan 2027'!AH65))</f>
        <v/>
      </c>
      <c r="AM126" s="345">
        <f>IF($A126="","",IF('Jan 2027'!AH66="","",'Jan 2027'!AH66))</f>
        <v/>
      </c>
      <c r="AN126" s="345">
        <f>IF($A126="","",IF('Jan 2027'!AH67="","",'Jan 2027'!AH67))</f>
        <v/>
      </c>
      <c r="AO126" s="345">
        <f>IF($A126="",0,IF(AND($A126&gt;=TrackStart,$A126&lt;=TODAY()),1,0))</f>
        <v/>
      </c>
      <c r="AP126" s="345">
        <f>IF($A126="",0,IF(SUM(F126:AE126)+COUNT(AF126:AN126)&gt;0,1,0))</f>
        <v/>
      </c>
      <c r="AQ126" s="345">
        <f>IF($A126="","",INT(($A126-TrackStart)/7)+1)</f>
        <v/>
      </c>
      <c r="AR126" s="345">
        <f>IF($A126="","",IF(AQ126&lt;=1,Steps1,IF(AQ126=2,Steps2,Steps3)))</f>
        <v/>
      </c>
      <c r="AS126" s="345">
        <f>IF($A126="",0,IF(ISNUMBER(SEARCH(TEXT(D126,"0"),WorkDays&amp;"")),1,0))</f>
        <v/>
      </c>
      <c r="AT126" s="345">
        <f>IF($A126="",0,IF(ISNUMBER(SEARCH(TEXT(D126,"0"),StrDays&amp;"")),1,0))</f>
        <v/>
      </c>
      <c r="AU126" s="345">
        <f>IF($A126="",0,IF(ISNUMBER(AK126),IF(AK126&gt;=SleepMin,1,0),N126))</f>
        <v/>
      </c>
      <c r="AV126" s="345">
        <f>IF($A126="",0,MAX(I126,O126,S126,AC126))</f>
        <v/>
      </c>
      <c r="AW126" s="345">
        <f>IF($A126="",0,IF(ISNUMBER(AH126),IF(AH126&gt;=ProtHit,1,0),0))</f>
        <v/>
      </c>
      <c r="AX126" s="345">
        <f>IF($A126="",0,IF(ISNUMBER(AI126),IF(AI126&gt;=WaterHit,1,0),0))</f>
        <v/>
      </c>
      <c r="AY126" s="345">
        <f>IF($A126="",0,IF(ISNUMBER(AG126),IF(AG126&gt;=AR126,1,0),0))</f>
        <v/>
      </c>
      <c r="AZ126" s="345">
        <f>IF($A126="",0,G126)</f>
        <v/>
      </c>
      <c r="BA126" s="345">
        <f>IF($A126="",0,J126)</f>
        <v/>
      </c>
      <c r="BB126" s="345">
        <f>IF($A126="",0,K126)</f>
        <v/>
      </c>
      <c r="BC126" s="345">
        <f>IF($A126="",0,MAX(L126,AE126))</f>
        <v/>
      </c>
      <c r="BD126" s="344">
        <f>IF($A126="","",(AU126+AV126+AW126+AX126+AY126+AZ126+BB126+BC126+IF(AS126=1,BA126,0))/(8+AS126))</f>
        <v/>
      </c>
      <c r="BE126" s="344">
        <f>IF($A126="","",(IF(ISNUMBER(AI126),IF(AI126&gt;=WaterMVD,1,0),0)+AV126+IF(ISNUMBER(AH126),IF(AH126&gt;=ProtMVD,1,0),0)+MAX(H126,AD126)+AZ126+BB126+AU126)/7)</f>
        <v/>
      </c>
      <c r="BF126" s="344">
        <f>IF(AO126=0,"",IF(E126="S","",IF(AND(AP126=0,$A126=TODAY()),"",IF(E126="M",BE126,BD126))))</f>
        <v/>
      </c>
      <c r="BG126" s="344">
        <f>IF(AO126=0,"",IFERROR(AVERAGEIFS(Data!$BF$4:$BF$375,Data!$A$4:$A$375,"&gt;"&amp;($A126-7),Data!$A$4:$A$375,"&lt;="&amp;$A126),""))</f>
        <v/>
      </c>
      <c r="BH126" s="344">
        <f>IF(AO126=0,"",IFERROR(AVERAGEIFS(Data!$BF$4:$BF$375,Data!$A$4:$A$375,"&gt;"&amp;($A126-30),Data!$A$4:$A$375,"&lt;="&amp;$A126),""))</f>
        <v/>
      </c>
      <c r="BI126" s="359">
        <f>IF($A126="","",IFERROR(AVERAGEIFS(Data!$AF$4:$AF$375,Data!$A$4:$A$375,"&gt;"&amp;($A126-7),Data!$A$4:$A$375,"&lt;="&amp;$A126,Data!$AF$4:$AF$375,"&gt;0"),""))</f>
        <v/>
      </c>
      <c r="BJ126" s="345">
        <f>IF($A126="","",F126+G126+H126+I126+J126+K126+L126+M126+N126-IF(AS126=1,0,J126))</f>
        <v/>
      </c>
      <c r="BK126" s="345">
        <f>IF($A126="","",8+AS126)</f>
        <v/>
      </c>
      <c r="BL126" s="345">
        <f>IF(ISNUMBER(BF126),BF126,NA())</f>
        <v/>
      </c>
      <c r="BM126" s="345">
        <f>IF(ISNUMBER(AF126),AF126,NA())</f>
        <v/>
      </c>
      <c r="BN126" s="345">
        <f>IF(ISNUMBER(BI126),BI126,NA())</f>
        <v/>
      </c>
      <c r="BO126" s="345">
        <f>IF(ISNUMBER(AL126),AL126,NA())</f>
        <v/>
      </c>
      <c r="BP126" s="345">
        <f>IF(ISNUMBER(AM126),AM126,NA())</f>
        <v/>
      </c>
      <c r="BQ126" s="345">
        <f>IF(ISNUMBER(AN126),AN126,NA())</f>
        <v/>
      </c>
    </row>
    <row r="127">
      <c r="A127" s="358">
        <f>IF('Jan 2027'!AI7="","",'Jan 2027'!AI7)</f>
        <v/>
      </c>
      <c r="B127" s="345" t="n">
        <v>4</v>
      </c>
      <c r="C127" s="345">
        <f>IF($A127="","",31)</f>
        <v/>
      </c>
      <c r="D127" s="345">
        <f>IF($A127="","",WEEKDAY($A127,2))</f>
        <v/>
      </c>
      <c r="E127" s="345">
        <f>IF($A127="","",UPPER(TRIM('Jan 2027'!AI8)))</f>
        <v/>
      </c>
      <c r="F127" s="345">
        <f>IF($A127="","",IF(OR('Jan 2027'!AI10=TRUE,'Jan 2027'!AI10="x",'Jan 2027'!AI10="X"),1,0))</f>
        <v/>
      </c>
      <c r="G127" s="345">
        <f>IF($A127="","",IF(OR('Jan 2027'!AI11=TRUE,'Jan 2027'!AI11="x",'Jan 2027'!AI11="X"),1,0))</f>
        <v/>
      </c>
      <c r="H127" s="345">
        <f>IF($A127="","",IF(OR('Jan 2027'!AI12=TRUE,'Jan 2027'!AI12="x",'Jan 2027'!AI12="X"),1,0))</f>
        <v/>
      </c>
      <c r="I127" s="345">
        <f>IF($A127="","",IF(OR('Jan 2027'!AI13=TRUE,'Jan 2027'!AI13="x",'Jan 2027'!AI13="X"),1,0))</f>
        <v/>
      </c>
      <c r="J127" s="345">
        <f>IF($A127="","",IF(OR('Jan 2027'!AI14=TRUE,'Jan 2027'!AI14="x",'Jan 2027'!AI14="X"),1,0))</f>
        <v/>
      </c>
      <c r="K127" s="345">
        <f>IF($A127="","",IF(OR('Jan 2027'!AI15=TRUE,'Jan 2027'!AI15="x",'Jan 2027'!AI15="X"),1,0))</f>
        <v/>
      </c>
      <c r="L127" s="345">
        <f>IF($A127="","",IF(OR('Jan 2027'!AI16=TRUE,'Jan 2027'!AI16="x",'Jan 2027'!AI16="X"),1,0))</f>
        <v/>
      </c>
      <c r="M127" s="345">
        <f>IF($A127="","",IF(OR('Jan 2027'!AI17=TRUE,'Jan 2027'!AI17="x",'Jan 2027'!AI17="X"),1,0))</f>
        <v/>
      </c>
      <c r="N127" s="345">
        <f>IF($A127="","",IF(OR('Jan 2027'!AI18=TRUE,'Jan 2027'!AI18="x",'Jan 2027'!AI18="X"),1,0))</f>
        <v/>
      </c>
      <c r="O127" s="345">
        <f>IF($A127="","",IF(OR('Jan 2027'!AI20=TRUE,'Jan 2027'!AI20="x",'Jan 2027'!AI20="X"),1,0))</f>
        <v/>
      </c>
      <c r="P127" s="345">
        <f>IF($A127="","",IF(OR('Jan 2027'!AI21=TRUE,'Jan 2027'!AI21="x",'Jan 2027'!AI21="X"),1,0))</f>
        <v/>
      </c>
      <c r="Q127" s="345">
        <f>IF($A127="","",IF(OR('Jan 2027'!AI22=TRUE,'Jan 2027'!AI22="x",'Jan 2027'!AI22="X"),1,0))</f>
        <v/>
      </c>
      <c r="R127" s="345">
        <f>IF($A127="","",IF(OR('Jan 2027'!AI23=TRUE,'Jan 2027'!AI23="x",'Jan 2027'!AI23="X"),1,0))</f>
        <v/>
      </c>
      <c r="S127" s="345">
        <f>IF($A127="","",IF(OR('Jan 2027'!AI24=TRUE,'Jan 2027'!AI24="x",'Jan 2027'!AI24="X"),1,0))</f>
        <v/>
      </c>
      <c r="T127" s="345">
        <f>IF($A127="","",IF(OR('Jan 2027'!AI25=TRUE,'Jan 2027'!AI25="x",'Jan 2027'!AI25="X"),1,0))</f>
        <v/>
      </c>
      <c r="U127" s="345">
        <f>IF($A127="","",IF(OR('Jan 2027'!AI26=TRUE,'Jan 2027'!AI26="x",'Jan 2027'!AI26="X"),1,0))</f>
        <v/>
      </c>
      <c r="V127" s="345">
        <f>IF($A127="","",IF(OR('Jan 2027'!AI27=TRUE,'Jan 2027'!AI27="x",'Jan 2027'!AI27="X"),1,0))</f>
        <v/>
      </c>
      <c r="W127" s="345">
        <f>IF($A127="","",IF(OR('Jan 2027'!AI28=TRUE,'Jan 2027'!AI28="x",'Jan 2027'!AI28="X"),1,0))</f>
        <v/>
      </c>
      <c r="X127" s="345">
        <f>IF($A127="","",IF(OR('Jan 2027'!AI29=TRUE,'Jan 2027'!AI29="x",'Jan 2027'!AI29="X"),1,0))</f>
        <v/>
      </c>
      <c r="Y127" s="345">
        <f>IF($A127="","",IF(OR('Jan 2027'!AI30=TRUE,'Jan 2027'!AI30="x",'Jan 2027'!AI30="X"),1,0))</f>
        <v/>
      </c>
      <c r="Z127" s="345">
        <f>IF($A127="","",IF(OR('Jan 2027'!AI31=TRUE,'Jan 2027'!AI31="x",'Jan 2027'!AI31="X"),1,0))</f>
        <v/>
      </c>
      <c r="AA127" s="345">
        <f>IF($A127="","",IF(OR('Jan 2027'!AI32=TRUE,'Jan 2027'!AI32="x",'Jan 2027'!AI32="X"),1,0))</f>
        <v/>
      </c>
      <c r="AB127" s="345">
        <f>IF($A127="","",IF(OR('Jan 2027'!AI34=TRUE,'Jan 2027'!AI34="x",'Jan 2027'!AI34="X"),1,0))</f>
        <v/>
      </c>
      <c r="AC127" s="345">
        <f>IF($A127="","",IF(OR('Jan 2027'!AI35=TRUE,'Jan 2027'!AI35="x",'Jan 2027'!AI35="X"),1,0))</f>
        <v/>
      </c>
      <c r="AD127" s="345">
        <f>IF($A127="","",IF(OR('Jan 2027'!AI36=TRUE,'Jan 2027'!AI36="x",'Jan 2027'!AI36="X"),1,0))</f>
        <v/>
      </c>
      <c r="AE127" s="345">
        <f>IF($A127="","",IF(OR('Jan 2027'!AI37=TRUE,'Jan 2027'!AI37="x",'Jan 2027'!AI37="X"),1,0))</f>
        <v/>
      </c>
      <c r="AF127" s="345">
        <f>IF($A127="","",IF('Jan 2027'!AI59="","",'Jan 2027'!AI59))</f>
        <v/>
      </c>
      <c r="AG127" s="345">
        <f>IF($A127="","",IF('Jan 2027'!AI60="","",'Jan 2027'!AI60))</f>
        <v/>
      </c>
      <c r="AH127" s="345">
        <f>IF($A127="","",IF('Jan 2027'!AI61="","",'Jan 2027'!AI61))</f>
        <v/>
      </c>
      <c r="AI127" s="345">
        <f>IF($A127="","",IF('Jan 2027'!AI62="","",'Jan 2027'!AI62))</f>
        <v/>
      </c>
      <c r="AJ127" s="345">
        <f>IF($A127="","",IF('Jan 2027'!AI63="","",'Jan 2027'!AI63))</f>
        <v/>
      </c>
      <c r="AK127" s="345">
        <f>IF($A127="","",IF('Jan 2027'!AI64="","",'Jan 2027'!AI64))</f>
        <v/>
      </c>
      <c r="AL127" s="345">
        <f>IF($A127="","",IF('Jan 2027'!AI65="","",'Jan 2027'!AI65))</f>
        <v/>
      </c>
      <c r="AM127" s="345">
        <f>IF($A127="","",IF('Jan 2027'!AI66="","",'Jan 2027'!AI66))</f>
        <v/>
      </c>
      <c r="AN127" s="345">
        <f>IF($A127="","",IF('Jan 2027'!AI67="","",'Jan 2027'!AI67))</f>
        <v/>
      </c>
      <c r="AO127" s="345">
        <f>IF($A127="",0,IF(AND($A127&gt;=TrackStart,$A127&lt;=TODAY()),1,0))</f>
        <v/>
      </c>
      <c r="AP127" s="345">
        <f>IF($A127="",0,IF(SUM(F127:AE127)+COUNT(AF127:AN127)&gt;0,1,0))</f>
        <v/>
      </c>
      <c r="AQ127" s="345">
        <f>IF($A127="","",INT(($A127-TrackStart)/7)+1)</f>
        <v/>
      </c>
      <c r="AR127" s="345">
        <f>IF($A127="","",IF(AQ127&lt;=1,Steps1,IF(AQ127=2,Steps2,Steps3)))</f>
        <v/>
      </c>
      <c r="AS127" s="345">
        <f>IF($A127="",0,IF(ISNUMBER(SEARCH(TEXT(D127,"0"),WorkDays&amp;"")),1,0))</f>
        <v/>
      </c>
      <c r="AT127" s="345">
        <f>IF($A127="",0,IF(ISNUMBER(SEARCH(TEXT(D127,"0"),StrDays&amp;"")),1,0))</f>
        <v/>
      </c>
      <c r="AU127" s="345">
        <f>IF($A127="",0,IF(ISNUMBER(AK127),IF(AK127&gt;=SleepMin,1,0),N127))</f>
        <v/>
      </c>
      <c r="AV127" s="345">
        <f>IF($A127="",0,MAX(I127,O127,S127,AC127))</f>
        <v/>
      </c>
      <c r="AW127" s="345">
        <f>IF($A127="",0,IF(ISNUMBER(AH127),IF(AH127&gt;=ProtHit,1,0),0))</f>
        <v/>
      </c>
      <c r="AX127" s="345">
        <f>IF($A127="",0,IF(ISNUMBER(AI127),IF(AI127&gt;=WaterHit,1,0),0))</f>
        <v/>
      </c>
      <c r="AY127" s="345">
        <f>IF($A127="",0,IF(ISNUMBER(AG127),IF(AG127&gt;=AR127,1,0),0))</f>
        <v/>
      </c>
      <c r="AZ127" s="345">
        <f>IF($A127="",0,G127)</f>
        <v/>
      </c>
      <c r="BA127" s="345">
        <f>IF($A127="",0,J127)</f>
        <v/>
      </c>
      <c r="BB127" s="345">
        <f>IF($A127="",0,K127)</f>
        <v/>
      </c>
      <c r="BC127" s="345">
        <f>IF($A127="",0,MAX(L127,AE127))</f>
        <v/>
      </c>
      <c r="BD127" s="344">
        <f>IF($A127="","",(AU127+AV127+AW127+AX127+AY127+AZ127+BB127+BC127+IF(AS127=1,BA127,0))/(8+AS127))</f>
        <v/>
      </c>
      <c r="BE127" s="344">
        <f>IF($A127="","",(IF(ISNUMBER(AI127),IF(AI127&gt;=WaterMVD,1,0),0)+AV127+IF(ISNUMBER(AH127),IF(AH127&gt;=ProtMVD,1,0),0)+MAX(H127,AD127)+AZ127+BB127+AU127)/7)</f>
        <v/>
      </c>
      <c r="BF127" s="344">
        <f>IF(AO127=0,"",IF(E127="S","",IF(AND(AP127=0,$A127=TODAY()),"",IF(E127="M",BE127,BD127))))</f>
        <v/>
      </c>
      <c r="BG127" s="344">
        <f>IF(AO127=0,"",IFERROR(AVERAGEIFS(Data!$BF$4:$BF$375,Data!$A$4:$A$375,"&gt;"&amp;($A127-7),Data!$A$4:$A$375,"&lt;="&amp;$A127),""))</f>
        <v/>
      </c>
      <c r="BH127" s="344">
        <f>IF(AO127=0,"",IFERROR(AVERAGEIFS(Data!$BF$4:$BF$375,Data!$A$4:$A$375,"&gt;"&amp;($A127-30),Data!$A$4:$A$375,"&lt;="&amp;$A127),""))</f>
        <v/>
      </c>
      <c r="BI127" s="359">
        <f>IF($A127="","",IFERROR(AVERAGEIFS(Data!$AF$4:$AF$375,Data!$A$4:$A$375,"&gt;"&amp;($A127-7),Data!$A$4:$A$375,"&lt;="&amp;$A127,Data!$AF$4:$AF$375,"&gt;0"),""))</f>
        <v/>
      </c>
      <c r="BJ127" s="345">
        <f>IF($A127="","",F127+G127+H127+I127+J127+K127+L127+M127+N127-IF(AS127=1,0,J127))</f>
        <v/>
      </c>
      <c r="BK127" s="345">
        <f>IF($A127="","",8+AS127)</f>
        <v/>
      </c>
      <c r="BL127" s="345">
        <f>IF(ISNUMBER(BF127),BF127,NA())</f>
        <v/>
      </c>
      <c r="BM127" s="345">
        <f>IF(ISNUMBER(AF127),AF127,NA())</f>
        <v/>
      </c>
      <c r="BN127" s="345">
        <f>IF(ISNUMBER(BI127),BI127,NA())</f>
        <v/>
      </c>
      <c r="BO127" s="345">
        <f>IF(ISNUMBER(AL127),AL127,NA())</f>
        <v/>
      </c>
      <c r="BP127" s="345">
        <f>IF(ISNUMBER(AM127),AM127,NA())</f>
        <v/>
      </c>
      <c r="BQ127" s="345">
        <f>IF(ISNUMBER(AN127),AN127,NA())</f>
        <v/>
      </c>
    </row>
    <row r="128">
      <c r="A128" s="358">
        <f>IF('Feb 2027'!E7="","",'Feb 2027'!E7)</f>
        <v/>
      </c>
      <c r="B128" s="345" t="n">
        <v>5</v>
      </c>
      <c r="C128" s="345">
        <f>IF($A128="","",1)</f>
        <v/>
      </c>
      <c r="D128" s="345">
        <f>IF($A128="","",WEEKDAY($A128,2))</f>
        <v/>
      </c>
      <c r="E128" s="345">
        <f>IF($A128="","",UPPER(TRIM('Feb 2027'!E8)))</f>
        <v/>
      </c>
      <c r="F128" s="345">
        <f>IF($A128="","",IF(OR('Feb 2027'!E10=TRUE,'Feb 2027'!E10="x",'Feb 2027'!E10="X"),1,0))</f>
        <v/>
      </c>
      <c r="G128" s="345">
        <f>IF($A128="","",IF(OR('Feb 2027'!E11=TRUE,'Feb 2027'!E11="x",'Feb 2027'!E11="X"),1,0))</f>
        <v/>
      </c>
      <c r="H128" s="345">
        <f>IF($A128="","",IF(OR('Feb 2027'!E12=TRUE,'Feb 2027'!E12="x",'Feb 2027'!E12="X"),1,0))</f>
        <v/>
      </c>
      <c r="I128" s="345">
        <f>IF($A128="","",IF(OR('Feb 2027'!E13=TRUE,'Feb 2027'!E13="x",'Feb 2027'!E13="X"),1,0))</f>
        <v/>
      </c>
      <c r="J128" s="345">
        <f>IF($A128="","",IF(OR('Feb 2027'!E14=TRUE,'Feb 2027'!E14="x",'Feb 2027'!E14="X"),1,0))</f>
        <v/>
      </c>
      <c r="K128" s="345">
        <f>IF($A128="","",IF(OR('Feb 2027'!E15=TRUE,'Feb 2027'!E15="x",'Feb 2027'!E15="X"),1,0))</f>
        <v/>
      </c>
      <c r="L128" s="345">
        <f>IF($A128="","",IF(OR('Feb 2027'!E16=TRUE,'Feb 2027'!E16="x",'Feb 2027'!E16="X"),1,0))</f>
        <v/>
      </c>
      <c r="M128" s="345">
        <f>IF($A128="","",IF(OR('Feb 2027'!E17=TRUE,'Feb 2027'!E17="x",'Feb 2027'!E17="X"),1,0))</f>
        <v/>
      </c>
      <c r="N128" s="345">
        <f>IF($A128="","",IF(OR('Feb 2027'!E18=TRUE,'Feb 2027'!E18="x",'Feb 2027'!E18="X"),1,0))</f>
        <v/>
      </c>
      <c r="O128" s="345">
        <f>IF($A128="","",IF(OR('Feb 2027'!E20=TRUE,'Feb 2027'!E20="x",'Feb 2027'!E20="X"),1,0))</f>
        <v/>
      </c>
      <c r="P128" s="345">
        <f>IF($A128="","",IF(OR('Feb 2027'!E21=TRUE,'Feb 2027'!E21="x",'Feb 2027'!E21="X"),1,0))</f>
        <v/>
      </c>
      <c r="Q128" s="345">
        <f>IF($A128="","",IF(OR('Feb 2027'!E22=TRUE,'Feb 2027'!E22="x",'Feb 2027'!E22="X"),1,0))</f>
        <v/>
      </c>
      <c r="R128" s="345">
        <f>IF($A128="","",IF(OR('Feb 2027'!E23=TRUE,'Feb 2027'!E23="x",'Feb 2027'!E23="X"),1,0))</f>
        <v/>
      </c>
      <c r="S128" s="345">
        <f>IF($A128="","",IF(OR('Feb 2027'!E24=TRUE,'Feb 2027'!E24="x",'Feb 2027'!E24="X"),1,0))</f>
        <v/>
      </c>
      <c r="T128" s="345">
        <f>IF($A128="","",IF(OR('Feb 2027'!E25=TRUE,'Feb 2027'!E25="x",'Feb 2027'!E25="X"),1,0))</f>
        <v/>
      </c>
      <c r="U128" s="345">
        <f>IF($A128="","",IF(OR('Feb 2027'!E26=TRUE,'Feb 2027'!E26="x",'Feb 2027'!E26="X"),1,0))</f>
        <v/>
      </c>
      <c r="V128" s="345">
        <f>IF($A128="","",IF(OR('Feb 2027'!E27=TRUE,'Feb 2027'!E27="x",'Feb 2027'!E27="X"),1,0))</f>
        <v/>
      </c>
      <c r="W128" s="345">
        <f>IF($A128="","",IF(OR('Feb 2027'!E28=TRUE,'Feb 2027'!E28="x",'Feb 2027'!E28="X"),1,0))</f>
        <v/>
      </c>
      <c r="X128" s="345">
        <f>IF($A128="","",IF(OR('Feb 2027'!E29=TRUE,'Feb 2027'!E29="x",'Feb 2027'!E29="X"),1,0))</f>
        <v/>
      </c>
      <c r="Y128" s="345">
        <f>IF($A128="","",IF(OR('Feb 2027'!E30=TRUE,'Feb 2027'!E30="x",'Feb 2027'!E30="X"),1,0))</f>
        <v/>
      </c>
      <c r="Z128" s="345">
        <f>IF($A128="","",IF(OR('Feb 2027'!E31=TRUE,'Feb 2027'!E31="x",'Feb 2027'!E31="X"),1,0))</f>
        <v/>
      </c>
      <c r="AA128" s="345">
        <f>IF($A128="","",IF(OR('Feb 2027'!E32=TRUE,'Feb 2027'!E32="x",'Feb 2027'!E32="X"),1,0))</f>
        <v/>
      </c>
      <c r="AB128" s="345">
        <f>IF($A128="","",IF(OR('Feb 2027'!E34=TRUE,'Feb 2027'!E34="x",'Feb 2027'!E34="X"),1,0))</f>
        <v/>
      </c>
      <c r="AC128" s="345">
        <f>IF($A128="","",IF(OR('Feb 2027'!E35=TRUE,'Feb 2027'!E35="x",'Feb 2027'!E35="X"),1,0))</f>
        <v/>
      </c>
      <c r="AD128" s="345">
        <f>IF($A128="","",IF(OR('Feb 2027'!E36=TRUE,'Feb 2027'!E36="x",'Feb 2027'!E36="X"),1,0))</f>
        <v/>
      </c>
      <c r="AE128" s="345">
        <f>IF($A128="","",IF(OR('Feb 2027'!E37=TRUE,'Feb 2027'!E37="x",'Feb 2027'!E37="X"),1,0))</f>
        <v/>
      </c>
      <c r="AF128" s="345">
        <f>IF($A128="","",IF('Feb 2027'!E59="","",'Feb 2027'!E59))</f>
        <v/>
      </c>
      <c r="AG128" s="345">
        <f>IF($A128="","",IF('Feb 2027'!E60="","",'Feb 2027'!E60))</f>
        <v/>
      </c>
      <c r="AH128" s="345">
        <f>IF($A128="","",IF('Feb 2027'!E61="","",'Feb 2027'!E61))</f>
        <v/>
      </c>
      <c r="AI128" s="345">
        <f>IF($A128="","",IF('Feb 2027'!E62="","",'Feb 2027'!E62))</f>
        <v/>
      </c>
      <c r="AJ128" s="345">
        <f>IF($A128="","",IF('Feb 2027'!E63="","",'Feb 2027'!E63))</f>
        <v/>
      </c>
      <c r="AK128" s="345">
        <f>IF($A128="","",IF('Feb 2027'!E64="","",'Feb 2027'!E64))</f>
        <v/>
      </c>
      <c r="AL128" s="345">
        <f>IF($A128="","",IF('Feb 2027'!E65="","",'Feb 2027'!E65))</f>
        <v/>
      </c>
      <c r="AM128" s="345">
        <f>IF($A128="","",IF('Feb 2027'!E66="","",'Feb 2027'!E66))</f>
        <v/>
      </c>
      <c r="AN128" s="345">
        <f>IF($A128="","",IF('Feb 2027'!E67="","",'Feb 2027'!E67))</f>
        <v/>
      </c>
      <c r="AO128" s="345">
        <f>IF($A128="",0,IF(AND($A128&gt;=TrackStart,$A128&lt;=TODAY()),1,0))</f>
        <v/>
      </c>
      <c r="AP128" s="345">
        <f>IF($A128="",0,IF(SUM(F128:AE128)+COUNT(AF128:AN128)&gt;0,1,0))</f>
        <v/>
      </c>
      <c r="AQ128" s="345">
        <f>IF($A128="","",INT(($A128-TrackStart)/7)+1)</f>
        <v/>
      </c>
      <c r="AR128" s="345">
        <f>IF($A128="","",IF(AQ128&lt;=1,Steps1,IF(AQ128=2,Steps2,Steps3)))</f>
        <v/>
      </c>
      <c r="AS128" s="345">
        <f>IF($A128="",0,IF(ISNUMBER(SEARCH(TEXT(D128,"0"),WorkDays&amp;"")),1,0))</f>
        <v/>
      </c>
      <c r="AT128" s="345">
        <f>IF($A128="",0,IF(ISNUMBER(SEARCH(TEXT(D128,"0"),StrDays&amp;"")),1,0))</f>
        <v/>
      </c>
      <c r="AU128" s="345">
        <f>IF($A128="",0,IF(ISNUMBER(AK128),IF(AK128&gt;=SleepMin,1,0),N128))</f>
        <v/>
      </c>
      <c r="AV128" s="345">
        <f>IF($A128="",0,MAX(I128,O128,S128,AC128))</f>
        <v/>
      </c>
      <c r="AW128" s="345">
        <f>IF($A128="",0,IF(ISNUMBER(AH128),IF(AH128&gt;=ProtHit,1,0),0))</f>
        <v/>
      </c>
      <c r="AX128" s="345">
        <f>IF($A128="",0,IF(ISNUMBER(AI128),IF(AI128&gt;=WaterHit,1,0),0))</f>
        <v/>
      </c>
      <c r="AY128" s="345">
        <f>IF($A128="",0,IF(ISNUMBER(AG128),IF(AG128&gt;=AR128,1,0),0))</f>
        <v/>
      </c>
      <c r="AZ128" s="345">
        <f>IF($A128="",0,G128)</f>
        <v/>
      </c>
      <c r="BA128" s="345">
        <f>IF($A128="",0,J128)</f>
        <v/>
      </c>
      <c r="BB128" s="345">
        <f>IF($A128="",0,K128)</f>
        <v/>
      </c>
      <c r="BC128" s="345">
        <f>IF($A128="",0,MAX(L128,AE128))</f>
        <v/>
      </c>
      <c r="BD128" s="344">
        <f>IF($A128="","",(AU128+AV128+AW128+AX128+AY128+AZ128+BB128+BC128+IF(AS128=1,BA128,0))/(8+AS128))</f>
        <v/>
      </c>
      <c r="BE128" s="344">
        <f>IF($A128="","",(IF(ISNUMBER(AI128),IF(AI128&gt;=WaterMVD,1,0),0)+AV128+IF(ISNUMBER(AH128),IF(AH128&gt;=ProtMVD,1,0),0)+MAX(H128,AD128)+AZ128+BB128+AU128)/7)</f>
        <v/>
      </c>
      <c r="BF128" s="344">
        <f>IF(AO128=0,"",IF(E128="S","",IF(AND(AP128=0,$A128=TODAY()),"",IF(E128="M",BE128,BD128))))</f>
        <v/>
      </c>
      <c r="BG128" s="344">
        <f>IF(AO128=0,"",IFERROR(AVERAGEIFS(Data!$BF$4:$BF$375,Data!$A$4:$A$375,"&gt;"&amp;($A128-7),Data!$A$4:$A$375,"&lt;="&amp;$A128),""))</f>
        <v/>
      </c>
      <c r="BH128" s="344">
        <f>IF(AO128=0,"",IFERROR(AVERAGEIFS(Data!$BF$4:$BF$375,Data!$A$4:$A$375,"&gt;"&amp;($A128-30),Data!$A$4:$A$375,"&lt;="&amp;$A128),""))</f>
        <v/>
      </c>
      <c r="BI128" s="359">
        <f>IF($A128="","",IFERROR(AVERAGEIFS(Data!$AF$4:$AF$375,Data!$A$4:$A$375,"&gt;"&amp;($A128-7),Data!$A$4:$A$375,"&lt;="&amp;$A128,Data!$AF$4:$AF$375,"&gt;0"),""))</f>
        <v/>
      </c>
      <c r="BJ128" s="345">
        <f>IF($A128="","",F128+G128+H128+I128+J128+K128+L128+M128+N128-IF(AS128=1,0,J128))</f>
        <v/>
      </c>
      <c r="BK128" s="345">
        <f>IF($A128="","",8+AS128)</f>
        <v/>
      </c>
      <c r="BL128" s="345">
        <f>IF(ISNUMBER(BF128),BF128,NA())</f>
        <v/>
      </c>
      <c r="BM128" s="345">
        <f>IF(ISNUMBER(AF128),AF128,NA())</f>
        <v/>
      </c>
      <c r="BN128" s="345">
        <f>IF(ISNUMBER(BI128),BI128,NA())</f>
        <v/>
      </c>
      <c r="BO128" s="345">
        <f>IF(ISNUMBER(AL128),AL128,NA())</f>
        <v/>
      </c>
      <c r="BP128" s="345">
        <f>IF(ISNUMBER(AM128),AM128,NA())</f>
        <v/>
      </c>
      <c r="BQ128" s="345">
        <f>IF(ISNUMBER(AN128),AN128,NA())</f>
        <v/>
      </c>
    </row>
    <row r="129">
      <c r="A129" s="358">
        <f>IF('Feb 2027'!F7="","",'Feb 2027'!F7)</f>
        <v/>
      </c>
      <c r="B129" s="345" t="n">
        <v>5</v>
      </c>
      <c r="C129" s="345">
        <f>IF($A129="","",2)</f>
        <v/>
      </c>
      <c r="D129" s="345">
        <f>IF($A129="","",WEEKDAY($A129,2))</f>
        <v/>
      </c>
      <c r="E129" s="345">
        <f>IF($A129="","",UPPER(TRIM('Feb 2027'!F8)))</f>
        <v/>
      </c>
      <c r="F129" s="345">
        <f>IF($A129="","",IF(OR('Feb 2027'!F10=TRUE,'Feb 2027'!F10="x",'Feb 2027'!F10="X"),1,0))</f>
        <v/>
      </c>
      <c r="G129" s="345">
        <f>IF($A129="","",IF(OR('Feb 2027'!F11=TRUE,'Feb 2027'!F11="x",'Feb 2027'!F11="X"),1,0))</f>
        <v/>
      </c>
      <c r="H129" s="345">
        <f>IF($A129="","",IF(OR('Feb 2027'!F12=TRUE,'Feb 2027'!F12="x",'Feb 2027'!F12="X"),1,0))</f>
        <v/>
      </c>
      <c r="I129" s="345">
        <f>IF($A129="","",IF(OR('Feb 2027'!F13=TRUE,'Feb 2027'!F13="x",'Feb 2027'!F13="X"),1,0))</f>
        <v/>
      </c>
      <c r="J129" s="345">
        <f>IF($A129="","",IF(OR('Feb 2027'!F14=TRUE,'Feb 2027'!F14="x",'Feb 2027'!F14="X"),1,0))</f>
        <v/>
      </c>
      <c r="K129" s="345">
        <f>IF($A129="","",IF(OR('Feb 2027'!F15=TRUE,'Feb 2027'!F15="x",'Feb 2027'!F15="X"),1,0))</f>
        <v/>
      </c>
      <c r="L129" s="345">
        <f>IF($A129="","",IF(OR('Feb 2027'!F16=TRUE,'Feb 2027'!F16="x",'Feb 2027'!F16="X"),1,0))</f>
        <v/>
      </c>
      <c r="M129" s="345">
        <f>IF($A129="","",IF(OR('Feb 2027'!F17=TRUE,'Feb 2027'!F17="x",'Feb 2027'!F17="X"),1,0))</f>
        <v/>
      </c>
      <c r="N129" s="345">
        <f>IF($A129="","",IF(OR('Feb 2027'!F18=TRUE,'Feb 2027'!F18="x",'Feb 2027'!F18="X"),1,0))</f>
        <v/>
      </c>
      <c r="O129" s="345">
        <f>IF($A129="","",IF(OR('Feb 2027'!F20=TRUE,'Feb 2027'!F20="x",'Feb 2027'!F20="X"),1,0))</f>
        <v/>
      </c>
      <c r="P129" s="345">
        <f>IF($A129="","",IF(OR('Feb 2027'!F21=TRUE,'Feb 2027'!F21="x",'Feb 2027'!F21="X"),1,0))</f>
        <v/>
      </c>
      <c r="Q129" s="345">
        <f>IF($A129="","",IF(OR('Feb 2027'!F22=TRUE,'Feb 2027'!F22="x",'Feb 2027'!F22="X"),1,0))</f>
        <v/>
      </c>
      <c r="R129" s="345">
        <f>IF($A129="","",IF(OR('Feb 2027'!F23=TRUE,'Feb 2027'!F23="x",'Feb 2027'!F23="X"),1,0))</f>
        <v/>
      </c>
      <c r="S129" s="345">
        <f>IF($A129="","",IF(OR('Feb 2027'!F24=TRUE,'Feb 2027'!F24="x",'Feb 2027'!F24="X"),1,0))</f>
        <v/>
      </c>
      <c r="T129" s="345">
        <f>IF($A129="","",IF(OR('Feb 2027'!F25=TRUE,'Feb 2027'!F25="x",'Feb 2027'!F25="X"),1,0))</f>
        <v/>
      </c>
      <c r="U129" s="345">
        <f>IF($A129="","",IF(OR('Feb 2027'!F26=TRUE,'Feb 2027'!F26="x",'Feb 2027'!F26="X"),1,0))</f>
        <v/>
      </c>
      <c r="V129" s="345">
        <f>IF($A129="","",IF(OR('Feb 2027'!F27=TRUE,'Feb 2027'!F27="x",'Feb 2027'!F27="X"),1,0))</f>
        <v/>
      </c>
      <c r="W129" s="345">
        <f>IF($A129="","",IF(OR('Feb 2027'!F28=TRUE,'Feb 2027'!F28="x",'Feb 2027'!F28="X"),1,0))</f>
        <v/>
      </c>
      <c r="X129" s="345">
        <f>IF($A129="","",IF(OR('Feb 2027'!F29=TRUE,'Feb 2027'!F29="x",'Feb 2027'!F29="X"),1,0))</f>
        <v/>
      </c>
      <c r="Y129" s="345">
        <f>IF($A129="","",IF(OR('Feb 2027'!F30=TRUE,'Feb 2027'!F30="x",'Feb 2027'!F30="X"),1,0))</f>
        <v/>
      </c>
      <c r="Z129" s="345">
        <f>IF($A129="","",IF(OR('Feb 2027'!F31=TRUE,'Feb 2027'!F31="x",'Feb 2027'!F31="X"),1,0))</f>
        <v/>
      </c>
      <c r="AA129" s="345">
        <f>IF($A129="","",IF(OR('Feb 2027'!F32=TRUE,'Feb 2027'!F32="x",'Feb 2027'!F32="X"),1,0))</f>
        <v/>
      </c>
      <c r="AB129" s="345">
        <f>IF($A129="","",IF(OR('Feb 2027'!F34=TRUE,'Feb 2027'!F34="x",'Feb 2027'!F34="X"),1,0))</f>
        <v/>
      </c>
      <c r="AC129" s="345">
        <f>IF($A129="","",IF(OR('Feb 2027'!F35=TRUE,'Feb 2027'!F35="x",'Feb 2027'!F35="X"),1,0))</f>
        <v/>
      </c>
      <c r="AD129" s="345">
        <f>IF($A129="","",IF(OR('Feb 2027'!F36=TRUE,'Feb 2027'!F36="x",'Feb 2027'!F36="X"),1,0))</f>
        <v/>
      </c>
      <c r="AE129" s="345">
        <f>IF($A129="","",IF(OR('Feb 2027'!F37=TRUE,'Feb 2027'!F37="x",'Feb 2027'!F37="X"),1,0))</f>
        <v/>
      </c>
      <c r="AF129" s="345">
        <f>IF($A129="","",IF('Feb 2027'!F59="","",'Feb 2027'!F59))</f>
        <v/>
      </c>
      <c r="AG129" s="345">
        <f>IF($A129="","",IF('Feb 2027'!F60="","",'Feb 2027'!F60))</f>
        <v/>
      </c>
      <c r="AH129" s="345">
        <f>IF($A129="","",IF('Feb 2027'!F61="","",'Feb 2027'!F61))</f>
        <v/>
      </c>
      <c r="AI129" s="345">
        <f>IF($A129="","",IF('Feb 2027'!F62="","",'Feb 2027'!F62))</f>
        <v/>
      </c>
      <c r="AJ129" s="345">
        <f>IF($A129="","",IF('Feb 2027'!F63="","",'Feb 2027'!F63))</f>
        <v/>
      </c>
      <c r="AK129" s="345">
        <f>IF($A129="","",IF('Feb 2027'!F64="","",'Feb 2027'!F64))</f>
        <v/>
      </c>
      <c r="AL129" s="345">
        <f>IF($A129="","",IF('Feb 2027'!F65="","",'Feb 2027'!F65))</f>
        <v/>
      </c>
      <c r="AM129" s="345">
        <f>IF($A129="","",IF('Feb 2027'!F66="","",'Feb 2027'!F66))</f>
        <v/>
      </c>
      <c r="AN129" s="345">
        <f>IF($A129="","",IF('Feb 2027'!F67="","",'Feb 2027'!F67))</f>
        <v/>
      </c>
      <c r="AO129" s="345">
        <f>IF($A129="",0,IF(AND($A129&gt;=TrackStart,$A129&lt;=TODAY()),1,0))</f>
        <v/>
      </c>
      <c r="AP129" s="345">
        <f>IF($A129="",0,IF(SUM(F129:AE129)+COUNT(AF129:AN129)&gt;0,1,0))</f>
        <v/>
      </c>
      <c r="AQ129" s="345">
        <f>IF($A129="","",INT(($A129-TrackStart)/7)+1)</f>
        <v/>
      </c>
      <c r="AR129" s="345">
        <f>IF($A129="","",IF(AQ129&lt;=1,Steps1,IF(AQ129=2,Steps2,Steps3)))</f>
        <v/>
      </c>
      <c r="AS129" s="345">
        <f>IF($A129="",0,IF(ISNUMBER(SEARCH(TEXT(D129,"0"),WorkDays&amp;"")),1,0))</f>
        <v/>
      </c>
      <c r="AT129" s="345">
        <f>IF($A129="",0,IF(ISNUMBER(SEARCH(TEXT(D129,"0"),StrDays&amp;"")),1,0))</f>
        <v/>
      </c>
      <c r="AU129" s="345">
        <f>IF($A129="",0,IF(ISNUMBER(AK129),IF(AK129&gt;=SleepMin,1,0),N129))</f>
        <v/>
      </c>
      <c r="AV129" s="345">
        <f>IF($A129="",0,MAX(I129,O129,S129,AC129))</f>
        <v/>
      </c>
      <c r="AW129" s="345">
        <f>IF($A129="",0,IF(ISNUMBER(AH129),IF(AH129&gt;=ProtHit,1,0),0))</f>
        <v/>
      </c>
      <c r="AX129" s="345">
        <f>IF($A129="",0,IF(ISNUMBER(AI129),IF(AI129&gt;=WaterHit,1,0),0))</f>
        <v/>
      </c>
      <c r="AY129" s="345">
        <f>IF($A129="",0,IF(ISNUMBER(AG129),IF(AG129&gt;=AR129,1,0),0))</f>
        <v/>
      </c>
      <c r="AZ129" s="345">
        <f>IF($A129="",0,G129)</f>
        <v/>
      </c>
      <c r="BA129" s="345">
        <f>IF($A129="",0,J129)</f>
        <v/>
      </c>
      <c r="BB129" s="345">
        <f>IF($A129="",0,K129)</f>
        <v/>
      </c>
      <c r="BC129" s="345">
        <f>IF($A129="",0,MAX(L129,AE129))</f>
        <v/>
      </c>
      <c r="BD129" s="344">
        <f>IF($A129="","",(AU129+AV129+AW129+AX129+AY129+AZ129+BB129+BC129+IF(AS129=1,BA129,0))/(8+AS129))</f>
        <v/>
      </c>
      <c r="BE129" s="344">
        <f>IF($A129="","",(IF(ISNUMBER(AI129),IF(AI129&gt;=WaterMVD,1,0),0)+AV129+IF(ISNUMBER(AH129),IF(AH129&gt;=ProtMVD,1,0),0)+MAX(H129,AD129)+AZ129+BB129+AU129)/7)</f>
        <v/>
      </c>
      <c r="BF129" s="344">
        <f>IF(AO129=0,"",IF(E129="S","",IF(AND(AP129=0,$A129=TODAY()),"",IF(E129="M",BE129,BD129))))</f>
        <v/>
      </c>
      <c r="BG129" s="344">
        <f>IF(AO129=0,"",IFERROR(AVERAGEIFS(Data!$BF$4:$BF$375,Data!$A$4:$A$375,"&gt;"&amp;($A129-7),Data!$A$4:$A$375,"&lt;="&amp;$A129),""))</f>
        <v/>
      </c>
      <c r="BH129" s="344">
        <f>IF(AO129=0,"",IFERROR(AVERAGEIFS(Data!$BF$4:$BF$375,Data!$A$4:$A$375,"&gt;"&amp;($A129-30),Data!$A$4:$A$375,"&lt;="&amp;$A129),""))</f>
        <v/>
      </c>
      <c r="BI129" s="359">
        <f>IF($A129="","",IFERROR(AVERAGEIFS(Data!$AF$4:$AF$375,Data!$A$4:$A$375,"&gt;"&amp;($A129-7),Data!$A$4:$A$375,"&lt;="&amp;$A129,Data!$AF$4:$AF$375,"&gt;0"),""))</f>
        <v/>
      </c>
      <c r="BJ129" s="345">
        <f>IF($A129="","",F129+G129+H129+I129+J129+K129+L129+M129+N129-IF(AS129=1,0,J129))</f>
        <v/>
      </c>
      <c r="BK129" s="345">
        <f>IF($A129="","",8+AS129)</f>
        <v/>
      </c>
      <c r="BL129" s="345">
        <f>IF(ISNUMBER(BF129),BF129,NA())</f>
        <v/>
      </c>
      <c r="BM129" s="345">
        <f>IF(ISNUMBER(AF129),AF129,NA())</f>
        <v/>
      </c>
      <c r="BN129" s="345">
        <f>IF(ISNUMBER(BI129),BI129,NA())</f>
        <v/>
      </c>
      <c r="BO129" s="345">
        <f>IF(ISNUMBER(AL129),AL129,NA())</f>
        <v/>
      </c>
      <c r="BP129" s="345">
        <f>IF(ISNUMBER(AM129),AM129,NA())</f>
        <v/>
      </c>
      <c r="BQ129" s="345">
        <f>IF(ISNUMBER(AN129),AN129,NA())</f>
        <v/>
      </c>
    </row>
    <row r="130">
      <c r="A130" s="358">
        <f>IF('Feb 2027'!G7="","",'Feb 2027'!G7)</f>
        <v/>
      </c>
      <c r="B130" s="345" t="n">
        <v>5</v>
      </c>
      <c r="C130" s="345">
        <f>IF($A130="","",3)</f>
        <v/>
      </c>
      <c r="D130" s="345">
        <f>IF($A130="","",WEEKDAY($A130,2))</f>
        <v/>
      </c>
      <c r="E130" s="345">
        <f>IF($A130="","",UPPER(TRIM('Feb 2027'!G8)))</f>
        <v/>
      </c>
      <c r="F130" s="345">
        <f>IF($A130="","",IF(OR('Feb 2027'!G10=TRUE,'Feb 2027'!G10="x",'Feb 2027'!G10="X"),1,0))</f>
        <v/>
      </c>
      <c r="G130" s="345">
        <f>IF($A130="","",IF(OR('Feb 2027'!G11=TRUE,'Feb 2027'!G11="x",'Feb 2027'!G11="X"),1,0))</f>
        <v/>
      </c>
      <c r="H130" s="345">
        <f>IF($A130="","",IF(OR('Feb 2027'!G12=TRUE,'Feb 2027'!G12="x",'Feb 2027'!G12="X"),1,0))</f>
        <v/>
      </c>
      <c r="I130" s="345">
        <f>IF($A130="","",IF(OR('Feb 2027'!G13=TRUE,'Feb 2027'!G13="x",'Feb 2027'!G13="X"),1,0))</f>
        <v/>
      </c>
      <c r="J130" s="345">
        <f>IF($A130="","",IF(OR('Feb 2027'!G14=TRUE,'Feb 2027'!G14="x",'Feb 2027'!G14="X"),1,0))</f>
        <v/>
      </c>
      <c r="K130" s="345">
        <f>IF($A130="","",IF(OR('Feb 2027'!G15=TRUE,'Feb 2027'!G15="x",'Feb 2027'!G15="X"),1,0))</f>
        <v/>
      </c>
      <c r="L130" s="345">
        <f>IF($A130="","",IF(OR('Feb 2027'!G16=TRUE,'Feb 2027'!G16="x",'Feb 2027'!G16="X"),1,0))</f>
        <v/>
      </c>
      <c r="M130" s="345">
        <f>IF($A130="","",IF(OR('Feb 2027'!G17=TRUE,'Feb 2027'!G17="x",'Feb 2027'!G17="X"),1,0))</f>
        <v/>
      </c>
      <c r="N130" s="345">
        <f>IF($A130="","",IF(OR('Feb 2027'!G18=TRUE,'Feb 2027'!G18="x",'Feb 2027'!G18="X"),1,0))</f>
        <v/>
      </c>
      <c r="O130" s="345">
        <f>IF($A130="","",IF(OR('Feb 2027'!G20=TRUE,'Feb 2027'!G20="x",'Feb 2027'!G20="X"),1,0))</f>
        <v/>
      </c>
      <c r="P130" s="345">
        <f>IF($A130="","",IF(OR('Feb 2027'!G21=TRUE,'Feb 2027'!G21="x",'Feb 2027'!G21="X"),1,0))</f>
        <v/>
      </c>
      <c r="Q130" s="345">
        <f>IF($A130="","",IF(OR('Feb 2027'!G22=TRUE,'Feb 2027'!G22="x",'Feb 2027'!G22="X"),1,0))</f>
        <v/>
      </c>
      <c r="R130" s="345">
        <f>IF($A130="","",IF(OR('Feb 2027'!G23=TRUE,'Feb 2027'!G23="x",'Feb 2027'!G23="X"),1,0))</f>
        <v/>
      </c>
      <c r="S130" s="345">
        <f>IF($A130="","",IF(OR('Feb 2027'!G24=TRUE,'Feb 2027'!G24="x",'Feb 2027'!G24="X"),1,0))</f>
        <v/>
      </c>
      <c r="T130" s="345">
        <f>IF($A130="","",IF(OR('Feb 2027'!G25=TRUE,'Feb 2027'!G25="x",'Feb 2027'!G25="X"),1,0))</f>
        <v/>
      </c>
      <c r="U130" s="345">
        <f>IF($A130="","",IF(OR('Feb 2027'!G26=TRUE,'Feb 2027'!G26="x",'Feb 2027'!G26="X"),1,0))</f>
        <v/>
      </c>
      <c r="V130" s="345">
        <f>IF($A130="","",IF(OR('Feb 2027'!G27=TRUE,'Feb 2027'!G27="x",'Feb 2027'!G27="X"),1,0))</f>
        <v/>
      </c>
      <c r="W130" s="345">
        <f>IF($A130="","",IF(OR('Feb 2027'!G28=TRUE,'Feb 2027'!G28="x",'Feb 2027'!G28="X"),1,0))</f>
        <v/>
      </c>
      <c r="X130" s="345">
        <f>IF($A130="","",IF(OR('Feb 2027'!G29=TRUE,'Feb 2027'!G29="x",'Feb 2027'!G29="X"),1,0))</f>
        <v/>
      </c>
      <c r="Y130" s="345">
        <f>IF($A130="","",IF(OR('Feb 2027'!G30=TRUE,'Feb 2027'!G30="x",'Feb 2027'!G30="X"),1,0))</f>
        <v/>
      </c>
      <c r="Z130" s="345">
        <f>IF($A130="","",IF(OR('Feb 2027'!G31=TRUE,'Feb 2027'!G31="x",'Feb 2027'!G31="X"),1,0))</f>
        <v/>
      </c>
      <c r="AA130" s="345">
        <f>IF($A130="","",IF(OR('Feb 2027'!G32=TRUE,'Feb 2027'!G32="x",'Feb 2027'!G32="X"),1,0))</f>
        <v/>
      </c>
      <c r="AB130" s="345">
        <f>IF($A130="","",IF(OR('Feb 2027'!G34=TRUE,'Feb 2027'!G34="x",'Feb 2027'!G34="X"),1,0))</f>
        <v/>
      </c>
      <c r="AC130" s="345">
        <f>IF($A130="","",IF(OR('Feb 2027'!G35=TRUE,'Feb 2027'!G35="x",'Feb 2027'!G35="X"),1,0))</f>
        <v/>
      </c>
      <c r="AD130" s="345">
        <f>IF($A130="","",IF(OR('Feb 2027'!G36=TRUE,'Feb 2027'!G36="x",'Feb 2027'!G36="X"),1,0))</f>
        <v/>
      </c>
      <c r="AE130" s="345">
        <f>IF($A130="","",IF(OR('Feb 2027'!G37=TRUE,'Feb 2027'!G37="x",'Feb 2027'!G37="X"),1,0))</f>
        <v/>
      </c>
      <c r="AF130" s="345">
        <f>IF($A130="","",IF('Feb 2027'!G59="","",'Feb 2027'!G59))</f>
        <v/>
      </c>
      <c r="AG130" s="345">
        <f>IF($A130="","",IF('Feb 2027'!G60="","",'Feb 2027'!G60))</f>
        <v/>
      </c>
      <c r="AH130" s="345">
        <f>IF($A130="","",IF('Feb 2027'!G61="","",'Feb 2027'!G61))</f>
        <v/>
      </c>
      <c r="AI130" s="345">
        <f>IF($A130="","",IF('Feb 2027'!G62="","",'Feb 2027'!G62))</f>
        <v/>
      </c>
      <c r="AJ130" s="345">
        <f>IF($A130="","",IF('Feb 2027'!G63="","",'Feb 2027'!G63))</f>
        <v/>
      </c>
      <c r="AK130" s="345">
        <f>IF($A130="","",IF('Feb 2027'!G64="","",'Feb 2027'!G64))</f>
        <v/>
      </c>
      <c r="AL130" s="345">
        <f>IF($A130="","",IF('Feb 2027'!G65="","",'Feb 2027'!G65))</f>
        <v/>
      </c>
      <c r="AM130" s="345">
        <f>IF($A130="","",IF('Feb 2027'!G66="","",'Feb 2027'!G66))</f>
        <v/>
      </c>
      <c r="AN130" s="345">
        <f>IF($A130="","",IF('Feb 2027'!G67="","",'Feb 2027'!G67))</f>
        <v/>
      </c>
      <c r="AO130" s="345">
        <f>IF($A130="",0,IF(AND($A130&gt;=TrackStart,$A130&lt;=TODAY()),1,0))</f>
        <v/>
      </c>
      <c r="AP130" s="345">
        <f>IF($A130="",0,IF(SUM(F130:AE130)+COUNT(AF130:AN130)&gt;0,1,0))</f>
        <v/>
      </c>
      <c r="AQ130" s="345">
        <f>IF($A130="","",INT(($A130-TrackStart)/7)+1)</f>
        <v/>
      </c>
      <c r="AR130" s="345">
        <f>IF($A130="","",IF(AQ130&lt;=1,Steps1,IF(AQ130=2,Steps2,Steps3)))</f>
        <v/>
      </c>
      <c r="AS130" s="345">
        <f>IF($A130="",0,IF(ISNUMBER(SEARCH(TEXT(D130,"0"),WorkDays&amp;"")),1,0))</f>
        <v/>
      </c>
      <c r="AT130" s="345">
        <f>IF($A130="",0,IF(ISNUMBER(SEARCH(TEXT(D130,"0"),StrDays&amp;"")),1,0))</f>
        <v/>
      </c>
      <c r="AU130" s="345">
        <f>IF($A130="",0,IF(ISNUMBER(AK130),IF(AK130&gt;=SleepMin,1,0),N130))</f>
        <v/>
      </c>
      <c r="AV130" s="345">
        <f>IF($A130="",0,MAX(I130,O130,S130,AC130))</f>
        <v/>
      </c>
      <c r="AW130" s="345">
        <f>IF($A130="",0,IF(ISNUMBER(AH130),IF(AH130&gt;=ProtHit,1,0),0))</f>
        <v/>
      </c>
      <c r="AX130" s="345">
        <f>IF($A130="",0,IF(ISNUMBER(AI130),IF(AI130&gt;=WaterHit,1,0),0))</f>
        <v/>
      </c>
      <c r="AY130" s="345">
        <f>IF($A130="",0,IF(ISNUMBER(AG130),IF(AG130&gt;=AR130,1,0),0))</f>
        <v/>
      </c>
      <c r="AZ130" s="345">
        <f>IF($A130="",0,G130)</f>
        <v/>
      </c>
      <c r="BA130" s="345">
        <f>IF($A130="",0,J130)</f>
        <v/>
      </c>
      <c r="BB130" s="345">
        <f>IF($A130="",0,K130)</f>
        <v/>
      </c>
      <c r="BC130" s="345">
        <f>IF($A130="",0,MAX(L130,AE130))</f>
        <v/>
      </c>
      <c r="BD130" s="344">
        <f>IF($A130="","",(AU130+AV130+AW130+AX130+AY130+AZ130+BB130+BC130+IF(AS130=1,BA130,0))/(8+AS130))</f>
        <v/>
      </c>
      <c r="BE130" s="344">
        <f>IF($A130="","",(IF(ISNUMBER(AI130),IF(AI130&gt;=WaterMVD,1,0),0)+AV130+IF(ISNUMBER(AH130),IF(AH130&gt;=ProtMVD,1,0),0)+MAX(H130,AD130)+AZ130+BB130+AU130)/7)</f>
        <v/>
      </c>
      <c r="BF130" s="344">
        <f>IF(AO130=0,"",IF(E130="S","",IF(AND(AP130=0,$A130=TODAY()),"",IF(E130="M",BE130,BD130))))</f>
        <v/>
      </c>
      <c r="BG130" s="344">
        <f>IF(AO130=0,"",IFERROR(AVERAGEIFS(Data!$BF$4:$BF$375,Data!$A$4:$A$375,"&gt;"&amp;($A130-7),Data!$A$4:$A$375,"&lt;="&amp;$A130),""))</f>
        <v/>
      </c>
      <c r="BH130" s="344">
        <f>IF(AO130=0,"",IFERROR(AVERAGEIFS(Data!$BF$4:$BF$375,Data!$A$4:$A$375,"&gt;"&amp;($A130-30),Data!$A$4:$A$375,"&lt;="&amp;$A130),""))</f>
        <v/>
      </c>
      <c r="BI130" s="359">
        <f>IF($A130="","",IFERROR(AVERAGEIFS(Data!$AF$4:$AF$375,Data!$A$4:$A$375,"&gt;"&amp;($A130-7),Data!$A$4:$A$375,"&lt;="&amp;$A130,Data!$AF$4:$AF$375,"&gt;0"),""))</f>
        <v/>
      </c>
      <c r="BJ130" s="345">
        <f>IF($A130="","",F130+G130+H130+I130+J130+K130+L130+M130+N130-IF(AS130=1,0,J130))</f>
        <v/>
      </c>
      <c r="BK130" s="345">
        <f>IF($A130="","",8+AS130)</f>
        <v/>
      </c>
      <c r="BL130" s="345">
        <f>IF(ISNUMBER(BF130),BF130,NA())</f>
        <v/>
      </c>
      <c r="BM130" s="345">
        <f>IF(ISNUMBER(AF130),AF130,NA())</f>
        <v/>
      </c>
      <c r="BN130" s="345">
        <f>IF(ISNUMBER(BI130),BI130,NA())</f>
        <v/>
      </c>
      <c r="BO130" s="345">
        <f>IF(ISNUMBER(AL130),AL130,NA())</f>
        <v/>
      </c>
      <c r="BP130" s="345">
        <f>IF(ISNUMBER(AM130),AM130,NA())</f>
        <v/>
      </c>
      <c r="BQ130" s="345">
        <f>IF(ISNUMBER(AN130),AN130,NA())</f>
        <v/>
      </c>
    </row>
    <row r="131">
      <c r="A131" s="358">
        <f>IF('Feb 2027'!H7="","",'Feb 2027'!H7)</f>
        <v/>
      </c>
      <c r="B131" s="345" t="n">
        <v>5</v>
      </c>
      <c r="C131" s="345">
        <f>IF($A131="","",4)</f>
        <v/>
      </c>
      <c r="D131" s="345">
        <f>IF($A131="","",WEEKDAY($A131,2))</f>
        <v/>
      </c>
      <c r="E131" s="345">
        <f>IF($A131="","",UPPER(TRIM('Feb 2027'!H8)))</f>
        <v/>
      </c>
      <c r="F131" s="345">
        <f>IF($A131="","",IF(OR('Feb 2027'!H10=TRUE,'Feb 2027'!H10="x",'Feb 2027'!H10="X"),1,0))</f>
        <v/>
      </c>
      <c r="G131" s="345">
        <f>IF($A131="","",IF(OR('Feb 2027'!H11=TRUE,'Feb 2027'!H11="x",'Feb 2027'!H11="X"),1,0))</f>
        <v/>
      </c>
      <c r="H131" s="345">
        <f>IF($A131="","",IF(OR('Feb 2027'!H12=TRUE,'Feb 2027'!H12="x",'Feb 2027'!H12="X"),1,0))</f>
        <v/>
      </c>
      <c r="I131" s="345">
        <f>IF($A131="","",IF(OR('Feb 2027'!H13=TRUE,'Feb 2027'!H13="x",'Feb 2027'!H13="X"),1,0))</f>
        <v/>
      </c>
      <c r="J131" s="345">
        <f>IF($A131="","",IF(OR('Feb 2027'!H14=TRUE,'Feb 2027'!H14="x",'Feb 2027'!H14="X"),1,0))</f>
        <v/>
      </c>
      <c r="K131" s="345">
        <f>IF($A131="","",IF(OR('Feb 2027'!H15=TRUE,'Feb 2027'!H15="x",'Feb 2027'!H15="X"),1,0))</f>
        <v/>
      </c>
      <c r="L131" s="345">
        <f>IF($A131="","",IF(OR('Feb 2027'!H16=TRUE,'Feb 2027'!H16="x",'Feb 2027'!H16="X"),1,0))</f>
        <v/>
      </c>
      <c r="M131" s="345">
        <f>IF($A131="","",IF(OR('Feb 2027'!H17=TRUE,'Feb 2027'!H17="x",'Feb 2027'!H17="X"),1,0))</f>
        <v/>
      </c>
      <c r="N131" s="345">
        <f>IF($A131="","",IF(OR('Feb 2027'!H18=TRUE,'Feb 2027'!H18="x",'Feb 2027'!H18="X"),1,0))</f>
        <v/>
      </c>
      <c r="O131" s="345">
        <f>IF($A131="","",IF(OR('Feb 2027'!H20=TRUE,'Feb 2027'!H20="x",'Feb 2027'!H20="X"),1,0))</f>
        <v/>
      </c>
      <c r="P131" s="345">
        <f>IF($A131="","",IF(OR('Feb 2027'!H21=TRUE,'Feb 2027'!H21="x",'Feb 2027'!H21="X"),1,0))</f>
        <v/>
      </c>
      <c r="Q131" s="345">
        <f>IF($A131="","",IF(OR('Feb 2027'!H22=TRUE,'Feb 2027'!H22="x",'Feb 2027'!H22="X"),1,0))</f>
        <v/>
      </c>
      <c r="R131" s="345">
        <f>IF($A131="","",IF(OR('Feb 2027'!H23=TRUE,'Feb 2027'!H23="x",'Feb 2027'!H23="X"),1,0))</f>
        <v/>
      </c>
      <c r="S131" s="345">
        <f>IF($A131="","",IF(OR('Feb 2027'!H24=TRUE,'Feb 2027'!H24="x",'Feb 2027'!H24="X"),1,0))</f>
        <v/>
      </c>
      <c r="T131" s="345">
        <f>IF($A131="","",IF(OR('Feb 2027'!H25=TRUE,'Feb 2027'!H25="x",'Feb 2027'!H25="X"),1,0))</f>
        <v/>
      </c>
      <c r="U131" s="345">
        <f>IF($A131="","",IF(OR('Feb 2027'!H26=TRUE,'Feb 2027'!H26="x",'Feb 2027'!H26="X"),1,0))</f>
        <v/>
      </c>
      <c r="V131" s="345">
        <f>IF($A131="","",IF(OR('Feb 2027'!H27=TRUE,'Feb 2027'!H27="x",'Feb 2027'!H27="X"),1,0))</f>
        <v/>
      </c>
      <c r="W131" s="345">
        <f>IF($A131="","",IF(OR('Feb 2027'!H28=TRUE,'Feb 2027'!H28="x",'Feb 2027'!H28="X"),1,0))</f>
        <v/>
      </c>
      <c r="X131" s="345">
        <f>IF($A131="","",IF(OR('Feb 2027'!H29=TRUE,'Feb 2027'!H29="x",'Feb 2027'!H29="X"),1,0))</f>
        <v/>
      </c>
      <c r="Y131" s="345">
        <f>IF($A131="","",IF(OR('Feb 2027'!H30=TRUE,'Feb 2027'!H30="x",'Feb 2027'!H30="X"),1,0))</f>
        <v/>
      </c>
      <c r="Z131" s="345">
        <f>IF($A131="","",IF(OR('Feb 2027'!H31=TRUE,'Feb 2027'!H31="x",'Feb 2027'!H31="X"),1,0))</f>
        <v/>
      </c>
      <c r="AA131" s="345">
        <f>IF($A131="","",IF(OR('Feb 2027'!H32=TRUE,'Feb 2027'!H32="x",'Feb 2027'!H32="X"),1,0))</f>
        <v/>
      </c>
      <c r="AB131" s="345">
        <f>IF($A131="","",IF(OR('Feb 2027'!H34=TRUE,'Feb 2027'!H34="x",'Feb 2027'!H34="X"),1,0))</f>
        <v/>
      </c>
      <c r="AC131" s="345">
        <f>IF($A131="","",IF(OR('Feb 2027'!H35=TRUE,'Feb 2027'!H35="x",'Feb 2027'!H35="X"),1,0))</f>
        <v/>
      </c>
      <c r="AD131" s="345">
        <f>IF($A131="","",IF(OR('Feb 2027'!H36=TRUE,'Feb 2027'!H36="x",'Feb 2027'!H36="X"),1,0))</f>
        <v/>
      </c>
      <c r="AE131" s="345">
        <f>IF($A131="","",IF(OR('Feb 2027'!H37=TRUE,'Feb 2027'!H37="x",'Feb 2027'!H37="X"),1,0))</f>
        <v/>
      </c>
      <c r="AF131" s="345">
        <f>IF($A131="","",IF('Feb 2027'!H59="","",'Feb 2027'!H59))</f>
        <v/>
      </c>
      <c r="AG131" s="345">
        <f>IF($A131="","",IF('Feb 2027'!H60="","",'Feb 2027'!H60))</f>
        <v/>
      </c>
      <c r="AH131" s="345">
        <f>IF($A131="","",IF('Feb 2027'!H61="","",'Feb 2027'!H61))</f>
        <v/>
      </c>
      <c r="AI131" s="345">
        <f>IF($A131="","",IF('Feb 2027'!H62="","",'Feb 2027'!H62))</f>
        <v/>
      </c>
      <c r="AJ131" s="345">
        <f>IF($A131="","",IF('Feb 2027'!H63="","",'Feb 2027'!H63))</f>
        <v/>
      </c>
      <c r="AK131" s="345">
        <f>IF($A131="","",IF('Feb 2027'!H64="","",'Feb 2027'!H64))</f>
        <v/>
      </c>
      <c r="AL131" s="345">
        <f>IF($A131="","",IF('Feb 2027'!H65="","",'Feb 2027'!H65))</f>
        <v/>
      </c>
      <c r="AM131" s="345">
        <f>IF($A131="","",IF('Feb 2027'!H66="","",'Feb 2027'!H66))</f>
        <v/>
      </c>
      <c r="AN131" s="345">
        <f>IF($A131="","",IF('Feb 2027'!H67="","",'Feb 2027'!H67))</f>
        <v/>
      </c>
      <c r="AO131" s="345">
        <f>IF($A131="",0,IF(AND($A131&gt;=TrackStart,$A131&lt;=TODAY()),1,0))</f>
        <v/>
      </c>
      <c r="AP131" s="345">
        <f>IF($A131="",0,IF(SUM(F131:AE131)+COUNT(AF131:AN131)&gt;0,1,0))</f>
        <v/>
      </c>
      <c r="AQ131" s="345">
        <f>IF($A131="","",INT(($A131-TrackStart)/7)+1)</f>
        <v/>
      </c>
      <c r="AR131" s="345">
        <f>IF($A131="","",IF(AQ131&lt;=1,Steps1,IF(AQ131=2,Steps2,Steps3)))</f>
        <v/>
      </c>
      <c r="AS131" s="345">
        <f>IF($A131="",0,IF(ISNUMBER(SEARCH(TEXT(D131,"0"),WorkDays&amp;"")),1,0))</f>
        <v/>
      </c>
      <c r="AT131" s="345">
        <f>IF($A131="",0,IF(ISNUMBER(SEARCH(TEXT(D131,"0"),StrDays&amp;"")),1,0))</f>
        <v/>
      </c>
      <c r="AU131" s="345">
        <f>IF($A131="",0,IF(ISNUMBER(AK131),IF(AK131&gt;=SleepMin,1,0),N131))</f>
        <v/>
      </c>
      <c r="AV131" s="345">
        <f>IF($A131="",0,MAX(I131,O131,S131,AC131))</f>
        <v/>
      </c>
      <c r="AW131" s="345">
        <f>IF($A131="",0,IF(ISNUMBER(AH131),IF(AH131&gt;=ProtHit,1,0),0))</f>
        <v/>
      </c>
      <c r="AX131" s="345">
        <f>IF($A131="",0,IF(ISNUMBER(AI131),IF(AI131&gt;=WaterHit,1,0),0))</f>
        <v/>
      </c>
      <c r="AY131" s="345">
        <f>IF($A131="",0,IF(ISNUMBER(AG131),IF(AG131&gt;=AR131,1,0),0))</f>
        <v/>
      </c>
      <c r="AZ131" s="345">
        <f>IF($A131="",0,G131)</f>
        <v/>
      </c>
      <c r="BA131" s="345">
        <f>IF($A131="",0,J131)</f>
        <v/>
      </c>
      <c r="BB131" s="345">
        <f>IF($A131="",0,K131)</f>
        <v/>
      </c>
      <c r="BC131" s="345">
        <f>IF($A131="",0,MAX(L131,AE131))</f>
        <v/>
      </c>
      <c r="BD131" s="344">
        <f>IF($A131="","",(AU131+AV131+AW131+AX131+AY131+AZ131+BB131+BC131+IF(AS131=1,BA131,0))/(8+AS131))</f>
        <v/>
      </c>
      <c r="BE131" s="344">
        <f>IF($A131="","",(IF(ISNUMBER(AI131),IF(AI131&gt;=WaterMVD,1,0),0)+AV131+IF(ISNUMBER(AH131),IF(AH131&gt;=ProtMVD,1,0),0)+MAX(H131,AD131)+AZ131+BB131+AU131)/7)</f>
        <v/>
      </c>
      <c r="BF131" s="344">
        <f>IF(AO131=0,"",IF(E131="S","",IF(AND(AP131=0,$A131=TODAY()),"",IF(E131="M",BE131,BD131))))</f>
        <v/>
      </c>
      <c r="BG131" s="344">
        <f>IF(AO131=0,"",IFERROR(AVERAGEIFS(Data!$BF$4:$BF$375,Data!$A$4:$A$375,"&gt;"&amp;($A131-7),Data!$A$4:$A$375,"&lt;="&amp;$A131),""))</f>
        <v/>
      </c>
      <c r="BH131" s="344">
        <f>IF(AO131=0,"",IFERROR(AVERAGEIFS(Data!$BF$4:$BF$375,Data!$A$4:$A$375,"&gt;"&amp;($A131-30),Data!$A$4:$A$375,"&lt;="&amp;$A131),""))</f>
        <v/>
      </c>
      <c r="BI131" s="359">
        <f>IF($A131="","",IFERROR(AVERAGEIFS(Data!$AF$4:$AF$375,Data!$A$4:$A$375,"&gt;"&amp;($A131-7),Data!$A$4:$A$375,"&lt;="&amp;$A131,Data!$AF$4:$AF$375,"&gt;0"),""))</f>
        <v/>
      </c>
      <c r="BJ131" s="345">
        <f>IF($A131="","",F131+G131+H131+I131+J131+K131+L131+M131+N131-IF(AS131=1,0,J131))</f>
        <v/>
      </c>
      <c r="BK131" s="345">
        <f>IF($A131="","",8+AS131)</f>
        <v/>
      </c>
      <c r="BL131" s="345">
        <f>IF(ISNUMBER(BF131),BF131,NA())</f>
        <v/>
      </c>
      <c r="BM131" s="345">
        <f>IF(ISNUMBER(AF131),AF131,NA())</f>
        <v/>
      </c>
      <c r="BN131" s="345">
        <f>IF(ISNUMBER(BI131),BI131,NA())</f>
        <v/>
      </c>
      <c r="BO131" s="345">
        <f>IF(ISNUMBER(AL131),AL131,NA())</f>
        <v/>
      </c>
      <c r="BP131" s="345">
        <f>IF(ISNUMBER(AM131),AM131,NA())</f>
        <v/>
      </c>
      <c r="BQ131" s="345">
        <f>IF(ISNUMBER(AN131),AN131,NA())</f>
        <v/>
      </c>
    </row>
    <row r="132">
      <c r="A132" s="358">
        <f>IF('Feb 2027'!I7="","",'Feb 2027'!I7)</f>
        <v/>
      </c>
      <c r="B132" s="345" t="n">
        <v>5</v>
      </c>
      <c r="C132" s="345">
        <f>IF($A132="","",5)</f>
        <v/>
      </c>
      <c r="D132" s="345">
        <f>IF($A132="","",WEEKDAY($A132,2))</f>
        <v/>
      </c>
      <c r="E132" s="345">
        <f>IF($A132="","",UPPER(TRIM('Feb 2027'!I8)))</f>
        <v/>
      </c>
      <c r="F132" s="345">
        <f>IF($A132="","",IF(OR('Feb 2027'!I10=TRUE,'Feb 2027'!I10="x",'Feb 2027'!I10="X"),1,0))</f>
        <v/>
      </c>
      <c r="G132" s="345">
        <f>IF($A132="","",IF(OR('Feb 2027'!I11=TRUE,'Feb 2027'!I11="x",'Feb 2027'!I11="X"),1,0))</f>
        <v/>
      </c>
      <c r="H132" s="345">
        <f>IF($A132="","",IF(OR('Feb 2027'!I12=TRUE,'Feb 2027'!I12="x",'Feb 2027'!I12="X"),1,0))</f>
        <v/>
      </c>
      <c r="I132" s="345">
        <f>IF($A132="","",IF(OR('Feb 2027'!I13=TRUE,'Feb 2027'!I13="x",'Feb 2027'!I13="X"),1,0))</f>
        <v/>
      </c>
      <c r="J132" s="345">
        <f>IF($A132="","",IF(OR('Feb 2027'!I14=TRUE,'Feb 2027'!I14="x",'Feb 2027'!I14="X"),1,0))</f>
        <v/>
      </c>
      <c r="K132" s="345">
        <f>IF($A132="","",IF(OR('Feb 2027'!I15=TRUE,'Feb 2027'!I15="x",'Feb 2027'!I15="X"),1,0))</f>
        <v/>
      </c>
      <c r="L132" s="345">
        <f>IF($A132="","",IF(OR('Feb 2027'!I16=TRUE,'Feb 2027'!I16="x",'Feb 2027'!I16="X"),1,0))</f>
        <v/>
      </c>
      <c r="M132" s="345">
        <f>IF($A132="","",IF(OR('Feb 2027'!I17=TRUE,'Feb 2027'!I17="x",'Feb 2027'!I17="X"),1,0))</f>
        <v/>
      </c>
      <c r="N132" s="345">
        <f>IF($A132="","",IF(OR('Feb 2027'!I18=TRUE,'Feb 2027'!I18="x",'Feb 2027'!I18="X"),1,0))</f>
        <v/>
      </c>
      <c r="O132" s="345">
        <f>IF($A132="","",IF(OR('Feb 2027'!I20=TRUE,'Feb 2027'!I20="x",'Feb 2027'!I20="X"),1,0))</f>
        <v/>
      </c>
      <c r="P132" s="345">
        <f>IF($A132="","",IF(OR('Feb 2027'!I21=TRUE,'Feb 2027'!I21="x",'Feb 2027'!I21="X"),1,0))</f>
        <v/>
      </c>
      <c r="Q132" s="345">
        <f>IF($A132="","",IF(OR('Feb 2027'!I22=TRUE,'Feb 2027'!I22="x",'Feb 2027'!I22="X"),1,0))</f>
        <v/>
      </c>
      <c r="R132" s="345">
        <f>IF($A132="","",IF(OR('Feb 2027'!I23=TRUE,'Feb 2027'!I23="x",'Feb 2027'!I23="X"),1,0))</f>
        <v/>
      </c>
      <c r="S132" s="345">
        <f>IF($A132="","",IF(OR('Feb 2027'!I24=TRUE,'Feb 2027'!I24="x",'Feb 2027'!I24="X"),1,0))</f>
        <v/>
      </c>
      <c r="T132" s="345">
        <f>IF($A132="","",IF(OR('Feb 2027'!I25=TRUE,'Feb 2027'!I25="x",'Feb 2027'!I25="X"),1,0))</f>
        <v/>
      </c>
      <c r="U132" s="345">
        <f>IF($A132="","",IF(OR('Feb 2027'!I26=TRUE,'Feb 2027'!I26="x",'Feb 2027'!I26="X"),1,0))</f>
        <v/>
      </c>
      <c r="V132" s="345">
        <f>IF($A132="","",IF(OR('Feb 2027'!I27=TRUE,'Feb 2027'!I27="x",'Feb 2027'!I27="X"),1,0))</f>
        <v/>
      </c>
      <c r="W132" s="345">
        <f>IF($A132="","",IF(OR('Feb 2027'!I28=TRUE,'Feb 2027'!I28="x",'Feb 2027'!I28="X"),1,0))</f>
        <v/>
      </c>
      <c r="X132" s="345">
        <f>IF($A132="","",IF(OR('Feb 2027'!I29=TRUE,'Feb 2027'!I29="x",'Feb 2027'!I29="X"),1,0))</f>
        <v/>
      </c>
      <c r="Y132" s="345">
        <f>IF($A132="","",IF(OR('Feb 2027'!I30=TRUE,'Feb 2027'!I30="x",'Feb 2027'!I30="X"),1,0))</f>
        <v/>
      </c>
      <c r="Z132" s="345">
        <f>IF($A132="","",IF(OR('Feb 2027'!I31=TRUE,'Feb 2027'!I31="x",'Feb 2027'!I31="X"),1,0))</f>
        <v/>
      </c>
      <c r="AA132" s="345">
        <f>IF($A132="","",IF(OR('Feb 2027'!I32=TRUE,'Feb 2027'!I32="x",'Feb 2027'!I32="X"),1,0))</f>
        <v/>
      </c>
      <c r="AB132" s="345">
        <f>IF($A132="","",IF(OR('Feb 2027'!I34=TRUE,'Feb 2027'!I34="x",'Feb 2027'!I34="X"),1,0))</f>
        <v/>
      </c>
      <c r="AC132" s="345">
        <f>IF($A132="","",IF(OR('Feb 2027'!I35=TRUE,'Feb 2027'!I35="x",'Feb 2027'!I35="X"),1,0))</f>
        <v/>
      </c>
      <c r="AD132" s="345">
        <f>IF($A132="","",IF(OR('Feb 2027'!I36=TRUE,'Feb 2027'!I36="x",'Feb 2027'!I36="X"),1,0))</f>
        <v/>
      </c>
      <c r="AE132" s="345">
        <f>IF($A132="","",IF(OR('Feb 2027'!I37=TRUE,'Feb 2027'!I37="x",'Feb 2027'!I37="X"),1,0))</f>
        <v/>
      </c>
      <c r="AF132" s="345">
        <f>IF($A132="","",IF('Feb 2027'!I59="","",'Feb 2027'!I59))</f>
        <v/>
      </c>
      <c r="AG132" s="345">
        <f>IF($A132="","",IF('Feb 2027'!I60="","",'Feb 2027'!I60))</f>
        <v/>
      </c>
      <c r="AH132" s="345">
        <f>IF($A132="","",IF('Feb 2027'!I61="","",'Feb 2027'!I61))</f>
        <v/>
      </c>
      <c r="AI132" s="345">
        <f>IF($A132="","",IF('Feb 2027'!I62="","",'Feb 2027'!I62))</f>
        <v/>
      </c>
      <c r="AJ132" s="345">
        <f>IF($A132="","",IF('Feb 2027'!I63="","",'Feb 2027'!I63))</f>
        <v/>
      </c>
      <c r="AK132" s="345">
        <f>IF($A132="","",IF('Feb 2027'!I64="","",'Feb 2027'!I64))</f>
        <v/>
      </c>
      <c r="AL132" s="345">
        <f>IF($A132="","",IF('Feb 2027'!I65="","",'Feb 2027'!I65))</f>
        <v/>
      </c>
      <c r="AM132" s="345">
        <f>IF($A132="","",IF('Feb 2027'!I66="","",'Feb 2027'!I66))</f>
        <v/>
      </c>
      <c r="AN132" s="345">
        <f>IF($A132="","",IF('Feb 2027'!I67="","",'Feb 2027'!I67))</f>
        <v/>
      </c>
      <c r="AO132" s="345">
        <f>IF($A132="",0,IF(AND($A132&gt;=TrackStart,$A132&lt;=TODAY()),1,0))</f>
        <v/>
      </c>
      <c r="AP132" s="345">
        <f>IF($A132="",0,IF(SUM(F132:AE132)+COUNT(AF132:AN132)&gt;0,1,0))</f>
        <v/>
      </c>
      <c r="AQ132" s="345">
        <f>IF($A132="","",INT(($A132-TrackStart)/7)+1)</f>
        <v/>
      </c>
      <c r="AR132" s="345">
        <f>IF($A132="","",IF(AQ132&lt;=1,Steps1,IF(AQ132=2,Steps2,Steps3)))</f>
        <v/>
      </c>
      <c r="AS132" s="345">
        <f>IF($A132="",0,IF(ISNUMBER(SEARCH(TEXT(D132,"0"),WorkDays&amp;"")),1,0))</f>
        <v/>
      </c>
      <c r="AT132" s="345">
        <f>IF($A132="",0,IF(ISNUMBER(SEARCH(TEXT(D132,"0"),StrDays&amp;"")),1,0))</f>
        <v/>
      </c>
      <c r="AU132" s="345">
        <f>IF($A132="",0,IF(ISNUMBER(AK132),IF(AK132&gt;=SleepMin,1,0),N132))</f>
        <v/>
      </c>
      <c r="AV132" s="345">
        <f>IF($A132="",0,MAX(I132,O132,S132,AC132))</f>
        <v/>
      </c>
      <c r="AW132" s="345">
        <f>IF($A132="",0,IF(ISNUMBER(AH132),IF(AH132&gt;=ProtHit,1,0),0))</f>
        <v/>
      </c>
      <c r="AX132" s="345">
        <f>IF($A132="",0,IF(ISNUMBER(AI132),IF(AI132&gt;=WaterHit,1,0),0))</f>
        <v/>
      </c>
      <c r="AY132" s="345">
        <f>IF($A132="",0,IF(ISNUMBER(AG132),IF(AG132&gt;=AR132,1,0),0))</f>
        <v/>
      </c>
      <c r="AZ132" s="345">
        <f>IF($A132="",0,G132)</f>
        <v/>
      </c>
      <c r="BA132" s="345">
        <f>IF($A132="",0,J132)</f>
        <v/>
      </c>
      <c r="BB132" s="345">
        <f>IF($A132="",0,K132)</f>
        <v/>
      </c>
      <c r="BC132" s="345">
        <f>IF($A132="",0,MAX(L132,AE132))</f>
        <v/>
      </c>
      <c r="BD132" s="344">
        <f>IF($A132="","",(AU132+AV132+AW132+AX132+AY132+AZ132+BB132+BC132+IF(AS132=1,BA132,0))/(8+AS132))</f>
        <v/>
      </c>
      <c r="BE132" s="344">
        <f>IF($A132="","",(IF(ISNUMBER(AI132),IF(AI132&gt;=WaterMVD,1,0),0)+AV132+IF(ISNUMBER(AH132),IF(AH132&gt;=ProtMVD,1,0),0)+MAX(H132,AD132)+AZ132+BB132+AU132)/7)</f>
        <v/>
      </c>
      <c r="BF132" s="344">
        <f>IF(AO132=0,"",IF(E132="S","",IF(AND(AP132=0,$A132=TODAY()),"",IF(E132="M",BE132,BD132))))</f>
        <v/>
      </c>
      <c r="BG132" s="344">
        <f>IF(AO132=0,"",IFERROR(AVERAGEIFS(Data!$BF$4:$BF$375,Data!$A$4:$A$375,"&gt;"&amp;($A132-7),Data!$A$4:$A$375,"&lt;="&amp;$A132),""))</f>
        <v/>
      </c>
      <c r="BH132" s="344">
        <f>IF(AO132=0,"",IFERROR(AVERAGEIFS(Data!$BF$4:$BF$375,Data!$A$4:$A$375,"&gt;"&amp;($A132-30),Data!$A$4:$A$375,"&lt;="&amp;$A132),""))</f>
        <v/>
      </c>
      <c r="BI132" s="359">
        <f>IF($A132="","",IFERROR(AVERAGEIFS(Data!$AF$4:$AF$375,Data!$A$4:$A$375,"&gt;"&amp;($A132-7),Data!$A$4:$A$375,"&lt;="&amp;$A132,Data!$AF$4:$AF$375,"&gt;0"),""))</f>
        <v/>
      </c>
      <c r="BJ132" s="345">
        <f>IF($A132="","",F132+G132+H132+I132+J132+K132+L132+M132+N132-IF(AS132=1,0,J132))</f>
        <v/>
      </c>
      <c r="BK132" s="345">
        <f>IF($A132="","",8+AS132)</f>
        <v/>
      </c>
      <c r="BL132" s="345">
        <f>IF(ISNUMBER(BF132),BF132,NA())</f>
        <v/>
      </c>
      <c r="BM132" s="345">
        <f>IF(ISNUMBER(AF132),AF132,NA())</f>
        <v/>
      </c>
      <c r="BN132" s="345">
        <f>IF(ISNUMBER(BI132),BI132,NA())</f>
        <v/>
      </c>
      <c r="BO132" s="345">
        <f>IF(ISNUMBER(AL132),AL132,NA())</f>
        <v/>
      </c>
      <c r="BP132" s="345">
        <f>IF(ISNUMBER(AM132),AM132,NA())</f>
        <v/>
      </c>
      <c r="BQ132" s="345">
        <f>IF(ISNUMBER(AN132),AN132,NA())</f>
        <v/>
      </c>
    </row>
    <row r="133">
      <c r="A133" s="358">
        <f>IF('Feb 2027'!J7="","",'Feb 2027'!J7)</f>
        <v/>
      </c>
      <c r="B133" s="345" t="n">
        <v>5</v>
      </c>
      <c r="C133" s="345">
        <f>IF($A133="","",6)</f>
        <v/>
      </c>
      <c r="D133" s="345">
        <f>IF($A133="","",WEEKDAY($A133,2))</f>
        <v/>
      </c>
      <c r="E133" s="345">
        <f>IF($A133="","",UPPER(TRIM('Feb 2027'!J8)))</f>
        <v/>
      </c>
      <c r="F133" s="345">
        <f>IF($A133="","",IF(OR('Feb 2027'!J10=TRUE,'Feb 2027'!J10="x",'Feb 2027'!J10="X"),1,0))</f>
        <v/>
      </c>
      <c r="G133" s="345">
        <f>IF($A133="","",IF(OR('Feb 2027'!J11=TRUE,'Feb 2027'!J11="x",'Feb 2027'!J11="X"),1,0))</f>
        <v/>
      </c>
      <c r="H133" s="345">
        <f>IF($A133="","",IF(OR('Feb 2027'!J12=TRUE,'Feb 2027'!J12="x",'Feb 2027'!J12="X"),1,0))</f>
        <v/>
      </c>
      <c r="I133" s="345">
        <f>IF($A133="","",IF(OR('Feb 2027'!J13=TRUE,'Feb 2027'!J13="x",'Feb 2027'!J13="X"),1,0))</f>
        <v/>
      </c>
      <c r="J133" s="345">
        <f>IF($A133="","",IF(OR('Feb 2027'!J14=TRUE,'Feb 2027'!J14="x",'Feb 2027'!J14="X"),1,0))</f>
        <v/>
      </c>
      <c r="K133" s="345">
        <f>IF($A133="","",IF(OR('Feb 2027'!J15=TRUE,'Feb 2027'!J15="x",'Feb 2027'!J15="X"),1,0))</f>
        <v/>
      </c>
      <c r="L133" s="345">
        <f>IF($A133="","",IF(OR('Feb 2027'!J16=TRUE,'Feb 2027'!J16="x",'Feb 2027'!J16="X"),1,0))</f>
        <v/>
      </c>
      <c r="M133" s="345">
        <f>IF($A133="","",IF(OR('Feb 2027'!J17=TRUE,'Feb 2027'!J17="x",'Feb 2027'!J17="X"),1,0))</f>
        <v/>
      </c>
      <c r="N133" s="345">
        <f>IF($A133="","",IF(OR('Feb 2027'!J18=TRUE,'Feb 2027'!J18="x",'Feb 2027'!J18="X"),1,0))</f>
        <v/>
      </c>
      <c r="O133" s="345">
        <f>IF($A133="","",IF(OR('Feb 2027'!J20=TRUE,'Feb 2027'!J20="x",'Feb 2027'!J20="X"),1,0))</f>
        <v/>
      </c>
      <c r="P133" s="345">
        <f>IF($A133="","",IF(OR('Feb 2027'!J21=TRUE,'Feb 2027'!J21="x",'Feb 2027'!J21="X"),1,0))</f>
        <v/>
      </c>
      <c r="Q133" s="345">
        <f>IF($A133="","",IF(OR('Feb 2027'!J22=TRUE,'Feb 2027'!J22="x",'Feb 2027'!J22="X"),1,0))</f>
        <v/>
      </c>
      <c r="R133" s="345">
        <f>IF($A133="","",IF(OR('Feb 2027'!J23=TRUE,'Feb 2027'!J23="x",'Feb 2027'!J23="X"),1,0))</f>
        <v/>
      </c>
      <c r="S133" s="345">
        <f>IF($A133="","",IF(OR('Feb 2027'!J24=TRUE,'Feb 2027'!J24="x",'Feb 2027'!J24="X"),1,0))</f>
        <v/>
      </c>
      <c r="T133" s="345">
        <f>IF($A133="","",IF(OR('Feb 2027'!J25=TRUE,'Feb 2027'!J25="x",'Feb 2027'!J25="X"),1,0))</f>
        <v/>
      </c>
      <c r="U133" s="345">
        <f>IF($A133="","",IF(OR('Feb 2027'!J26=TRUE,'Feb 2027'!J26="x",'Feb 2027'!J26="X"),1,0))</f>
        <v/>
      </c>
      <c r="V133" s="345">
        <f>IF($A133="","",IF(OR('Feb 2027'!J27=TRUE,'Feb 2027'!J27="x",'Feb 2027'!J27="X"),1,0))</f>
        <v/>
      </c>
      <c r="W133" s="345">
        <f>IF($A133="","",IF(OR('Feb 2027'!J28=TRUE,'Feb 2027'!J28="x",'Feb 2027'!J28="X"),1,0))</f>
        <v/>
      </c>
      <c r="X133" s="345">
        <f>IF($A133="","",IF(OR('Feb 2027'!J29=TRUE,'Feb 2027'!J29="x",'Feb 2027'!J29="X"),1,0))</f>
        <v/>
      </c>
      <c r="Y133" s="345">
        <f>IF($A133="","",IF(OR('Feb 2027'!J30=TRUE,'Feb 2027'!J30="x",'Feb 2027'!J30="X"),1,0))</f>
        <v/>
      </c>
      <c r="Z133" s="345">
        <f>IF($A133="","",IF(OR('Feb 2027'!J31=TRUE,'Feb 2027'!J31="x",'Feb 2027'!J31="X"),1,0))</f>
        <v/>
      </c>
      <c r="AA133" s="345">
        <f>IF($A133="","",IF(OR('Feb 2027'!J32=TRUE,'Feb 2027'!J32="x",'Feb 2027'!J32="X"),1,0))</f>
        <v/>
      </c>
      <c r="AB133" s="345">
        <f>IF($A133="","",IF(OR('Feb 2027'!J34=TRUE,'Feb 2027'!J34="x",'Feb 2027'!J34="X"),1,0))</f>
        <v/>
      </c>
      <c r="AC133" s="345">
        <f>IF($A133="","",IF(OR('Feb 2027'!J35=TRUE,'Feb 2027'!J35="x",'Feb 2027'!J35="X"),1,0))</f>
        <v/>
      </c>
      <c r="AD133" s="345">
        <f>IF($A133="","",IF(OR('Feb 2027'!J36=TRUE,'Feb 2027'!J36="x",'Feb 2027'!J36="X"),1,0))</f>
        <v/>
      </c>
      <c r="AE133" s="345">
        <f>IF($A133="","",IF(OR('Feb 2027'!J37=TRUE,'Feb 2027'!J37="x",'Feb 2027'!J37="X"),1,0))</f>
        <v/>
      </c>
      <c r="AF133" s="345">
        <f>IF($A133="","",IF('Feb 2027'!J59="","",'Feb 2027'!J59))</f>
        <v/>
      </c>
      <c r="AG133" s="345">
        <f>IF($A133="","",IF('Feb 2027'!J60="","",'Feb 2027'!J60))</f>
        <v/>
      </c>
      <c r="AH133" s="345">
        <f>IF($A133="","",IF('Feb 2027'!J61="","",'Feb 2027'!J61))</f>
        <v/>
      </c>
      <c r="AI133" s="345">
        <f>IF($A133="","",IF('Feb 2027'!J62="","",'Feb 2027'!J62))</f>
        <v/>
      </c>
      <c r="AJ133" s="345">
        <f>IF($A133="","",IF('Feb 2027'!J63="","",'Feb 2027'!J63))</f>
        <v/>
      </c>
      <c r="AK133" s="345">
        <f>IF($A133="","",IF('Feb 2027'!J64="","",'Feb 2027'!J64))</f>
        <v/>
      </c>
      <c r="AL133" s="345">
        <f>IF($A133="","",IF('Feb 2027'!J65="","",'Feb 2027'!J65))</f>
        <v/>
      </c>
      <c r="AM133" s="345">
        <f>IF($A133="","",IF('Feb 2027'!J66="","",'Feb 2027'!J66))</f>
        <v/>
      </c>
      <c r="AN133" s="345">
        <f>IF($A133="","",IF('Feb 2027'!J67="","",'Feb 2027'!J67))</f>
        <v/>
      </c>
      <c r="AO133" s="345">
        <f>IF($A133="",0,IF(AND($A133&gt;=TrackStart,$A133&lt;=TODAY()),1,0))</f>
        <v/>
      </c>
      <c r="AP133" s="345">
        <f>IF($A133="",0,IF(SUM(F133:AE133)+COUNT(AF133:AN133)&gt;0,1,0))</f>
        <v/>
      </c>
      <c r="AQ133" s="345">
        <f>IF($A133="","",INT(($A133-TrackStart)/7)+1)</f>
        <v/>
      </c>
      <c r="AR133" s="345">
        <f>IF($A133="","",IF(AQ133&lt;=1,Steps1,IF(AQ133=2,Steps2,Steps3)))</f>
        <v/>
      </c>
      <c r="AS133" s="345">
        <f>IF($A133="",0,IF(ISNUMBER(SEARCH(TEXT(D133,"0"),WorkDays&amp;"")),1,0))</f>
        <v/>
      </c>
      <c r="AT133" s="345">
        <f>IF($A133="",0,IF(ISNUMBER(SEARCH(TEXT(D133,"0"),StrDays&amp;"")),1,0))</f>
        <v/>
      </c>
      <c r="AU133" s="345">
        <f>IF($A133="",0,IF(ISNUMBER(AK133),IF(AK133&gt;=SleepMin,1,0),N133))</f>
        <v/>
      </c>
      <c r="AV133" s="345">
        <f>IF($A133="",0,MAX(I133,O133,S133,AC133))</f>
        <v/>
      </c>
      <c r="AW133" s="345">
        <f>IF($A133="",0,IF(ISNUMBER(AH133),IF(AH133&gt;=ProtHit,1,0),0))</f>
        <v/>
      </c>
      <c r="AX133" s="345">
        <f>IF($A133="",0,IF(ISNUMBER(AI133),IF(AI133&gt;=WaterHit,1,0),0))</f>
        <v/>
      </c>
      <c r="AY133" s="345">
        <f>IF($A133="",0,IF(ISNUMBER(AG133),IF(AG133&gt;=AR133,1,0),0))</f>
        <v/>
      </c>
      <c r="AZ133" s="345">
        <f>IF($A133="",0,G133)</f>
        <v/>
      </c>
      <c r="BA133" s="345">
        <f>IF($A133="",0,J133)</f>
        <v/>
      </c>
      <c r="BB133" s="345">
        <f>IF($A133="",0,K133)</f>
        <v/>
      </c>
      <c r="BC133" s="345">
        <f>IF($A133="",0,MAX(L133,AE133))</f>
        <v/>
      </c>
      <c r="BD133" s="344">
        <f>IF($A133="","",(AU133+AV133+AW133+AX133+AY133+AZ133+BB133+BC133+IF(AS133=1,BA133,0))/(8+AS133))</f>
        <v/>
      </c>
      <c r="BE133" s="344">
        <f>IF($A133="","",(IF(ISNUMBER(AI133),IF(AI133&gt;=WaterMVD,1,0),0)+AV133+IF(ISNUMBER(AH133),IF(AH133&gt;=ProtMVD,1,0),0)+MAX(H133,AD133)+AZ133+BB133+AU133)/7)</f>
        <v/>
      </c>
      <c r="BF133" s="344">
        <f>IF(AO133=0,"",IF(E133="S","",IF(AND(AP133=0,$A133=TODAY()),"",IF(E133="M",BE133,BD133))))</f>
        <v/>
      </c>
      <c r="BG133" s="344">
        <f>IF(AO133=0,"",IFERROR(AVERAGEIFS(Data!$BF$4:$BF$375,Data!$A$4:$A$375,"&gt;"&amp;($A133-7),Data!$A$4:$A$375,"&lt;="&amp;$A133),""))</f>
        <v/>
      </c>
      <c r="BH133" s="344">
        <f>IF(AO133=0,"",IFERROR(AVERAGEIFS(Data!$BF$4:$BF$375,Data!$A$4:$A$375,"&gt;"&amp;($A133-30),Data!$A$4:$A$375,"&lt;="&amp;$A133),""))</f>
        <v/>
      </c>
      <c r="BI133" s="359">
        <f>IF($A133="","",IFERROR(AVERAGEIFS(Data!$AF$4:$AF$375,Data!$A$4:$A$375,"&gt;"&amp;($A133-7),Data!$A$4:$A$375,"&lt;="&amp;$A133,Data!$AF$4:$AF$375,"&gt;0"),""))</f>
        <v/>
      </c>
      <c r="BJ133" s="345">
        <f>IF($A133="","",F133+G133+H133+I133+J133+K133+L133+M133+N133-IF(AS133=1,0,J133))</f>
        <v/>
      </c>
      <c r="BK133" s="345">
        <f>IF($A133="","",8+AS133)</f>
        <v/>
      </c>
      <c r="BL133" s="345">
        <f>IF(ISNUMBER(BF133),BF133,NA())</f>
        <v/>
      </c>
      <c r="BM133" s="345">
        <f>IF(ISNUMBER(AF133),AF133,NA())</f>
        <v/>
      </c>
      <c r="BN133" s="345">
        <f>IF(ISNUMBER(BI133),BI133,NA())</f>
        <v/>
      </c>
      <c r="BO133" s="345">
        <f>IF(ISNUMBER(AL133),AL133,NA())</f>
        <v/>
      </c>
      <c r="BP133" s="345">
        <f>IF(ISNUMBER(AM133),AM133,NA())</f>
        <v/>
      </c>
      <c r="BQ133" s="345">
        <f>IF(ISNUMBER(AN133),AN133,NA())</f>
        <v/>
      </c>
    </row>
    <row r="134">
      <c r="A134" s="358">
        <f>IF('Feb 2027'!K7="","",'Feb 2027'!K7)</f>
        <v/>
      </c>
      <c r="B134" s="345" t="n">
        <v>5</v>
      </c>
      <c r="C134" s="345">
        <f>IF($A134="","",7)</f>
        <v/>
      </c>
      <c r="D134" s="345">
        <f>IF($A134="","",WEEKDAY($A134,2))</f>
        <v/>
      </c>
      <c r="E134" s="345">
        <f>IF($A134="","",UPPER(TRIM('Feb 2027'!K8)))</f>
        <v/>
      </c>
      <c r="F134" s="345">
        <f>IF($A134="","",IF(OR('Feb 2027'!K10=TRUE,'Feb 2027'!K10="x",'Feb 2027'!K10="X"),1,0))</f>
        <v/>
      </c>
      <c r="G134" s="345">
        <f>IF($A134="","",IF(OR('Feb 2027'!K11=TRUE,'Feb 2027'!K11="x",'Feb 2027'!K11="X"),1,0))</f>
        <v/>
      </c>
      <c r="H134" s="345">
        <f>IF($A134="","",IF(OR('Feb 2027'!K12=TRUE,'Feb 2027'!K12="x",'Feb 2027'!K12="X"),1,0))</f>
        <v/>
      </c>
      <c r="I134" s="345">
        <f>IF($A134="","",IF(OR('Feb 2027'!K13=TRUE,'Feb 2027'!K13="x",'Feb 2027'!K13="X"),1,0))</f>
        <v/>
      </c>
      <c r="J134" s="345">
        <f>IF($A134="","",IF(OR('Feb 2027'!K14=TRUE,'Feb 2027'!K14="x",'Feb 2027'!K14="X"),1,0))</f>
        <v/>
      </c>
      <c r="K134" s="345">
        <f>IF($A134="","",IF(OR('Feb 2027'!K15=TRUE,'Feb 2027'!K15="x",'Feb 2027'!K15="X"),1,0))</f>
        <v/>
      </c>
      <c r="L134" s="345">
        <f>IF($A134="","",IF(OR('Feb 2027'!K16=TRUE,'Feb 2027'!K16="x",'Feb 2027'!K16="X"),1,0))</f>
        <v/>
      </c>
      <c r="M134" s="345">
        <f>IF($A134="","",IF(OR('Feb 2027'!K17=TRUE,'Feb 2027'!K17="x",'Feb 2027'!K17="X"),1,0))</f>
        <v/>
      </c>
      <c r="N134" s="345">
        <f>IF($A134="","",IF(OR('Feb 2027'!K18=TRUE,'Feb 2027'!K18="x",'Feb 2027'!K18="X"),1,0))</f>
        <v/>
      </c>
      <c r="O134" s="345">
        <f>IF($A134="","",IF(OR('Feb 2027'!K20=TRUE,'Feb 2027'!K20="x",'Feb 2027'!K20="X"),1,0))</f>
        <v/>
      </c>
      <c r="P134" s="345">
        <f>IF($A134="","",IF(OR('Feb 2027'!K21=TRUE,'Feb 2027'!K21="x",'Feb 2027'!K21="X"),1,0))</f>
        <v/>
      </c>
      <c r="Q134" s="345">
        <f>IF($A134="","",IF(OR('Feb 2027'!K22=TRUE,'Feb 2027'!K22="x",'Feb 2027'!K22="X"),1,0))</f>
        <v/>
      </c>
      <c r="R134" s="345">
        <f>IF($A134="","",IF(OR('Feb 2027'!K23=TRUE,'Feb 2027'!K23="x",'Feb 2027'!K23="X"),1,0))</f>
        <v/>
      </c>
      <c r="S134" s="345">
        <f>IF($A134="","",IF(OR('Feb 2027'!K24=TRUE,'Feb 2027'!K24="x",'Feb 2027'!K24="X"),1,0))</f>
        <v/>
      </c>
      <c r="T134" s="345">
        <f>IF($A134="","",IF(OR('Feb 2027'!K25=TRUE,'Feb 2027'!K25="x",'Feb 2027'!K25="X"),1,0))</f>
        <v/>
      </c>
      <c r="U134" s="345">
        <f>IF($A134="","",IF(OR('Feb 2027'!K26=TRUE,'Feb 2027'!K26="x",'Feb 2027'!K26="X"),1,0))</f>
        <v/>
      </c>
      <c r="V134" s="345">
        <f>IF($A134="","",IF(OR('Feb 2027'!K27=TRUE,'Feb 2027'!K27="x",'Feb 2027'!K27="X"),1,0))</f>
        <v/>
      </c>
      <c r="W134" s="345">
        <f>IF($A134="","",IF(OR('Feb 2027'!K28=TRUE,'Feb 2027'!K28="x",'Feb 2027'!K28="X"),1,0))</f>
        <v/>
      </c>
      <c r="X134" s="345">
        <f>IF($A134="","",IF(OR('Feb 2027'!K29=TRUE,'Feb 2027'!K29="x",'Feb 2027'!K29="X"),1,0))</f>
        <v/>
      </c>
      <c r="Y134" s="345">
        <f>IF($A134="","",IF(OR('Feb 2027'!K30=TRUE,'Feb 2027'!K30="x",'Feb 2027'!K30="X"),1,0))</f>
        <v/>
      </c>
      <c r="Z134" s="345">
        <f>IF($A134="","",IF(OR('Feb 2027'!K31=TRUE,'Feb 2027'!K31="x",'Feb 2027'!K31="X"),1,0))</f>
        <v/>
      </c>
      <c r="AA134" s="345">
        <f>IF($A134="","",IF(OR('Feb 2027'!K32=TRUE,'Feb 2027'!K32="x",'Feb 2027'!K32="X"),1,0))</f>
        <v/>
      </c>
      <c r="AB134" s="345">
        <f>IF($A134="","",IF(OR('Feb 2027'!K34=TRUE,'Feb 2027'!K34="x",'Feb 2027'!K34="X"),1,0))</f>
        <v/>
      </c>
      <c r="AC134" s="345">
        <f>IF($A134="","",IF(OR('Feb 2027'!K35=TRUE,'Feb 2027'!K35="x",'Feb 2027'!K35="X"),1,0))</f>
        <v/>
      </c>
      <c r="AD134" s="345">
        <f>IF($A134="","",IF(OR('Feb 2027'!K36=TRUE,'Feb 2027'!K36="x",'Feb 2027'!K36="X"),1,0))</f>
        <v/>
      </c>
      <c r="AE134" s="345">
        <f>IF($A134="","",IF(OR('Feb 2027'!K37=TRUE,'Feb 2027'!K37="x",'Feb 2027'!K37="X"),1,0))</f>
        <v/>
      </c>
      <c r="AF134" s="345">
        <f>IF($A134="","",IF('Feb 2027'!K59="","",'Feb 2027'!K59))</f>
        <v/>
      </c>
      <c r="AG134" s="345">
        <f>IF($A134="","",IF('Feb 2027'!K60="","",'Feb 2027'!K60))</f>
        <v/>
      </c>
      <c r="AH134" s="345">
        <f>IF($A134="","",IF('Feb 2027'!K61="","",'Feb 2027'!K61))</f>
        <v/>
      </c>
      <c r="AI134" s="345">
        <f>IF($A134="","",IF('Feb 2027'!K62="","",'Feb 2027'!K62))</f>
        <v/>
      </c>
      <c r="AJ134" s="345">
        <f>IF($A134="","",IF('Feb 2027'!K63="","",'Feb 2027'!K63))</f>
        <v/>
      </c>
      <c r="AK134" s="345">
        <f>IF($A134="","",IF('Feb 2027'!K64="","",'Feb 2027'!K64))</f>
        <v/>
      </c>
      <c r="AL134" s="345">
        <f>IF($A134="","",IF('Feb 2027'!K65="","",'Feb 2027'!K65))</f>
        <v/>
      </c>
      <c r="AM134" s="345">
        <f>IF($A134="","",IF('Feb 2027'!K66="","",'Feb 2027'!K66))</f>
        <v/>
      </c>
      <c r="AN134" s="345">
        <f>IF($A134="","",IF('Feb 2027'!K67="","",'Feb 2027'!K67))</f>
        <v/>
      </c>
      <c r="AO134" s="345">
        <f>IF($A134="",0,IF(AND($A134&gt;=TrackStart,$A134&lt;=TODAY()),1,0))</f>
        <v/>
      </c>
      <c r="AP134" s="345">
        <f>IF($A134="",0,IF(SUM(F134:AE134)+COUNT(AF134:AN134)&gt;0,1,0))</f>
        <v/>
      </c>
      <c r="AQ134" s="345">
        <f>IF($A134="","",INT(($A134-TrackStart)/7)+1)</f>
        <v/>
      </c>
      <c r="AR134" s="345">
        <f>IF($A134="","",IF(AQ134&lt;=1,Steps1,IF(AQ134=2,Steps2,Steps3)))</f>
        <v/>
      </c>
      <c r="AS134" s="345">
        <f>IF($A134="",0,IF(ISNUMBER(SEARCH(TEXT(D134,"0"),WorkDays&amp;"")),1,0))</f>
        <v/>
      </c>
      <c r="AT134" s="345">
        <f>IF($A134="",0,IF(ISNUMBER(SEARCH(TEXT(D134,"0"),StrDays&amp;"")),1,0))</f>
        <v/>
      </c>
      <c r="AU134" s="345">
        <f>IF($A134="",0,IF(ISNUMBER(AK134),IF(AK134&gt;=SleepMin,1,0),N134))</f>
        <v/>
      </c>
      <c r="AV134" s="345">
        <f>IF($A134="",0,MAX(I134,O134,S134,AC134))</f>
        <v/>
      </c>
      <c r="AW134" s="345">
        <f>IF($A134="",0,IF(ISNUMBER(AH134),IF(AH134&gt;=ProtHit,1,0),0))</f>
        <v/>
      </c>
      <c r="AX134" s="345">
        <f>IF($A134="",0,IF(ISNUMBER(AI134),IF(AI134&gt;=WaterHit,1,0),0))</f>
        <v/>
      </c>
      <c r="AY134" s="345">
        <f>IF($A134="",0,IF(ISNUMBER(AG134),IF(AG134&gt;=AR134,1,0),0))</f>
        <v/>
      </c>
      <c r="AZ134" s="345">
        <f>IF($A134="",0,G134)</f>
        <v/>
      </c>
      <c r="BA134" s="345">
        <f>IF($A134="",0,J134)</f>
        <v/>
      </c>
      <c r="BB134" s="345">
        <f>IF($A134="",0,K134)</f>
        <v/>
      </c>
      <c r="BC134" s="345">
        <f>IF($A134="",0,MAX(L134,AE134))</f>
        <v/>
      </c>
      <c r="BD134" s="344">
        <f>IF($A134="","",(AU134+AV134+AW134+AX134+AY134+AZ134+BB134+BC134+IF(AS134=1,BA134,0))/(8+AS134))</f>
        <v/>
      </c>
      <c r="BE134" s="344">
        <f>IF($A134="","",(IF(ISNUMBER(AI134),IF(AI134&gt;=WaterMVD,1,0),0)+AV134+IF(ISNUMBER(AH134),IF(AH134&gt;=ProtMVD,1,0),0)+MAX(H134,AD134)+AZ134+BB134+AU134)/7)</f>
        <v/>
      </c>
      <c r="BF134" s="344">
        <f>IF(AO134=0,"",IF(E134="S","",IF(AND(AP134=0,$A134=TODAY()),"",IF(E134="M",BE134,BD134))))</f>
        <v/>
      </c>
      <c r="BG134" s="344">
        <f>IF(AO134=0,"",IFERROR(AVERAGEIFS(Data!$BF$4:$BF$375,Data!$A$4:$A$375,"&gt;"&amp;($A134-7),Data!$A$4:$A$375,"&lt;="&amp;$A134),""))</f>
        <v/>
      </c>
      <c r="BH134" s="344">
        <f>IF(AO134=0,"",IFERROR(AVERAGEIFS(Data!$BF$4:$BF$375,Data!$A$4:$A$375,"&gt;"&amp;($A134-30),Data!$A$4:$A$375,"&lt;="&amp;$A134),""))</f>
        <v/>
      </c>
      <c r="BI134" s="359">
        <f>IF($A134="","",IFERROR(AVERAGEIFS(Data!$AF$4:$AF$375,Data!$A$4:$A$375,"&gt;"&amp;($A134-7),Data!$A$4:$A$375,"&lt;="&amp;$A134,Data!$AF$4:$AF$375,"&gt;0"),""))</f>
        <v/>
      </c>
      <c r="BJ134" s="345">
        <f>IF($A134="","",F134+G134+H134+I134+J134+K134+L134+M134+N134-IF(AS134=1,0,J134))</f>
        <v/>
      </c>
      <c r="BK134" s="345">
        <f>IF($A134="","",8+AS134)</f>
        <v/>
      </c>
      <c r="BL134" s="345">
        <f>IF(ISNUMBER(BF134),BF134,NA())</f>
        <v/>
      </c>
      <c r="BM134" s="345">
        <f>IF(ISNUMBER(AF134),AF134,NA())</f>
        <v/>
      </c>
      <c r="BN134" s="345">
        <f>IF(ISNUMBER(BI134),BI134,NA())</f>
        <v/>
      </c>
      <c r="BO134" s="345">
        <f>IF(ISNUMBER(AL134),AL134,NA())</f>
        <v/>
      </c>
      <c r="BP134" s="345">
        <f>IF(ISNUMBER(AM134),AM134,NA())</f>
        <v/>
      </c>
      <c r="BQ134" s="345">
        <f>IF(ISNUMBER(AN134),AN134,NA())</f>
        <v/>
      </c>
    </row>
    <row r="135">
      <c r="A135" s="358">
        <f>IF('Feb 2027'!L7="","",'Feb 2027'!L7)</f>
        <v/>
      </c>
      <c r="B135" s="345" t="n">
        <v>5</v>
      </c>
      <c r="C135" s="345">
        <f>IF($A135="","",8)</f>
        <v/>
      </c>
      <c r="D135" s="345">
        <f>IF($A135="","",WEEKDAY($A135,2))</f>
        <v/>
      </c>
      <c r="E135" s="345">
        <f>IF($A135="","",UPPER(TRIM('Feb 2027'!L8)))</f>
        <v/>
      </c>
      <c r="F135" s="345">
        <f>IF($A135="","",IF(OR('Feb 2027'!L10=TRUE,'Feb 2027'!L10="x",'Feb 2027'!L10="X"),1,0))</f>
        <v/>
      </c>
      <c r="G135" s="345">
        <f>IF($A135="","",IF(OR('Feb 2027'!L11=TRUE,'Feb 2027'!L11="x",'Feb 2027'!L11="X"),1,0))</f>
        <v/>
      </c>
      <c r="H135" s="345">
        <f>IF($A135="","",IF(OR('Feb 2027'!L12=TRUE,'Feb 2027'!L12="x",'Feb 2027'!L12="X"),1,0))</f>
        <v/>
      </c>
      <c r="I135" s="345">
        <f>IF($A135="","",IF(OR('Feb 2027'!L13=TRUE,'Feb 2027'!L13="x",'Feb 2027'!L13="X"),1,0))</f>
        <v/>
      </c>
      <c r="J135" s="345">
        <f>IF($A135="","",IF(OR('Feb 2027'!L14=TRUE,'Feb 2027'!L14="x",'Feb 2027'!L14="X"),1,0))</f>
        <v/>
      </c>
      <c r="K135" s="345">
        <f>IF($A135="","",IF(OR('Feb 2027'!L15=TRUE,'Feb 2027'!L15="x",'Feb 2027'!L15="X"),1,0))</f>
        <v/>
      </c>
      <c r="L135" s="345">
        <f>IF($A135="","",IF(OR('Feb 2027'!L16=TRUE,'Feb 2027'!L16="x",'Feb 2027'!L16="X"),1,0))</f>
        <v/>
      </c>
      <c r="M135" s="345">
        <f>IF($A135="","",IF(OR('Feb 2027'!L17=TRUE,'Feb 2027'!L17="x",'Feb 2027'!L17="X"),1,0))</f>
        <v/>
      </c>
      <c r="N135" s="345">
        <f>IF($A135="","",IF(OR('Feb 2027'!L18=TRUE,'Feb 2027'!L18="x",'Feb 2027'!L18="X"),1,0))</f>
        <v/>
      </c>
      <c r="O135" s="345">
        <f>IF($A135="","",IF(OR('Feb 2027'!L20=TRUE,'Feb 2027'!L20="x",'Feb 2027'!L20="X"),1,0))</f>
        <v/>
      </c>
      <c r="P135" s="345">
        <f>IF($A135="","",IF(OR('Feb 2027'!L21=TRUE,'Feb 2027'!L21="x",'Feb 2027'!L21="X"),1,0))</f>
        <v/>
      </c>
      <c r="Q135" s="345">
        <f>IF($A135="","",IF(OR('Feb 2027'!L22=TRUE,'Feb 2027'!L22="x",'Feb 2027'!L22="X"),1,0))</f>
        <v/>
      </c>
      <c r="R135" s="345">
        <f>IF($A135="","",IF(OR('Feb 2027'!L23=TRUE,'Feb 2027'!L23="x",'Feb 2027'!L23="X"),1,0))</f>
        <v/>
      </c>
      <c r="S135" s="345">
        <f>IF($A135="","",IF(OR('Feb 2027'!L24=TRUE,'Feb 2027'!L24="x",'Feb 2027'!L24="X"),1,0))</f>
        <v/>
      </c>
      <c r="T135" s="345">
        <f>IF($A135="","",IF(OR('Feb 2027'!L25=TRUE,'Feb 2027'!L25="x",'Feb 2027'!L25="X"),1,0))</f>
        <v/>
      </c>
      <c r="U135" s="345">
        <f>IF($A135="","",IF(OR('Feb 2027'!L26=TRUE,'Feb 2027'!L26="x",'Feb 2027'!L26="X"),1,0))</f>
        <v/>
      </c>
      <c r="V135" s="345">
        <f>IF($A135="","",IF(OR('Feb 2027'!L27=TRUE,'Feb 2027'!L27="x",'Feb 2027'!L27="X"),1,0))</f>
        <v/>
      </c>
      <c r="W135" s="345">
        <f>IF($A135="","",IF(OR('Feb 2027'!L28=TRUE,'Feb 2027'!L28="x",'Feb 2027'!L28="X"),1,0))</f>
        <v/>
      </c>
      <c r="X135" s="345">
        <f>IF($A135="","",IF(OR('Feb 2027'!L29=TRUE,'Feb 2027'!L29="x",'Feb 2027'!L29="X"),1,0))</f>
        <v/>
      </c>
      <c r="Y135" s="345">
        <f>IF($A135="","",IF(OR('Feb 2027'!L30=TRUE,'Feb 2027'!L30="x",'Feb 2027'!L30="X"),1,0))</f>
        <v/>
      </c>
      <c r="Z135" s="345">
        <f>IF($A135="","",IF(OR('Feb 2027'!L31=TRUE,'Feb 2027'!L31="x",'Feb 2027'!L31="X"),1,0))</f>
        <v/>
      </c>
      <c r="AA135" s="345">
        <f>IF($A135="","",IF(OR('Feb 2027'!L32=TRUE,'Feb 2027'!L32="x",'Feb 2027'!L32="X"),1,0))</f>
        <v/>
      </c>
      <c r="AB135" s="345">
        <f>IF($A135="","",IF(OR('Feb 2027'!L34=TRUE,'Feb 2027'!L34="x",'Feb 2027'!L34="X"),1,0))</f>
        <v/>
      </c>
      <c r="AC135" s="345">
        <f>IF($A135="","",IF(OR('Feb 2027'!L35=TRUE,'Feb 2027'!L35="x",'Feb 2027'!L35="X"),1,0))</f>
        <v/>
      </c>
      <c r="AD135" s="345">
        <f>IF($A135="","",IF(OR('Feb 2027'!L36=TRUE,'Feb 2027'!L36="x",'Feb 2027'!L36="X"),1,0))</f>
        <v/>
      </c>
      <c r="AE135" s="345">
        <f>IF($A135="","",IF(OR('Feb 2027'!L37=TRUE,'Feb 2027'!L37="x",'Feb 2027'!L37="X"),1,0))</f>
        <v/>
      </c>
      <c r="AF135" s="345">
        <f>IF($A135="","",IF('Feb 2027'!L59="","",'Feb 2027'!L59))</f>
        <v/>
      </c>
      <c r="AG135" s="345">
        <f>IF($A135="","",IF('Feb 2027'!L60="","",'Feb 2027'!L60))</f>
        <v/>
      </c>
      <c r="AH135" s="345">
        <f>IF($A135="","",IF('Feb 2027'!L61="","",'Feb 2027'!L61))</f>
        <v/>
      </c>
      <c r="AI135" s="345">
        <f>IF($A135="","",IF('Feb 2027'!L62="","",'Feb 2027'!L62))</f>
        <v/>
      </c>
      <c r="AJ135" s="345">
        <f>IF($A135="","",IF('Feb 2027'!L63="","",'Feb 2027'!L63))</f>
        <v/>
      </c>
      <c r="AK135" s="345">
        <f>IF($A135="","",IF('Feb 2027'!L64="","",'Feb 2027'!L64))</f>
        <v/>
      </c>
      <c r="AL135" s="345">
        <f>IF($A135="","",IF('Feb 2027'!L65="","",'Feb 2027'!L65))</f>
        <v/>
      </c>
      <c r="AM135" s="345">
        <f>IF($A135="","",IF('Feb 2027'!L66="","",'Feb 2027'!L66))</f>
        <v/>
      </c>
      <c r="AN135" s="345">
        <f>IF($A135="","",IF('Feb 2027'!L67="","",'Feb 2027'!L67))</f>
        <v/>
      </c>
      <c r="AO135" s="345">
        <f>IF($A135="",0,IF(AND($A135&gt;=TrackStart,$A135&lt;=TODAY()),1,0))</f>
        <v/>
      </c>
      <c r="AP135" s="345">
        <f>IF($A135="",0,IF(SUM(F135:AE135)+COUNT(AF135:AN135)&gt;0,1,0))</f>
        <v/>
      </c>
      <c r="AQ135" s="345">
        <f>IF($A135="","",INT(($A135-TrackStart)/7)+1)</f>
        <v/>
      </c>
      <c r="AR135" s="345">
        <f>IF($A135="","",IF(AQ135&lt;=1,Steps1,IF(AQ135=2,Steps2,Steps3)))</f>
        <v/>
      </c>
      <c r="AS135" s="345">
        <f>IF($A135="",0,IF(ISNUMBER(SEARCH(TEXT(D135,"0"),WorkDays&amp;"")),1,0))</f>
        <v/>
      </c>
      <c r="AT135" s="345">
        <f>IF($A135="",0,IF(ISNUMBER(SEARCH(TEXT(D135,"0"),StrDays&amp;"")),1,0))</f>
        <v/>
      </c>
      <c r="AU135" s="345">
        <f>IF($A135="",0,IF(ISNUMBER(AK135),IF(AK135&gt;=SleepMin,1,0),N135))</f>
        <v/>
      </c>
      <c r="AV135" s="345">
        <f>IF($A135="",0,MAX(I135,O135,S135,AC135))</f>
        <v/>
      </c>
      <c r="AW135" s="345">
        <f>IF($A135="",0,IF(ISNUMBER(AH135),IF(AH135&gt;=ProtHit,1,0),0))</f>
        <v/>
      </c>
      <c r="AX135" s="345">
        <f>IF($A135="",0,IF(ISNUMBER(AI135),IF(AI135&gt;=WaterHit,1,0),0))</f>
        <v/>
      </c>
      <c r="AY135" s="345">
        <f>IF($A135="",0,IF(ISNUMBER(AG135),IF(AG135&gt;=AR135,1,0),0))</f>
        <v/>
      </c>
      <c r="AZ135" s="345">
        <f>IF($A135="",0,G135)</f>
        <v/>
      </c>
      <c r="BA135" s="345">
        <f>IF($A135="",0,J135)</f>
        <v/>
      </c>
      <c r="BB135" s="345">
        <f>IF($A135="",0,K135)</f>
        <v/>
      </c>
      <c r="BC135" s="345">
        <f>IF($A135="",0,MAX(L135,AE135))</f>
        <v/>
      </c>
      <c r="BD135" s="344">
        <f>IF($A135="","",(AU135+AV135+AW135+AX135+AY135+AZ135+BB135+BC135+IF(AS135=1,BA135,0))/(8+AS135))</f>
        <v/>
      </c>
      <c r="BE135" s="344">
        <f>IF($A135="","",(IF(ISNUMBER(AI135),IF(AI135&gt;=WaterMVD,1,0),0)+AV135+IF(ISNUMBER(AH135),IF(AH135&gt;=ProtMVD,1,0),0)+MAX(H135,AD135)+AZ135+BB135+AU135)/7)</f>
        <v/>
      </c>
      <c r="BF135" s="344">
        <f>IF(AO135=0,"",IF(E135="S","",IF(AND(AP135=0,$A135=TODAY()),"",IF(E135="M",BE135,BD135))))</f>
        <v/>
      </c>
      <c r="BG135" s="344">
        <f>IF(AO135=0,"",IFERROR(AVERAGEIFS(Data!$BF$4:$BF$375,Data!$A$4:$A$375,"&gt;"&amp;($A135-7),Data!$A$4:$A$375,"&lt;="&amp;$A135),""))</f>
        <v/>
      </c>
      <c r="BH135" s="344">
        <f>IF(AO135=0,"",IFERROR(AVERAGEIFS(Data!$BF$4:$BF$375,Data!$A$4:$A$375,"&gt;"&amp;($A135-30),Data!$A$4:$A$375,"&lt;="&amp;$A135),""))</f>
        <v/>
      </c>
      <c r="BI135" s="359">
        <f>IF($A135="","",IFERROR(AVERAGEIFS(Data!$AF$4:$AF$375,Data!$A$4:$A$375,"&gt;"&amp;($A135-7),Data!$A$4:$A$375,"&lt;="&amp;$A135,Data!$AF$4:$AF$375,"&gt;0"),""))</f>
        <v/>
      </c>
      <c r="BJ135" s="345">
        <f>IF($A135="","",F135+G135+H135+I135+J135+K135+L135+M135+N135-IF(AS135=1,0,J135))</f>
        <v/>
      </c>
      <c r="BK135" s="345">
        <f>IF($A135="","",8+AS135)</f>
        <v/>
      </c>
      <c r="BL135" s="345">
        <f>IF(ISNUMBER(BF135),BF135,NA())</f>
        <v/>
      </c>
      <c r="BM135" s="345">
        <f>IF(ISNUMBER(AF135),AF135,NA())</f>
        <v/>
      </c>
      <c r="BN135" s="345">
        <f>IF(ISNUMBER(BI135),BI135,NA())</f>
        <v/>
      </c>
      <c r="BO135" s="345">
        <f>IF(ISNUMBER(AL135),AL135,NA())</f>
        <v/>
      </c>
      <c r="BP135" s="345">
        <f>IF(ISNUMBER(AM135),AM135,NA())</f>
        <v/>
      </c>
      <c r="BQ135" s="345">
        <f>IF(ISNUMBER(AN135),AN135,NA())</f>
        <v/>
      </c>
    </row>
    <row r="136">
      <c r="A136" s="358">
        <f>IF('Feb 2027'!M7="","",'Feb 2027'!M7)</f>
        <v/>
      </c>
      <c r="B136" s="345" t="n">
        <v>5</v>
      </c>
      <c r="C136" s="345">
        <f>IF($A136="","",9)</f>
        <v/>
      </c>
      <c r="D136" s="345">
        <f>IF($A136="","",WEEKDAY($A136,2))</f>
        <v/>
      </c>
      <c r="E136" s="345">
        <f>IF($A136="","",UPPER(TRIM('Feb 2027'!M8)))</f>
        <v/>
      </c>
      <c r="F136" s="345">
        <f>IF($A136="","",IF(OR('Feb 2027'!M10=TRUE,'Feb 2027'!M10="x",'Feb 2027'!M10="X"),1,0))</f>
        <v/>
      </c>
      <c r="G136" s="345">
        <f>IF($A136="","",IF(OR('Feb 2027'!M11=TRUE,'Feb 2027'!M11="x",'Feb 2027'!M11="X"),1,0))</f>
        <v/>
      </c>
      <c r="H136" s="345">
        <f>IF($A136="","",IF(OR('Feb 2027'!M12=TRUE,'Feb 2027'!M12="x",'Feb 2027'!M12="X"),1,0))</f>
        <v/>
      </c>
      <c r="I136" s="345">
        <f>IF($A136="","",IF(OR('Feb 2027'!M13=TRUE,'Feb 2027'!M13="x",'Feb 2027'!M13="X"),1,0))</f>
        <v/>
      </c>
      <c r="J136" s="345">
        <f>IF($A136="","",IF(OR('Feb 2027'!M14=TRUE,'Feb 2027'!M14="x",'Feb 2027'!M14="X"),1,0))</f>
        <v/>
      </c>
      <c r="K136" s="345">
        <f>IF($A136="","",IF(OR('Feb 2027'!M15=TRUE,'Feb 2027'!M15="x",'Feb 2027'!M15="X"),1,0))</f>
        <v/>
      </c>
      <c r="L136" s="345">
        <f>IF($A136="","",IF(OR('Feb 2027'!M16=TRUE,'Feb 2027'!M16="x",'Feb 2027'!M16="X"),1,0))</f>
        <v/>
      </c>
      <c r="M136" s="345">
        <f>IF($A136="","",IF(OR('Feb 2027'!M17=TRUE,'Feb 2027'!M17="x",'Feb 2027'!M17="X"),1,0))</f>
        <v/>
      </c>
      <c r="N136" s="345">
        <f>IF($A136="","",IF(OR('Feb 2027'!M18=TRUE,'Feb 2027'!M18="x",'Feb 2027'!M18="X"),1,0))</f>
        <v/>
      </c>
      <c r="O136" s="345">
        <f>IF($A136="","",IF(OR('Feb 2027'!M20=TRUE,'Feb 2027'!M20="x",'Feb 2027'!M20="X"),1,0))</f>
        <v/>
      </c>
      <c r="P136" s="345">
        <f>IF($A136="","",IF(OR('Feb 2027'!M21=TRUE,'Feb 2027'!M21="x",'Feb 2027'!M21="X"),1,0))</f>
        <v/>
      </c>
      <c r="Q136" s="345">
        <f>IF($A136="","",IF(OR('Feb 2027'!M22=TRUE,'Feb 2027'!M22="x",'Feb 2027'!M22="X"),1,0))</f>
        <v/>
      </c>
      <c r="R136" s="345">
        <f>IF($A136="","",IF(OR('Feb 2027'!M23=TRUE,'Feb 2027'!M23="x",'Feb 2027'!M23="X"),1,0))</f>
        <v/>
      </c>
      <c r="S136" s="345">
        <f>IF($A136="","",IF(OR('Feb 2027'!M24=TRUE,'Feb 2027'!M24="x",'Feb 2027'!M24="X"),1,0))</f>
        <v/>
      </c>
      <c r="T136" s="345">
        <f>IF($A136="","",IF(OR('Feb 2027'!M25=TRUE,'Feb 2027'!M25="x",'Feb 2027'!M25="X"),1,0))</f>
        <v/>
      </c>
      <c r="U136" s="345">
        <f>IF($A136="","",IF(OR('Feb 2027'!M26=TRUE,'Feb 2027'!M26="x",'Feb 2027'!M26="X"),1,0))</f>
        <v/>
      </c>
      <c r="V136" s="345">
        <f>IF($A136="","",IF(OR('Feb 2027'!M27=TRUE,'Feb 2027'!M27="x",'Feb 2027'!M27="X"),1,0))</f>
        <v/>
      </c>
      <c r="W136" s="345">
        <f>IF($A136="","",IF(OR('Feb 2027'!M28=TRUE,'Feb 2027'!M28="x",'Feb 2027'!M28="X"),1,0))</f>
        <v/>
      </c>
      <c r="X136" s="345">
        <f>IF($A136="","",IF(OR('Feb 2027'!M29=TRUE,'Feb 2027'!M29="x",'Feb 2027'!M29="X"),1,0))</f>
        <v/>
      </c>
      <c r="Y136" s="345">
        <f>IF($A136="","",IF(OR('Feb 2027'!M30=TRUE,'Feb 2027'!M30="x",'Feb 2027'!M30="X"),1,0))</f>
        <v/>
      </c>
      <c r="Z136" s="345">
        <f>IF($A136="","",IF(OR('Feb 2027'!M31=TRUE,'Feb 2027'!M31="x",'Feb 2027'!M31="X"),1,0))</f>
        <v/>
      </c>
      <c r="AA136" s="345">
        <f>IF($A136="","",IF(OR('Feb 2027'!M32=TRUE,'Feb 2027'!M32="x",'Feb 2027'!M32="X"),1,0))</f>
        <v/>
      </c>
      <c r="AB136" s="345">
        <f>IF($A136="","",IF(OR('Feb 2027'!M34=TRUE,'Feb 2027'!M34="x",'Feb 2027'!M34="X"),1,0))</f>
        <v/>
      </c>
      <c r="AC136" s="345">
        <f>IF($A136="","",IF(OR('Feb 2027'!M35=TRUE,'Feb 2027'!M35="x",'Feb 2027'!M35="X"),1,0))</f>
        <v/>
      </c>
      <c r="AD136" s="345">
        <f>IF($A136="","",IF(OR('Feb 2027'!M36=TRUE,'Feb 2027'!M36="x",'Feb 2027'!M36="X"),1,0))</f>
        <v/>
      </c>
      <c r="AE136" s="345">
        <f>IF($A136="","",IF(OR('Feb 2027'!M37=TRUE,'Feb 2027'!M37="x",'Feb 2027'!M37="X"),1,0))</f>
        <v/>
      </c>
      <c r="AF136" s="345">
        <f>IF($A136="","",IF('Feb 2027'!M59="","",'Feb 2027'!M59))</f>
        <v/>
      </c>
      <c r="AG136" s="345">
        <f>IF($A136="","",IF('Feb 2027'!M60="","",'Feb 2027'!M60))</f>
        <v/>
      </c>
      <c r="AH136" s="345">
        <f>IF($A136="","",IF('Feb 2027'!M61="","",'Feb 2027'!M61))</f>
        <v/>
      </c>
      <c r="AI136" s="345">
        <f>IF($A136="","",IF('Feb 2027'!M62="","",'Feb 2027'!M62))</f>
        <v/>
      </c>
      <c r="AJ136" s="345">
        <f>IF($A136="","",IF('Feb 2027'!M63="","",'Feb 2027'!M63))</f>
        <v/>
      </c>
      <c r="AK136" s="345">
        <f>IF($A136="","",IF('Feb 2027'!M64="","",'Feb 2027'!M64))</f>
        <v/>
      </c>
      <c r="AL136" s="345">
        <f>IF($A136="","",IF('Feb 2027'!M65="","",'Feb 2027'!M65))</f>
        <v/>
      </c>
      <c r="AM136" s="345">
        <f>IF($A136="","",IF('Feb 2027'!M66="","",'Feb 2027'!M66))</f>
        <v/>
      </c>
      <c r="AN136" s="345">
        <f>IF($A136="","",IF('Feb 2027'!M67="","",'Feb 2027'!M67))</f>
        <v/>
      </c>
      <c r="AO136" s="345">
        <f>IF($A136="",0,IF(AND($A136&gt;=TrackStart,$A136&lt;=TODAY()),1,0))</f>
        <v/>
      </c>
      <c r="AP136" s="345">
        <f>IF($A136="",0,IF(SUM(F136:AE136)+COUNT(AF136:AN136)&gt;0,1,0))</f>
        <v/>
      </c>
      <c r="AQ136" s="345">
        <f>IF($A136="","",INT(($A136-TrackStart)/7)+1)</f>
        <v/>
      </c>
      <c r="AR136" s="345">
        <f>IF($A136="","",IF(AQ136&lt;=1,Steps1,IF(AQ136=2,Steps2,Steps3)))</f>
        <v/>
      </c>
      <c r="AS136" s="345">
        <f>IF($A136="",0,IF(ISNUMBER(SEARCH(TEXT(D136,"0"),WorkDays&amp;"")),1,0))</f>
        <v/>
      </c>
      <c r="AT136" s="345">
        <f>IF($A136="",0,IF(ISNUMBER(SEARCH(TEXT(D136,"0"),StrDays&amp;"")),1,0))</f>
        <v/>
      </c>
      <c r="AU136" s="345">
        <f>IF($A136="",0,IF(ISNUMBER(AK136),IF(AK136&gt;=SleepMin,1,0),N136))</f>
        <v/>
      </c>
      <c r="AV136" s="345">
        <f>IF($A136="",0,MAX(I136,O136,S136,AC136))</f>
        <v/>
      </c>
      <c r="AW136" s="345">
        <f>IF($A136="",0,IF(ISNUMBER(AH136),IF(AH136&gt;=ProtHit,1,0),0))</f>
        <v/>
      </c>
      <c r="AX136" s="345">
        <f>IF($A136="",0,IF(ISNUMBER(AI136),IF(AI136&gt;=WaterHit,1,0),0))</f>
        <v/>
      </c>
      <c r="AY136" s="345">
        <f>IF($A136="",0,IF(ISNUMBER(AG136),IF(AG136&gt;=AR136,1,0),0))</f>
        <v/>
      </c>
      <c r="AZ136" s="345">
        <f>IF($A136="",0,G136)</f>
        <v/>
      </c>
      <c r="BA136" s="345">
        <f>IF($A136="",0,J136)</f>
        <v/>
      </c>
      <c r="BB136" s="345">
        <f>IF($A136="",0,K136)</f>
        <v/>
      </c>
      <c r="BC136" s="345">
        <f>IF($A136="",0,MAX(L136,AE136))</f>
        <v/>
      </c>
      <c r="BD136" s="344">
        <f>IF($A136="","",(AU136+AV136+AW136+AX136+AY136+AZ136+BB136+BC136+IF(AS136=1,BA136,0))/(8+AS136))</f>
        <v/>
      </c>
      <c r="BE136" s="344">
        <f>IF($A136="","",(IF(ISNUMBER(AI136),IF(AI136&gt;=WaterMVD,1,0),0)+AV136+IF(ISNUMBER(AH136),IF(AH136&gt;=ProtMVD,1,0),0)+MAX(H136,AD136)+AZ136+BB136+AU136)/7)</f>
        <v/>
      </c>
      <c r="BF136" s="344">
        <f>IF(AO136=0,"",IF(E136="S","",IF(AND(AP136=0,$A136=TODAY()),"",IF(E136="M",BE136,BD136))))</f>
        <v/>
      </c>
      <c r="BG136" s="344">
        <f>IF(AO136=0,"",IFERROR(AVERAGEIFS(Data!$BF$4:$BF$375,Data!$A$4:$A$375,"&gt;"&amp;($A136-7),Data!$A$4:$A$375,"&lt;="&amp;$A136),""))</f>
        <v/>
      </c>
      <c r="BH136" s="344">
        <f>IF(AO136=0,"",IFERROR(AVERAGEIFS(Data!$BF$4:$BF$375,Data!$A$4:$A$375,"&gt;"&amp;($A136-30),Data!$A$4:$A$375,"&lt;="&amp;$A136),""))</f>
        <v/>
      </c>
      <c r="BI136" s="359">
        <f>IF($A136="","",IFERROR(AVERAGEIFS(Data!$AF$4:$AF$375,Data!$A$4:$A$375,"&gt;"&amp;($A136-7),Data!$A$4:$A$375,"&lt;="&amp;$A136,Data!$AF$4:$AF$375,"&gt;0"),""))</f>
        <v/>
      </c>
      <c r="BJ136" s="345">
        <f>IF($A136="","",F136+G136+H136+I136+J136+K136+L136+M136+N136-IF(AS136=1,0,J136))</f>
        <v/>
      </c>
      <c r="BK136" s="345">
        <f>IF($A136="","",8+AS136)</f>
        <v/>
      </c>
      <c r="BL136" s="345">
        <f>IF(ISNUMBER(BF136),BF136,NA())</f>
        <v/>
      </c>
      <c r="BM136" s="345">
        <f>IF(ISNUMBER(AF136),AF136,NA())</f>
        <v/>
      </c>
      <c r="BN136" s="345">
        <f>IF(ISNUMBER(BI136),BI136,NA())</f>
        <v/>
      </c>
      <c r="BO136" s="345">
        <f>IF(ISNUMBER(AL136),AL136,NA())</f>
        <v/>
      </c>
      <c r="BP136" s="345">
        <f>IF(ISNUMBER(AM136),AM136,NA())</f>
        <v/>
      </c>
      <c r="BQ136" s="345">
        <f>IF(ISNUMBER(AN136),AN136,NA())</f>
        <v/>
      </c>
    </row>
    <row r="137">
      <c r="A137" s="358">
        <f>IF('Feb 2027'!N7="","",'Feb 2027'!N7)</f>
        <v/>
      </c>
      <c r="B137" s="345" t="n">
        <v>5</v>
      </c>
      <c r="C137" s="345">
        <f>IF($A137="","",10)</f>
        <v/>
      </c>
      <c r="D137" s="345">
        <f>IF($A137="","",WEEKDAY($A137,2))</f>
        <v/>
      </c>
      <c r="E137" s="345">
        <f>IF($A137="","",UPPER(TRIM('Feb 2027'!N8)))</f>
        <v/>
      </c>
      <c r="F137" s="345">
        <f>IF($A137="","",IF(OR('Feb 2027'!N10=TRUE,'Feb 2027'!N10="x",'Feb 2027'!N10="X"),1,0))</f>
        <v/>
      </c>
      <c r="G137" s="345">
        <f>IF($A137="","",IF(OR('Feb 2027'!N11=TRUE,'Feb 2027'!N11="x",'Feb 2027'!N11="X"),1,0))</f>
        <v/>
      </c>
      <c r="H137" s="345">
        <f>IF($A137="","",IF(OR('Feb 2027'!N12=TRUE,'Feb 2027'!N12="x",'Feb 2027'!N12="X"),1,0))</f>
        <v/>
      </c>
      <c r="I137" s="345">
        <f>IF($A137="","",IF(OR('Feb 2027'!N13=TRUE,'Feb 2027'!N13="x",'Feb 2027'!N13="X"),1,0))</f>
        <v/>
      </c>
      <c r="J137" s="345">
        <f>IF($A137="","",IF(OR('Feb 2027'!N14=TRUE,'Feb 2027'!N14="x",'Feb 2027'!N14="X"),1,0))</f>
        <v/>
      </c>
      <c r="K137" s="345">
        <f>IF($A137="","",IF(OR('Feb 2027'!N15=TRUE,'Feb 2027'!N15="x",'Feb 2027'!N15="X"),1,0))</f>
        <v/>
      </c>
      <c r="L137" s="345">
        <f>IF($A137="","",IF(OR('Feb 2027'!N16=TRUE,'Feb 2027'!N16="x",'Feb 2027'!N16="X"),1,0))</f>
        <v/>
      </c>
      <c r="M137" s="345">
        <f>IF($A137="","",IF(OR('Feb 2027'!N17=TRUE,'Feb 2027'!N17="x",'Feb 2027'!N17="X"),1,0))</f>
        <v/>
      </c>
      <c r="N137" s="345">
        <f>IF($A137="","",IF(OR('Feb 2027'!N18=TRUE,'Feb 2027'!N18="x",'Feb 2027'!N18="X"),1,0))</f>
        <v/>
      </c>
      <c r="O137" s="345">
        <f>IF($A137="","",IF(OR('Feb 2027'!N20=TRUE,'Feb 2027'!N20="x",'Feb 2027'!N20="X"),1,0))</f>
        <v/>
      </c>
      <c r="P137" s="345">
        <f>IF($A137="","",IF(OR('Feb 2027'!N21=TRUE,'Feb 2027'!N21="x",'Feb 2027'!N21="X"),1,0))</f>
        <v/>
      </c>
      <c r="Q137" s="345">
        <f>IF($A137="","",IF(OR('Feb 2027'!N22=TRUE,'Feb 2027'!N22="x",'Feb 2027'!N22="X"),1,0))</f>
        <v/>
      </c>
      <c r="R137" s="345">
        <f>IF($A137="","",IF(OR('Feb 2027'!N23=TRUE,'Feb 2027'!N23="x",'Feb 2027'!N23="X"),1,0))</f>
        <v/>
      </c>
      <c r="S137" s="345">
        <f>IF($A137="","",IF(OR('Feb 2027'!N24=TRUE,'Feb 2027'!N24="x",'Feb 2027'!N24="X"),1,0))</f>
        <v/>
      </c>
      <c r="T137" s="345">
        <f>IF($A137="","",IF(OR('Feb 2027'!N25=TRUE,'Feb 2027'!N25="x",'Feb 2027'!N25="X"),1,0))</f>
        <v/>
      </c>
      <c r="U137" s="345">
        <f>IF($A137="","",IF(OR('Feb 2027'!N26=TRUE,'Feb 2027'!N26="x",'Feb 2027'!N26="X"),1,0))</f>
        <v/>
      </c>
      <c r="V137" s="345">
        <f>IF($A137="","",IF(OR('Feb 2027'!N27=TRUE,'Feb 2027'!N27="x",'Feb 2027'!N27="X"),1,0))</f>
        <v/>
      </c>
      <c r="W137" s="345">
        <f>IF($A137="","",IF(OR('Feb 2027'!N28=TRUE,'Feb 2027'!N28="x",'Feb 2027'!N28="X"),1,0))</f>
        <v/>
      </c>
      <c r="X137" s="345">
        <f>IF($A137="","",IF(OR('Feb 2027'!N29=TRUE,'Feb 2027'!N29="x",'Feb 2027'!N29="X"),1,0))</f>
        <v/>
      </c>
      <c r="Y137" s="345">
        <f>IF($A137="","",IF(OR('Feb 2027'!N30=TRUE,'Feb 2027'!N30="x",'Feb 2027'!N30="X"),1,0))</f>
        <v/>
      </c>
      <c r="Z137" s="345">
        <f>IF($A137="","",IF(OR('Feb 2027'!N31=TRUE,'Feb 2027'!N31="x",'Feb 2027'!N31="X"),1,0))</f>
        <v/>
      </c>
      <c r="AA137" s="345">
        <f>IF($A137="","",IF(OR('Feb 2027'!N32=TRUE,'Feb 2027'!N32="x",'Feb 2027'!N32="X"),1,0))</f>
        <v/>
      </c>
      <c r="AB137" s="345">
        <f>IF($A137="","",IF(OR('Feb 2027'!N34=TRUE,'Feb 2027'!N34="x",'Feb 2027'!N34="X"),1,0))</f>
        <v/>
      </c>
      <c r="AC137" s="345">
        <f>IF($A137="","",IF(OR('Feb 2027'!N35=TRUE,'Feb 2027'!N35="x",'Feb 2027'!N35="X"),1,0))</f>
        <v/>
      </c>
      <c r="AD137" s="345">
        <f>IF($A137="","",IF(OR('Feb 2027'!N36=TRUE,'Feb 2027'!N36="x",'Feb 2027'!N36="X"),1,0))</f>
        <v/>
      </c>
      <c r="AE137" s="345">
        <f>IF($A137="","",IF(OR('Feb 2027'!N37=TRUE,'Feb 2027'!N37="x",'Feb 2027'!N37="X"),1,0))</f>
        <v/>
      </c>
      <c r="AF137" s="345">
        <f>IF($A137="","",IF('Feb 2027'!N59="","",'Feb 2027'!N59))</f>
        <v/>
      </c>
      <c r="AG137" s="345">
        <f>IF($A137="","",IF('Feb 2027'!N60="","",'Feb 2027'!N60))</f>
        <v/>
      </c>
      <c r="AH137" s="345">
        <f>IF($A137="","",IF('Feb 2027'!N61="","",'Feb 2027'!N61))</f>
        <v/>
      </c>
      <c r="AI137" s="345">
        <f>IF($A137="","",IF('Feb 2027'!N62="","",'Feb 2027'!N62))</f>
        <v/>
      </c>
      <c r="AJ137" s="345">
        <f>IF($A137="","",IF('Feb 2027'!N63="","",'Feb 2027'!N63))</f>
        <v/>
      </c>
      <c r="AK137" s="345">
        <f>IF($A137="","",IF('Feb 2027'!N64="","",'Feb 2027'!N64))</f>
        <v/>
      </c>
      <c r="AL137" s="345">
        <f>IF($A137="","",IF('Feb 2027'!N65="","",'Feb 2027'!N65))</f>
        <v/>
      </c>
      <c r="AM137" s="345">
        <f>IF($A137="","",IF('Feb 2027'!N66="","",'Feb 2027'!N66))</f>
        <v/>
      </c>
      <c r="AN137" s="345">
        <f>IF($A137="","",IF('Feb 2027'!N67="","",'Feb 2027'!N67))</f>
        <v/>
      </c>
      <c r="AO137" s="345">
        <f>IF($A137="",0,IF(AND($A137&gt;=TrackStart,$A137&lt;=TODAY()),1,0))</f>
        <v/>
      </c>
      <c r="AP137" s="345">
        <f>IF($A137="",0,IF(SUM(F137:AE137)+COUNT(AF137:AN137)&gt;0,1,0))</f>
        <v/>
      </c>
      <c r="AQ137" s="345">
        <f>IF($A137="","",INT(($A137-TrackStart)/7)+1)</f>
        <v/>
      </c>
      <c r="AR137" s="345">
        <f>IF($A137="","",IF(AQ137&lt;=1,Steps1,IF(AQ137=2,Steps2,Steps3)))</f>
        <v/>
      </c>
      <c r="AS137" s="345">
        <f>IF($A137="",0,IF(ISNUMBER(SEARCH(TEXT(D137,"0"),WorkDays&amp;"")),1,0))</f>
        <v/>
      </c>
      <c r="AT137" s="345">
        <f>IF($A137="",0,IF(ISNUMBER(SEARCH(TEXT(D137,"0"),StrDays&amp;"")),1,0))</f>
        <v/>
      </c>
      <c r="AU137" s="345">
        <f>IF($A137="",0,IF(ISNUMBER(AK137),IF(AK137&gt;=SleepMin,1,0),N137))</f>
        <v/>
      </c>
      <c r="AV137" s="345">
        <f>IF($A137="",0,MAX(I137,O137,S137,AC137))</f>
        <v/>
      </c>
      <c r="AW137" s="345">
        <f>IF($A137="",0,IF(ISNUMBER(AH137),IF(AH137&gt;=ProtHit,1,0),0))</f>
        <v/>
      </c>
      <c r="AX137" s="345">
        <f>IF($A137="",0,IF(ISNUMBER(AI137),IF(AI137&gt;=WaterHit,1,0),0))</f>
        <v/>
      </c>
      <c r="AY137" s="345">
        <f>IF($A137="",0,IF(ISNUMBER(AG137),IF(AG137&gt;=AR137,1,0),0))</f>
        <v/>
      </c>
      <c r="AZ137" s="345">
        <f>IF($A137="",0,G137)</f>
        <v/>
      </c>
      <c r="BA137" s="345">
        <f>IF($A137="",0,J137)</f>
        <v/>
      </c>
      <c r="BB137" s="345">
        <f>IF($A137="",0,K137)</f>
        <v/>
      </c>
      <c r="BC137" s="345">
        <f>IF($A137="",0,MAX(L137,AE137))</f>
        <v/>
      </c>
      <c r="BD137" s="344">
        <f>IF($A137="","",(AU137+AV137+AW137+AX137+AY137+AZ137+BB137+BC137+IF(AS137=1,BA137,0))/(8+AS137))</f>
        <v/>
      </c>
      <c r="BE137" s="344">
        <f>IF($A137="","",(IF(ISNUMBER(AI137),IF(AI137&gt;=WaterMVD,1,0),0)+AV137+IF(ISNUMBER(AH137),IF(AH137&gt;=ProtMVD,1,0),0)+MAX(H137,AD137)+AZ137+BB137+AU137)/7)</f>
        <v/>
      </c>
      <c r="BF137" s="344">
        <f>IF(AO137=0,"",IF(E137="S","",IF(AND(AP137=0,$A137=TODAY()),"",IF(E137="M",BE137,BD137))))</f>
        <v/>
      </c>
      <c r="BG137" s="344">
        <f>IF(AO137=0,"",IFERROR(AVERAGEIFS(Data!$BF$4:$BF$375,Data!$A$4:$A$375,"&gt;"&amp;($A137-7),Data!$A$4:$A$375,"&lt;="&amp;$A137),""))</f>
        <v/>
      </c>
      <c r="BH137" s="344">
        <f>IF(AO137=0,"",IFERROR(AVERAGEIFS(Data!$BF$4:$BF$375,Data!$A$4:$A$375,"&gt;"&amp;($A137-30),Data!$A$4:$A$375,"&lt;="&amp;$A137),""))</f>
        <v/>
      </c>
      <c r="BI137" s="359">
        <f>IF($A137="","",IFERROR(AVERAGEIFS(Data!$AF$4:$AF$375,Data!$A$4:$A$375,"&gt;"&amp;($A137-7),Data!$A$4:$A$375,"&lt;="&amp;$A137,Data!$AF$4:$AF$375,"&gt;0"),""))</f>
        <v/>
      </c>
      <c r="BJ137" s="345">
        <f>IF($A137="","",F137+G137+H137+I137+J137+K137+L137+M137+N137-IF(AS137=1,0,J137))</f>
        <v/>
      </c>
      <c r="BK137" s="345">
        <f>IF($A137="","",8+AS137)</f>
        <v/>
      </c>
      <c r="BL137" s="345">
        <f>IF(ISNUMBER(BF137),BF137,NA())</f>
        <v/>
      </c>
      <c r="BM137" s="345">
        <f>IF(ISNUMBER(AF137),AF137,NA())</f>
        <v/>
      </c>
      <c r="BN137" s="345">
        <f>IF(ISNUMBER(BI137),BI137,NA())</f>
        <v/>
      </c>
      <c r="BO137" s="345">
        <f>IF(ISNUMBER(AL137),AL137,NA())</f>
        <v/>
      </c>
      <c r="BP137" s="345">
        <f>IF(ISNUMBER(AM137),AM137,NA())</f>
        <v/>
      </c>
      <c r="BQ137" s="345">
        <f>IF(ISNUMBER(AN137),AN137,NA())</f>
        <v/>
      </c>
    </row>
    <row r="138">
      <c r="A138" s="358">
        <f>IF('Feb 2027'!O7="","",'Feb 2027'!O7)</f>
        <v/>
      </c>
      <c r="B138" s="345" t="n">
        <v>5</v>
      </c>
      <c r="C138" s="345">
        <f>IF($A138="","",11)</f>
        <v/>
      </c>
      <c r="D138" s="345">
        <f>IF($A138="","",WEEKDAY($A138,2))</f>
        <v/>
      </c>
      <c r="E138" s="345">
        <f>IF($A138="","",UPPER(TRIM('Feb 2027'!O8)))</f>
        <v/>
      </c>
      <c r="F138" s="345">
        <f>IF($A138="","",IF(OR('Feb 2027'!O10=TRUE,'Feb 2027'!O10="x",'Feb 2027'!O10="X"),1,0))</f>
        <v/>
      </c>
      <c r="G138" s="345">
        <f>IF($A138="","",IF(OR('Feb 2027'!O11=TRUE,'Feb 2027'!O11="x",'Feb 2027'!O11="X"),1,0))</f>
        <v/>
      </c>
      <c r="H138" s="345">
        <f>IF($A138="","",IF(OR('Feb 2027'!O12=TRUE,'Feb 2027'!O12="x",'Feb 2027'!O12="X"),1,0))</f>
        <v/>
      </c>
      <c r="I138" s="345">
        <f>IF($A138="","",IF(OR('Feb 2027'!O13=TRUE,'Feb 2027'!O13="x",'Feb 2027'!O13="X"),1,0))</f>
        <v/>
      </c>
      <c r="J138" s="345">
        <f>IF($A138="","",IF(OR('Feb 2027'!O14=TRUE,'Feb 2027'!O14="x",'Feb 2027'!O14="X"),1,0))</f>
        <v/>
      </c>
      <c r="K138" s="345">
        <f>IF($A138="","",IF(OR('Feb 2027'!O15=TRUE,'Feb 2027'!O15="x",'Feb 2027'!O15="X"),1,0))</f>
        <v/>
      </c>
      <c r="L138" s="345">
        <f>IF($A138="","",IF(OR('Feb 2027'!O16=TRUE,'Feb 2027'!O16="x",'Feb 2027'!O16="X"),1,0))</f>
        <v/>
      </c>
      <c r="M138" s="345">
        <f>IF($A138="","",IF(OR('Feb 2027'!O17=TRUE,'Feb 2027'!O17="x",'Feb 2027'!O17="X"),1,0))</f>
        <v/>
      </c>
      <c r="N138" s="345">
        <f>IF($A138="","",IF(OR('Feb 2027'!O18=TRUE,'Feb 2027'!O18="x",'Feb 2027'!O18="X"),1,0))</f>
        <v/>
      </c>
      <c r="O138" s="345">
        <f>IF($A138="","",IF(OR('Feb 2027'!O20=TRUE,'Feb 2027'!O20="x",'Feb 2027'!O20="X"),1,0))</f>
        <v/>
      </c>
      <c r="P138" s="345">
        <f>IF($A138="","",IF(OR('Feb 2027'!O21=TRUE,'Feb 2027'!O21="x",'Feb 2027'!O21="X"),1,0))</f>
        <v/>
      </c>
      <c r="Q138" s="345">
        <f>IF($A138="","",IF(OR('Feb 2027'!O22=TRUE,'Feb 2027'!O22="x",'Feb 2027'!O22="X"),1,0))</f>
        <v/>
      </c>
      <c r="R138" s="345">
        <f>IF($A138="","",IF(OR('Feb 2027'!O23=TRUE,'Feb 2027'!O23="x",'Feb 2027'!O23="X"),1,0))</f>
        <v/>
      </c>
      <c r="S138" s="345">
        <f>IF($A138="","",IF(OR('Feb 2027'!O24=TRUE,'Feb 2027'!O24="x",'Feb 2027'!O24="X"),1,0))</f>
        <v/>
      </c>
      <c r="T138" s="345">
        <f>IF($A138="","",IF(OR('Feb 2027'!O25=TRUE,'Feb 2027'!O25="x",'Feb 2027'!O25="X"),1,0))</f>
        <v/>
      </c>
      <c r="U138" s="345">
        <f>IF($A138="","",IF(OR('Feb 2027'!O26=TRUE,'Feb 2027'!O26="x",'Feb 2027'!O26="X"),1,0))</f>
        <v/>
      </c>
      <c r="V138" s="345">
        <f>IF($A138="","",IF(OR('Feb 2027'!O27=TRUE,'Feb 2027'!O27="x",'Feb 2027'!O27="X"),1,0))</f>
        <v/>
      </c>
      <c r="W138" s="345">
        <f>IF($A138="","",IF(OR('Feb 2027'!O28=TRUE,'Feb 2027'!O28="x",'Feb 2027'!O28="X"),1,0))</f>
        <v/>
      </c>
      <c r="X138" s="345">
        <f>IF($A138="","",IF(OR('Feb 2027'!O29=TRUE,'Feb 2027'!O29="x",'Feb 2027'!O29="X"),1,0))</f>
        <v/>
      </c>
      <c r="Y138" s="345">
        <f>IF($A138="","",IF(OR('Feb 2027'!O30=TRUE,'Feb 2027'!O30="x",'Feb 2027'!O30="X"),1,0))</f>
        <v/>
      </c>
      <c r="Z138" s="345">
        <f>IF($A138="","",IF(OR('Feb 2027'!O31=TRUE,'Feb 2027'!O31="x",'Feb 2027'!O31="X"),1,0))</f>
        <v/>
      </c>
      <c r="AA138" s="345">
        <f>IF($A138="","",IF(OR('Feb 2027'!O32=TRUE,'Feb 2027'!O32="x",'Feb 2027'!O32="X"),1,0))</f>
        <v/>
      </c>
      <c r="AB138" s="345">
        <f>IF($A138="","",IF(OR('Feb 2027'!O34=TRUE,'Feb 2027'!O34="x",'Feb 2027'!O34="X"),1,0))</f>
        <v/>
      </c>
      <c r="AC138" s="345">
        <f>IF($A138="","",IF(OR('Feb 2027'!O35=TRUE,'Feb 2027'!O35="x",'Feb 2027'!O35="X"),1,0))</f>
        <v/>
      </c>
      <c r="AD138" s="345">
        <f>IF($A138="","",IF(OR('Feb 2027'!O36=TRUE,'Feb 2027'!O36="x",'Feb 2027'!O36="X"),1,0))</f>
        <v/>
      </c>
      <c r="AE138" s="345">
        <f>IF($A138="","",IF(OR('Feb 2027'!O37=TRUE,'Feb 2027'!O37="x",'Feb 2027'!O37="X"),1,0))</f>
        <v/>
      </c>
      <c r="AF138" s="345">
        <f>IF($A138="","",IF('Feb 2027'!O59="","",'Feb 2027'!O59))</f>
        <v/>
      </c>
      <c r="AG138" s="345">
        <f>IF($A138="","",IF('Feb 2027'!O60="","",'Feb 2027'!O60))</f>
        <v/>
      </c>
      <c r="AH138" s="345">
        <f>IF($A138="","",IF('Feb 2027'!O61="","",'Feb 2027'!O61))</f>
        <v/>
      </c>
      <c r="AI138" s="345">
        <f>IF($A138="","",IF('Feb 2027'!O62="","",'Feb 2027'!O62))</f>
        <v/>
      </c>
      <c r="AJ138" s="345">
        <f>IF($A138="","",IF('Feb 2027'!O63="","",'Feb 2027'!O63))</f>
        <v/>
      </c>
      <c r="AK138" s="345">
        <f>IF($A138="","",IF('Feb 2027'!O64="","",'Feb 2027'!O64))</f>
        <v/>
      </c>
      <c r="AL138" s="345">
        <f>IF($A138="","",IF('Feb 2027'!O65="","",'Feb 2027'!O65))</f>
        <v/>
      </c>
      <c r="AM138" s="345">
        <f>IF($A138="","",IF('Feb 2027'!O66="","",'Feb 2027'!O66))</f>
        <v/>
      </c>
      <c r="AN138" s="345">
        <f>IF($A138="","",IF('Feb 2027'!O67="","",'Feb 2027'!O67))</f>
        <v/>
      </c>
      <c r="AO138" s="345">
        <f>IF($A138="",0,IF(AND($A138&gt;=TrackStart,$A138&lt;=TODAY()),1,0))</f>
        <v/>
      </c>
      <c r="AP138" s="345">
        <f>IF($A138="",0,IF(SUM(F138:AE138)+COUNT(AF138:AN138)&gt;0,1,0))</f>
        <v/>
      </c>
      <c r="AQ138" s="345">
        <f>IF($A138="","",INT(($A138-TrackStart)/7)+1)</f>
        <v/>
      </c>
      <c r="AR138" s="345">
        <f>IF($A138="","",IF(AQ138&lt;=1,Steps1,IF(AQ138=2,Steps2,Steps3)))</f>
        <v/>
      </c>
      <c r="AS138" s="345">
        <f>IF($A138="",0,IF(ISNUMBER(SEARCH(TEXT(D138,"0"),WorkDays&amp;"")),1,0))</f>
        <v/>
      </c>
      <c r="AT138" s="345">
        <f>IF($A138="",0,IF(ISNUMBER(SEARCH(TEXT(D138,"0"),StrDays&amp;"")),1,0))</f>
        <v/>
      </c>
      <c r="AU138" s="345">
        <f>IF($A138="",0,IF(ISNUMBER(AK138),IF(AK138&gt;=SleepMin,1,0),N138))</f>
        <v/>
      </c>
      <c r="AV138" s="345">
        <f>IF($A138="",0,MAX(I138,O138,S138,AC138))</f>
        <v/>
      </c>
      <c r="AW138" s="345">
        <f>IF($A138="",0,IF(ISNUMBER(AH138),IF(AH138&gt;=ProtHit,1,0),0))</f>
        <v/>
      </c>
      <c r="AX138" s="345">
        <f>IF($A138="",0,IF(ISNUMBER(AI138),IF(AI138&gt;=WaterHit,1,0),0))</f>
        <v/>
      </c>
      <c r="AY138" s="345">
        <f>IF($A138="",0,IF(ISNUMBER(AG138),IF(AG138&gt;=AR138,1,0),0))</f>
        <v/>
      </c>
      <c r="AZ138" s="345">
        <f>IF($A138="",0,G138)</f>
        <v/>
      </c>
      <c r="BA138" s="345">
        <f>IF($A138="",0,J138)</f>
        <v/>
      </c>
      <c r="BB138" s="345">
        <f>IF($A138="",0,K138)</f>
        <v/>
      </c>
      <c r="BC138" s="345">
        <f>IF($A138="",0,MAX(L138,AE138))</f>
        <v/>
      </c>
      <c r="BD138" s="344">
        <f>IF($A138="","",(AU138+AV138+AW138+AX138+AY138+AZ138+BB138+BC138+IF(AS138=1,BA138,0))/(8+AS138))</f>
        <v/>
      </c>
      <c r="BE138" s="344">
        <f>IF($A138="","",(IF(ISNUMBER(AI138),IF(AI138&gt;=WaterMVD,1,0),0)+AV138+IF(ISNUMBER(AH138),IF(AH138&gt;=ProtMVD,1,0),0)+MAX(H138,AD138)+AZ138+BB138+AU138)/7)</f>
        <v/>
      </c>
      <c r="BF138" s="344">
        <f>IF(AO138=0,"",IF(E138="S","",IF(AND(AP138=0,$A138=TODAY()),"",IF(E138="M",BE138,BD138))))</f>
        <v/>
      </c>
      <c r="BG138" s="344">
        <f>IF(AO138=0,"",IFERROR(AVERAGEIFS(Data!$BF$4:$BF$375,Data!$A$4:$A$375,"&gt;"&amp;($A138-7),Data!$A$4:$A$375,"&lt;="&amp;$A138),""))</f>
        <v/>
      </c>
      <c r="BH138" s="344">
        <f>IF(AO138=0,"",IFERROR(AVERAGEIFS(Data!$BF$4:$BF$375,Data!$A$4:$A$375,"&gt;"&amp;($A138-30),Data!$A$4:$A$375,"&lt;="&amp;$A138),""))</f>
        <v/>
      </c>
      <c r="BI138" s="359">
        <f>IF($A138="","",IFERROR(AVERAGEIFS(Data!$AF$4:$AF$375,Data!$A$4:$A$375,"&gt;"&amp;($A138-7),Data!$A$4:$A$375,"&lt;="&amp;$A138,Data!$AF$4:$AF$375,"&gt;0"),""))</f>
        <v/>
      </c>
      <c r="BJ138" s="345">
        <f>IF($A138="","",F138+G138+H138+I138+J138+K138+L138+M138+N138-IF(AS138=1,0,J138))</f>
        <v/>
      </c>
      <c r="BK138" s="345">
        <f>IF($A138="","",8+AS138)</f>
        <v/>
      </c>
      <c r="BL138" s="345">
        <f>IF(ISNUMBER(BF138),BF138,NA())</f>
        <v/>
      </c>
      <c r="BM138" s="345">
        <f>IF(ISNUMBER(AF138),AF138,NA())</f>
        <v/>
      </c>
      <c r="BN138" s="345">
        <f>IF(ISNUMBER(BI138),BI138,NA())</f>
        <v/>
      </c>
      <c r="BO138" s="345">
        <f>IF(ISNUMBER(AL138),AL138,NA())</f>
        <v/>
      </c>
      <c r="BP138" s="345">
        <f>IF(ISNUMBER(AM138),AM138,NA())</f>
        <v/>
      </c>
      <c r="BQ138" s="345">
        <f>IF(ISNUMBER(AN138),AN138,NA())</f>
        <v/>
      </c>
    </row>
    <row r="139">
      <c r="A139" s="358">
        <f>IF('Feb 2027'!P7="","",'Feb 2027'!P7)</f>
        <v/>
      </c>
      <c r="B139" s="345" t="n">
        <v>5</v>
      </c>
      <c r="C139" s="345">
        <f>IF($A139="","",12)</f>
        <v/>
      </c>
      <c r="D139" s="345">
        <f>IF($A139="","",WEEKDAY($A139,2))</f>
        <v/>
      </c>
      <c r="E139" s="345">
        <f>IF($A139="","",UPPER(TRIM('Feb 2027'!P8)))</f>
        <v/>
      </c>
      <c r="F139" s="345">
        <f>IF($A139="","",IF(OR('Feb 2027'!P10=TRUE,'Feb 2027'!P10="x",'Feb 2027'!P10="X"),1,0))</f>
        <v/>
      </c>
      <c r="G139" s="345">
        <f>IF($A139="","",IF(OR('Feb 2027'!P11=TRUE,'Feb 2027'!P11="x",'Feb 2027'!P11="X"),1,0))</f>
        <v/>
      </c>
      <c r="H139" s="345">
        <f>IF($A139="","",IF(OR('Feb 2027'!P12=TRUE,'Feb 2027'!P12="x",'Feb 2027'!P12="X"),1,0))</f>
        <v/>
      </c>
      <c r="I139" s="345">
        <f>IF($A139="","",IF(OR('Feb 2027'!P13=TRUE,'Feb 2027'!P13="x",'Feb 2027'!P13="X"),1,0))</f>
        <v/>
      </c>
      <c r="J139" s="345">
        <f>IF($A139="","",IF(OR('Feb 2027'!P14=TRUE,'Feb 2027'!P14="x",'Feb 2027'!P14="X"),1,0))</f>
        <v/>
      </c>
      <c r="K139" s="345">
        <f>IF($A139="","",IF(OR('Feb 2027'!P15=TRUE,'Feb 2027'!P15="x",'Feb 2027'!P15="X"),1,0))</f>
        <v/>
      </c>
      <c r="L139" s="345">
        <f>IF($A139="","",IF(OR('Feb 2027'!P16=TRUE,'Feb 2027'!P16="x",'Feb 2027'!P16="X"),1,0))</f>
        <v/>
      </c>
      <c r="M139" s="345">
        <f>IF($A139="","",IF(OR('Feb 2027'!P17=TRUE,'Feb 2027'!P17="x",'Feb 2027'!P17="X"),1,0))</f>
        <v/>
      </c>
      <c r="N139" s="345">
        <f>IF($A139="","",IF(OR('Feb 2027'!P18=TRUE,'Feb 2027'!P18="x",'Feb 2027'!P18="X"),1,0))</f>
        <v/>
      </c>
      <c r="O139" s="345">
        <f>IF($A139="","",IF(OR('Feb 2027'!P20=TRUE,'Feb 2027'!P20="x",'Feb 2027'!P20="X"),1,0))</f>
        <v/>
      </c>
      <c r="P139" s="345">
        <f>IF($A139="","",IF(OR('Feb 2027'!P21=TRUE,'Feb 2027'!P21="x",'Feb 2027'!P21="X"),1,0))</f>
        <v/>
      </c>
      <c r="Q139" s="345">
        <f>IF($A139="","",IF(OR('Feb 2027'!P22=TRUE,'Feb 2027'!P22="x",'Feb 2027'!P22="X"),1,0))</f>
        <v/>
      </c>
      <c r="R139" s="345">
        <f>IF($A139="","",IF(OR('Feb 2027'!P23=TRUE,'Feb 2027'!P23="x",'Feb 2027'!P23="X"),1,0))</f>
        <v/>
      </c>
      <c r="S139" s="345">
        <f>IF($A139="","",IF(OR('Feb 2027'!P24=TRUE,'Feb 2027'!P24="x",'Feb 2027'!P24="X"),1,0))</f>
        <v/>
      </c>
      <c r="T139" s="345">
        <f>IF($A139="","",IF(OR('Feb 2027'!P25=TRUE,'Feb 2027'!P25="x",'Feb 2027'!P25="X"),1,0))</f>
        <v/>
      </c>
      <c r="U139" s="345">
        <f>IF($A139="","",IF(OR('Feb 2027'!P26=TRUE,'Feb 2027'!P26="x",'Feb 2027'!P26="X"),1,0))</f>
        <v/>
      </c>
      <c r="V139" s="345">
        <f>IF($A139="","",IF(OR('Feb 2027'!P27=TRUE,'Feb 2027'!P27="x",'Feb 2027'!P27="X"),1,0))</f>
        <v/>
      </c>
      <c r="W139" s="345">
        <f>IF($A139="","",IF(OR('Feb 2027'!P28=TRUE,'Feb 2027'!P28="x",'Feb 2027'!P28="X"),1,0))</f>
        <v/>
      </c>
      <c r="X139" s="345">
        <f>IF($A139="","",IF(OR('Feb 2027'!P29=TRUE,'Feb 2027'!P29="x",'Feb 2027'!P29="X"),1,0))</f>
        <v/>
      </c>
      <c r="Y139" s="345">
        <f>IF($A139="","",IF(OR('Feb 2027'!P30=TRUE,'Feb 2027'!P30="x",'Feb 2027'!P30="X"),1,0))</f>
        <v/>
      </c>
      <c r="Z139" s="345">
        <f>IF($A139="","",IF(OR('Feb 2027'!P31=TRUE,'Feb 2027'!P31="x",'Feb 2027'!P31="X"),1,0))</f>
        <v/>
      </c>
      <c r="AA139" s="345">
        <f>IF($A139="","",IF(OR('Feb 2027'!P32=TRUE,'Feb 2027'!P32="x",'Feb 2027'!P32="X"),1,0))</f>
        <v/>
      </c>
      <c r="AB139" s="345">
        <f>IF($A139="","",IF(OR('Feb 2027'!P34=TRUE,'Feb 2027'!P34="x",'Feb 2027'!P34="X"),1,0))</f>
        <v/>
      </c>
      <c r="AC139" s="345">
        <f>IF($A139="","",IF(OR('Feb 2027'!P35=TRUE,'Feb 2027'!P35="x",'Feb 2027'!P35="X"),1,0))</f>
        <v/>
      </c>
      <c r="AD139" s="345">
        <f>IF($A139="","",IF(OR('Feb 2027'!P36=TRUE,'Feb 2027'!P36="x",'Feb 2027'!P36="X"),1,0))</f>
        <v/>
      </c>
      <c r="AE139" s="345">
        <f>IF($A139="","",IF(OR('Feb 2027'!P37=TRUE,'Feb 2027'!P37="x",'Feb 2027'!P37="X"),1,0))</f>
        <v/>
      </c>
      <c r="AF139" s="345">
        <f>IF($A139="","",IF('Feb 2027'!P59="","",'Feb 2027'!P59))</f>
        <v/>
      </c>
      <c r="AG139" s="345">
        <f>IF($A139="","",IF('Feb 2027'!P60="","",'Feb 2027'!P60))</f>
        <v/>
      </c>
      <c r="AH139" s="345">
        <f>IF($A139="","",IF('Feb 2027'!P61="","",'Feb 2027'!P61))</f>
        <v/>
      </c>
      <c r="AI139" s="345">
        <f>IF($A139="","",IF('Feb 2027'!P62="","",'Feb 2027'!P62))</f>
        <v/>
      </c>
      <c r="AJ139" s="345">
        <f>IF($A139="","",IF('Feb 2027'!P63="","",'Feb 2027'!P63))</f>
        <v/>
      </c>
      <c r="AK139" s="345">
        <f>IF($A139="","",IF('Feb 2027'!P64="","",'Feb 2027'!P64))</f>
        <v/>
      </c>
      <c r="AL139" s="345">
        <f>IF($A139="","",IF('Feb 2027'!P65="","",'Feb 2027'!P65))</f>
        <v/>
      </c>
      <c r="AM139" s="345">
        <f>IF($A139="","",IF('Feb 2027'!P66="","",'Feb 2027'!P66))</f>
        <v/>
      </c>
      <c r="AN139" s="345">
        <f>IF($A139="","",IF('Feb 2027'!P67="","",'Feb 2027'!P67))</f>
        <v/>
      </c>
      <c r="AO139" s="345">
        <f>IF($A139="",0,IF(AND($A139&gt;=TrackStart,$A139&lt;=TODAY()),1,0))</f>
        <v/>
      </c>
      <c r="AP139" s="345">
        <f>IF($A139="",0,IF(SUM(F139:AE139)+COUNT(AF139:AN139)&gt;0,1,0))</f>
        <v/>
      </c>
      <c r="AQ139" s="345">
        <f>IF($A139="","",INT(($A139-TrackStart)/7)+1)</f>
        <v/>
      </c>
      <c r="AR139" s="345">
        <f>IF($A139="","",IF(AQ139&lt;=1,Steps1,IF(AQ139=2,Steps2,Steps3)))</f>
        <v/>
      </c>
      <c r="AS139" s="345">
        <f>IF($A139="",0,IF(ISNUMBER(SEARCH(TEXT(D139,"0"),WorkDays&amp;"")),1,0))</f>
        <v/>
      </c>
      <c r="AT139" s="345">
        <f>IF($A139="",0,IF(ISNUMBER(SEARCH(TEXT(D139,"0"),StrDays&amp;"")),1,0))</f>
        <v/>
      </c>
      <c r="AU139" s="345">
        <f>IF($A139="",0,IF(ISNUMBER(AK139),IF(AK139&gt;=SleepMin,1,0),N139))</f>
        <v/>
      </c>
      <c r="AV139" s="345">
        <f>IF($A139="",0,MAX(I139,O139,S139,AC139))</f>
        <v/>
      </c>
      <c r="AW139" s="345">
        <f>IF($A139="",0,IF(ISNUMBER(AH139),IF(AH139&gt;=ProtHit,1,0),0))</f>
        <v/>
      </c>
      <c r="AX139" s="345">
        <f>IF($A139="",0,IF(ISNUMBER(AI139),IF(AI139&gt;=WaterHit,1,0),0))</f>
        <v/>
      </c>
      <c r="AY139" s="345">
        <f>IF($A139="",0,IF(ISNUMBER(AG139),IF(AG139&gt;=AR139,1,0),0))</f>
        <v/>
      </c>
      <c r="AZ139" s="345">
        <f>IF($A139="",0,G139)</f>
        <v/>
      </c>
      <c r="BA139" s="345">
        <f>IF($A139="",0,J139)</f>
        <v/>
      </c>
      <c r="BB139" s="345">
        <f>IF($A139="",0,K139)</f>
        <v/>
      </c>
      <c r="BC139" s="345">
        <f>IF($A139="",0,MAX(L139,AE139))</f>
        <v/>
      </c>
      <c r="BD139" s="344">
        <f>IF($A139="","",(AU139+AV139+AW139+AX139+AY139+AZ139+BB139+BC139+IF(AS139=1,BA139,0))/(8+AS139))</f>
        <v/>
      </c>
      <c r="BE139" s="344">
        <f>IF($A139="","",(IF(ISNUMBER(AI139),IF(AI139&gt;=WaterMVD,1,0),0)+AV139+IF(ISNUMBER(AH139),IF(AH139&gt;=ProtMVD,1,0),0)+MAX(H139,AD139)+AZ139+BB139+AU139)/7)</f>
        <v/>
      </c>
      <c r="BF139" s="344">
        <f>IF(AO139=0,"",IF(E139="S","",IF(AND(AP139=0,$A139=TODAY()),"",IF(E139="M",BE139,BD139))))</f>
        <v/>
      </c>
      <c r="BG139" s="344">
        <f>IF(AO139=0,"",IFERROR(AVERAGEIFS(Data!$BF$4:$BF$375,Data!$A$4:$A$375,"&gt;"&amp;($A139-7),Data!$A$4:$A$375,"&lt;="&amp;$A139),""))</f>
        <v/>
      </c>
      <c r="BH139" s="344">
        <f>IF(AO139=0,"",IFERROR(AVERAGEIFS(Data!$BF$4:$BF$375,Data!$A$4:$A$375,"&gt;"&amp;($A139-30),Data!$A$4:$A$375,"&lt;="&amp;$A139),""))</f>
        <v/>
      </c>
      <c r="BI139" s="359">
        <f>IF($A139="","",IFERROR(AVERAGEIFS(Data!$AF$4:$AF$375,Data!$A$4:$A$375,"&gt;"&amp;($A139-7),Data!$A$4:$A$375,"&lt;="&amp;$A139,Data!$AF$4:$AF$375,"&gt;0"),""))</f>
        <v/>
      </c>
      <c r="BJ139" s="345">
        <f>IF($A139="","",F139+G139+H139+I139+J139+K139+L139+M139+N139-IF(AS139=1,0,J139))</f>
        <v/>
      </c>
      <c r="BK139" s="345">
        <f>IF($A139="","",8+AS139)</f>
        <v/>
      </c>
      <c r="BL139" s="345">
        <f>IF(ISNUMBER(BF139),BF139,NA())</f>
        <v/>
      </c>
      <c r="BM139" s="345">
        <f>IF(ISNUMBER(AF139),AF139,NA())</f>
        <v/>
      </c>
      <c r="BN139" s="345">
        <f>IF(ISNUMBER(BI139),BI139,NA())</f>
        <v/>
      </c>
      <c r="BO139" s="345">
        <f>IF(ISNUMBER(AL139),AL139,NA())</f>
        <v/>
      </c>
      <c r="BP139" s="345">
        <f>IF(ISNUMBER(AM139),AM139,NA())</f>
        <v/>
      </c>
      <c r="BQ139" s="345">
        <f>IF(ISNUMBER(AN139),AN139,NA())</f>
        <v/>
      </c>
    </row>
    <row r="140">
      <c r="A140" s="358">
        <f>IF('Feb 2027'!Q7="","",'Feb 2027'!Q7)</f>
        <v/>
      </c>
      <c r="B140" s="345" t="n">
        <v>5</v>
      </c>
      <c r="C140" s="345">
        <f>IF($A140="","",13)</f>
        <v/>
      </c>
      <c r="D140" s="345">
        <f>IF($A140="","",WEEKDAY($A140,2))</f>
        <v/>
      </c>
      <c r="E140" s="345">
        <f>IF($A140="","",UPPER(TRIM('Feb 2027'!Q8)))</f>
        <v/>
      </c>
      <c r="F140" s="345">
        <f>IF($A140="","",IF(OR('Feb 2027'!Q10=TRUE,'Feb 2027'!Q10="x",'Feb 2027'!Q10="X"),1,0))</f>
        <v/>
      </c>
      <c r="G140" s="345">
        <f>IF($A140="","",IF(OR('Feb 2027'!Q11=TRUE,'Feb 2027'!Q11="x",'Feb 2027'!Q11="X"),1,0))</f>
        <v/>
      </c>
      <c r="H140" s="345">
        <f>IF($A140="","",IF(OR('Feb 2027'!Q12=TRUE,'Feb 2027'!Q12="x",'Feb 2027'!Q12="X"),1,0))</f>
        <v/>
      </c>
      <c r="I140" s="345">
        <f>IF($A140="","",IF(OR('Feb 2027'!Q13=TRUE,'Feb 2027'!Q13="x",'Feb 2027'!Q13="X"),1,0))</f>
        <v/>
      </c>
      <c r="J140" s="345">
        <f>IF($A140="","",IF(OR('Feb 2027'!Q14=TRUE,'Feb 2027'!Q14="x",'Feb 2027'!Q14="X"),1,0))</f>
        <v/>
      </c>
      <c r="K140" s="345">
        <f>IF($A140="","",IF(OR('Feb 2027'!Q15=TRUE,'Feb 2027'!Q15="x",'Feb 2027'!Q15="X"),1,0))</f>
        <v/>
      </c>
      <c r="L140" s="345">
        <f>IF($A140="","",IF(OR('Feb 2027'!Q16=TRUE,'Feb 2027'!Q16="x",'Feb 2027'!Q16="X"),1,0))</f>
        <v/>
      </c>
      <c r="M140" s="345">
        <f>IF($A140="","",IF(OR('Feb 2027'!Q17=TRUE,'Feb 2027'!Q17="x",'Feb 2027'!Q17="X"),1,0))</f>
        <v/>
      </c>
      <c r="N140" s="345">
        <f>IF($A140="","",IF(OR('Feb 2027'!Q18=TRUE,'Feb 2027'!Q18="x",'Feb 2027'!Q18="X"),1,0))</f>
        <v/>
      </c>
      <c r="O140" s="345">
        <f>IF($A140="","",IF(OR('Feb 2027'!Q20=TRUE,'Feb 2027'!Q20="x",'Feb 2027'!Q20="X"),1,0))</f>
        <v/>
      </c>
      <c r="P140" s="345">
        <f>IF($A140="","",IF(OR('Feb 2027'!Q21=TRUE,'Feb 2027'!Q21="x",'Feb 2027'!Q21="X"),1,0))</f>
        <v/>
      </c>
      <c r="Q140" s="345">
        <f>IF($A140="","",IF(OR('Feb 2027'!Q22=TRUE,'Feb 2027'!Q22="x",'Feb 2027'!Q22="X"),1,0))</f>
        <v/>
      </c>
      <c r="R140" s="345">
        <f>IF($A140="","",IF(OR('Feb 2027'!Q23=TRUE,'Feb 2027'!Q23="x",'Feb 2027'!Q23="X"),1,0))</f>
        <v/>
      </c>
      <c r="S140" s="345">
        <f>IF($A140="","",IF(OR('Feb 2027'!Q24=TRUE,'Feb 2027'!Q24="x",'Feb 2027'!Q24="X"),1,0))</f>
        <v/>
      </c>
      <c r="T140" s="345">
        <f>IF($A140="","",IF(OR('Feb 2027'!Q25=TRUE,'Feb 2027'!Q25="x",'Feb 2027'!Q25="X"),1,0))</f>
        <v/>
      </c>
      <c r="U140" s="345">
        <f>IF($A140="","",IF(OR('Feb 2027'!Q26=TRUE,'Feb 2027'!Q26="x",'Feb 2027'!Q26="X"),1,0))</f>
        <v/>
      </c>
      <c r="V140" s="345">
        <f>IF($A140="","",IF(OR('Feb 2027'!Q27=TRUE,'Feb 2027'!Q27="x",'Feb 2027'!Q27="X"),1,0))</f>
        <v/>
      </c>
      <c r="W140" s="345">
        <f>IF($A140="","",IF(OR('Feb 2027'!Q28=TRUE,'Feb 2027'!Q28="x",'Feb 2027'!Q28="X"),1,0))</f>
        <v/>
      </c>
      <c r="X140" s="345">
        <f>IF($A140="","",IF(OR('Feb 2027'!Q29=TRUE,'Feb 2027'!Q29="x",'Feb 2027'!Q29="X"),1,0))</f>
        <v/>
      </c>
      <c r="Y140" s="345">
        <f>IF($A140="","",IF(OR('Feb 2027'!Q30=TRUE,'Feb 2027'!Q30="x",'Feb 2027'!Q30="X"),1,0))</f>
        <v/>
      </c>
      <c r="Z140" s="345">
        <f>IF($A140="","",IF(OR('Feb 2027'!Q31=TRUE,'Feb 2027'!Q31="x",'Feb 2027'!Q31="X"),1,0))</f>
        <v/>
      </c>
      <c r="AA140" s="345">
        <f>IF($A140="","",IF(OR('Feb 2027'!Q32=TRUE,'Feb 2027'!Q32="x",'Feb 2027'!Q32="X"),1,0))</f>
        <v/>
      </c>
      <c r="AB140" s="345">
        <f>IF($A140="","",IF(OR('Feb 2027'!Q34=TRUE,'Feb 2027'!Q34="x",'Feb 2027'!Q34="X"),1,0))</f>
        <v/>
      </c>
      <c r="AC140" s="345">
        <f>IF($A140="","",IF(OR('Feb 2027'!Q35=TRUE,'Feb 2027'!Q35="x",'Feb 2027'!Q35="X"),1,0))</f>
        <v/>
      </c>
      <c r="AD140" s="345">
        <f>IF($A140="","",IF(OR('Feb 2027'!Q36=TRUE,'Feb 2027'!Q36="x",'Feb 2027'!Q36="X"),1,0))</f>
        <v/>
      </c>
      <c r="AE140" s="345">
        <f>IF($A140="","",IF(OR('Feb 2027'!Q37=TRUE,'Feb 2027'!Q37="x",'Feb 2027'!Q37="X"),1,0))</f>
        <v/>
      </c>
      <c r="AF140" s="345">
        <f>IF($A140="","",IF('Feb 2027'!Q59="","",'Feb 2027'!Q59))</f>
        <v/>
      </c>
      <c r="AG140" s="345">
        <f>IF($A140="","",IF('Feb 2027'!Q60="","",'Feb 2027'!Q60))</f>
        <v/>
      </c>
      <c r="AH140" s="345">
        <f>IF($A140="","",IF('Feb 2027'!Q61="","",'Feb 2027'!Q61))</f>
        <v/>
      </c>
      <c r="AI140" s="345">
        <f>IF($A140="","",IF('Feb 2027'!Q62="","",'Feb 2027'!Q62))</f>
        <v/>
      </c>
      <c r="AJ140" s="345">
        <f>IF($A140="","",IF('Feb 2027'!Q63="","",'Feb 2027'!Q63))</f>
        <v/>
      </c>
      <c r="AK140" s="345">
        <f>IF($A140="","",IF('Feb 2027'!Q64="","",'Feb 2027'!Q64))</f>
        <v/>
      </c>
      <c r="AL140" s="345">
        <f>IF($A140="","",IF('Feb 2027'!Q65="","",'Feb 2027'!Q65))</f>
        <v/>
      </c>
      <c r="AM140" s="345">
        <f>IF($A140="","",IF('Feb 2027'!Q66="","",'Feb 2027'!Q66))</f>
        <v/>
      </c>
      <c r="AN140" s="345">
        <f>IF($A140="","",IF('Feb 2027'!Q67="","",'Feb 2027'!Q67))</f>
        <v/>
      </c>
      <c r="AO140" s="345">
        <f>IF($A140="",0,IF(AND($A140&gt;=TrackStart,$A140&lt;=TODAY()),1,0))</f>
        <v/>
      </c>
      <c r="AP140" s="345">
        <f>IF($A140="",0,IF(SUM(F140:AE140)+COUNT(AF140:AN140)&gt;0,1,0))</f>
        <v/>
      </c>
      <c r="AQ140" s="345">
        <f>IF($A140="","",INT(($A140-TrackStart)/7)+1)</f>
        <v/>
      </c>
      <c r="AR140" s="345">
        <f>IF($A140="","",IF(AQ140&lt;=1,Steps1,IF(AQ140=2,Steps2,Steps3)))</f>
        <v/>
      </c>
      <c r="AS140" s="345">
        <f>IF($A140="",0,IF(ISNUMBER(SEARCH(TEXT(D140,"0"),WorkDays&amp;"")),1,0))</f>
        <v/>
      </c>
      <c r="AT140" s="345">
        <f>IF($A140="",0,IF(ISNUMBER(SEARCH(TEXT(D140,"0"),StrDays&amp;"")),1,0))</f>
        <v/>
      </c>
      <c r="AU140" s="345">
        <f>IF($A140="",0,IF(ISNUMBER(AK140),IF(AK140&gt;=SleepMin,1,0),N140))</f>
        <v/>
      </c>
      <c r="AV140" s="345">
        <f>IF($A140="",0,MAX(I140,O140,S140,AC140))</f>
        <v/>
      </c>
      <c r="AW140" s="345">
        <f>IF($A140="",0,IF(ISNUMBER(AH140),IF(AH140&gt;=ProtHit,1,0),0))</f>
        <v/>
      </c>
      <c r="AX140" s="345">
        <f>IF($A140="",0,IF(ISNUMBER(AI140),IF(AI140&gt;=WaterHit,1,0),0))</f>
        <v/>
      </c>
      <c r="AY140" s="345">
        <f>IF($A140="",0,IF(ISNUMBER(AG140),IF(AG140&gt;=AR140,1,0),0))</f>
        <v/>
      </c>
      <c r="AZ140" s="345">
        <f>IF($A140="",0,G140)</f>
        <v/>
      </c>
      <c r="BA140" s="345">
        <f>IF($A140="",0,J140)</f>
        <v/>
      </c>
      <c r="BB140" s="345">
        <f>IF($A140="",0,K140)</f>
        <v/>
      </c>
      <c r="BC140" s="345">
        <f>IF($A140="",0,MAX(L140,AE140))</f>
        <v/>
      </c>
      <c r="BD140" s="344">
        <f>IF($A140="","",(AU140+AV140+AW140+AX140+AY140+AZ140+BB140+BC140+IF(AS140=1,BA140,0))/(8+AS140))</f>
        <v/>
      </c>
      <c r="BE140" s="344">
        <f>IF($A140="","",(IF(ISNUMBER(AI140),IF(AI140&gt;=WaterMVD,1,0),0)+AV140+IF(ISNUMBER(AH140),IF(AH140&gt;=ProtMVD,1,0),0)+MAX(H140,AD140)+AZ140+BB140+AU140)/7)</f>
        <v/>
      </c>
      <c r="BF140" s="344">
        <f>IF(AO140=0,"",IF(E140="S","",IF(AND(AP140=0,$A140=TODAY()),"",IF(E140="M",BE140,BD140))))</f>
        <v/>
      </c>
      <c r="BG140" s="344">
        <f>IF(AO140=0,"",IFERROR(AVERAGEIFS(Data!$BF$4:$BF$375,Data!$A$4:$A$375,"&gt;"&amp;($A140-7),Data!$A$4:$A$375,"&lt;="&amp;$A140),""))</f>
        <v/>
      </c>
      <c r="BH140" s="344">
        <f>IF(AO140=0,"",IFERROR(AVERAGEIFS(Data!$BF$4:$BF$375,Data!$A$4:$A$375,"&gt;"&amp;($A140-30),Data!$A$4:$A$375,"&lt;="&amp;$A140),""))</f>
        <v/>
      </c>
      <c r="BI140" s="359">
        <f>IF($A140="","",IFERROR(AVERAGEIFS(Data!$AF$4:$AF$375,Data!$A$4:$A$375,"&gt;"&amp;($A140-7),Data!$A$4:$A$375,"&lt;="&amp;$A140,Data!$AF$4:$AF$375,"&gt;0"),""))</f>
        <v/>
      </c>
      <c r="BJ140" s="345">
        <f>IF($A140="","",F140+G140+H140+I140+J140+K140+L140+M140+N140-IF(AS140=1,0,J140))</f>
        <v/>
      </c>
      <c r="BK140" s="345">
        <f>IF($A140="","",8+AS140)</f>
        <v/>
      </c>
      <c r="BL140" s="345">
        <f>IF(ISNUMBER(BF140),BF140,NA())</f>
        <v/>
      </c>
      <c r="BM140" s="345">
        <f>IF(ISNUMBER(AF140),AF140,NA())</f>
        <v/>
      </c>
      <c r="BN140" s="345">
        <f>IF(ISNUMBER(BI140),BI140,NA())</f>
        <v/>
      </c>
      <c r="BO140" s="345">
        <f>IF(ISNUMBER(AL140),AL140,NA())</f>
        <v/>
      </c>
      <c r="BP140" s="345">
        <f>IF(ISNUMBER(AM140),AM140,NA())</f>
        <v/>
      </c>
      <c r="BQ140" s="345">
        <f>IF(ISNUMBER(AN140),AN140,NA())</f>
        <v/>
      </c>
    </row>
    <row r="141">
      <c r="A141" s="358">
        <f>IF('Feb 2027'!R7="","",'Feb 2027'!R7)</f>
        <v/>
      </c>
      <c r="B141" s="345" t="n">
        <v>5</v>
      </c>
      <c r="C141" s="345">
        <f>IF($A141="","",14)</f>
        <v/>
      </c>
      <c r="D141" s="345">
        <f>IF($A141="","",WEEKDAY($A141,2))</f>
        <v/>
      </c>
      <c r="E141" s="345">
        <f>IF($A141="","",UPPER(TRIM('Feb 2027'!R8)))</f>
        <v/>
      </c>
      <c r="F141" s="345">
        <f>IF($A141="","",IF(OR('Feb 2027'!R10=TRUE,'Feb 2027'!R10="x",'Feb 2027'!R10="X"),1,0))</f>
        <v/>
      </c>
      <c r="G141" s="345">
        <f>IF($A141="","",IF(OR('Feb 2027'!R11=TRUE,'Feb 2027'!R11="x",'Feb 2027'!R11="X"),1,0))</f>
        <v/>
      </c>
      <c r="H141" s="345">
        <f>IF($A141="","",IF(OR('Feb 2027'!R12=TRUE,'Feb 2027'!R12="x",'Feb 2027'!R12="X"),1,0))</f>
        <v/>
      </c>
      <c r="I141" s="345">
        <f>IF($A141="","",IF(OR('Feb 2027'!R13=TRUE,'Feb 2027'!R13="x",'Feb 2027'!R13="X"),1,0))</f>
        <v/>
      </c>
      <c r="J141" s="345">
        <f>IF($A141="","",IF(OR('Feb 2027'!R14=TRUE,'Feb 2027'!R14="x",'Feb 2027'!R14="X"),1,0))</f>
        <v/>
      </c>
      <c r="K141" s="345">
        <f>IF($A141="","",IF(OR('Feb 2027'!R15=TRUE,'Feb 2027'!R15="x",'Feb 2027'!R15="X"),1,0))</f>
        <v/>
      </c>
      <c r="L141" s="345">
        <f>IF($A141="","",IF(OR('Feb 2027'!R16=TRUE,'Feb 2027'!R16="x",'Feb 2027'!R16="X"),1,0))</f>
        <v/>
      </c>
      <c r="M141" s="345">
        <f>IF($A141="","",IF(OR('Feb 2027'!R17=TRUE,'Feb 2027'!R17="x",'Feb 2027'!R17="X"),1,0))</f>
        <v/>
      </c>
      <c r="N141" s="345">
        <f>IF($A141="","",IF(OR('Feb 2027'!R18=TRUE,'Feb 2027'!R18="x",'Feb 2027'!R18="X"),1,0))</f>
        <v/>
      </c>
      <c r="O141" s="345">
        <f>IF($A141="","",IF(OR('Feb 2027'!R20=TRUE,'Feb 2027'!R20="x",'Feb 2027'!R20="X"),1,0))</f>
        <v/>
      </c>
      <c r="P141" s="345">
        <f>IF($A141="","",IF(OR('Feb 2027'!R21=TRUE,'Feb 2027'!R21="x",'Feb 2027'!R21="X"),1,0))</f>
        <v/>
      </c>
      <c r="Q141" s="345">
        <f>IF($A141="","",IF(OR('Feb 2027'!R22=TRUE,'Feb 2027'!R22="x",'Feb 2027'!R22="X"),1,0))</f>
        <v/>
      </c>
      <c r="R141" s="345">
        <f>IF($A141="","",IF(OR('Feb 2027'!R23=TRUE,'Feb 2027'!R23="x",'Feb 2027'!R23="X"),1,0))</f>
        <v/>
      </c>
      <c r="S141" s="345">
        <f>IF($A141="","",IF(OR('Feb 2027'!R24=TRUE,'Feb 2027'!R24="x",'Feb 2027'!R24="X"),1,0))</f>
        <v/>
      </c>
      <c r="T141" s="345">
        <f>IF($A141="","",IF(OR('Feb 2027'!R25=TRUE,'Feb 2027'!R25="x",'Feb 2027'!R25="X"),1,0))</f>
        <v/>
      </c>
      <c r="U141" s="345">
        <f>IF($A141="","",IF(OR('Feb 2027'!R26=TRUE,'Feb 2027'!R26="x",'Feb 2027'!R26="X"),1,0))</f>
        <v/>
      </c>
      <c r="V141" s="345">
        <f>IF($A141="","",IF(OR('Feb 2027'!R27=TRUE,'Feb 2027'!R27="x",'Feb 2027'!R27="X"),1,0))</f>
        <v/>
      </c>
      <c r="W141" s="345">
        <f>IF($A141="","",IF(OR('Feb 2027'!R28=TRUE,'Feb 2027'!R28="x",'Feb 2027'!R28="X"),1,0))</f>
        <v/>
      </c>
      <c r="X141" s="345">
        <f>IF($A141="","",IF(OR('Feb 2027'!R29=TRUE,'Feb 2027'!R29="x",'Feb 2027'!R29="X"),1,0))</f>
        <v/>
      </c>
      <c r="Y141" s="345">
        <f>IF($A141="","",IF(OR('Feb 2027'!R30=TRUE,'Feb 2027'!R30="x",'Feb 2027'!R30="X"),1,0))</f>
        <v/>
      </c>
      <c r="Z141" s="345">
        <f>IF($A141="","",IF(OR('Feb 2027'!R31=TRUE,'Feb 2027'!R31="x",'Feb 2027'!R31="X"),1,0))</f>
        <v/>
      </c>
      <c r="AA141" s="345">
        <f>IF($A141="","",IF(OR('Feb 2027'!R32=TRUE,'Feb 2027'!R32="x",'Feb 2027'!R32="X"),1,0))</f>
        <v/>
      </c>
      <c r="AB141" s="345">
        <f>IF($A141="","",IF(OR('Feb 2027'!R34=TRUE,'Feb 2027'!R34="x",'Feb 2027'!R34="X"),1,0))</f>
        <v/>
      </c>
      <c r="AC141" s="345">
        <f>IF($A141="","",IF(OR('Feb 2027'!R35=TRUE,'Feb 2027'!R35="x",'Feb 2027'!R35="X"),1,0))</f>
        <v/>
      </c>
      <c r="AD141" s="345">
        <f>IF($A141="","",IF(OR('Feb 2027'!R36=TRUE,'Feb 2027'!R36="x",'Feb 2027'!R36="X"),1,0))</f>
        <v/>
      </c>
      <c r="AE141" s="345">
        <f>IF($A141="","",IF(OR('Feb 2027'!R37=TRUE,'Feb 2027'!R37="x",'Feb 2027'!R37="X"),1,0))</f>
        <v/>
      </c>
      <c r="AF141" s="345">
        <f>IF($A141="","",IF('Feb 2027'!R59="","",'Feb 2027'!R59))</f>
        <v/>
      </c>
      <c r="AG141" s="345">
        <f>IF($A141="","",IF('Feb 2027'!R60="","",'Feb 2027'!R60))</f>
        <v/>
      </c>
      <c r="AH141" s="345">
        <f>IF($A141="","",IF('Feb 2027'!R61="","",'Feb 2027'!R61))</f>
        <v/>
      </c>
      <c r="AI141" s="345">
        <f>IF($A141="","",IF('Feb 2027'!R62="","",'Feb 2027'!R62))</f>
        <v/>
      </c>
      <c r="AJ141" s="345">
        <f>IF($A141="","",IF('Feb 2027'!R63="","",'Feb 2027'!R63))</f>
        <v/>
      </c>
      <c r="AK141" s="345">
        <f>IF($A141="","",IF('Feb 2027'!R64="","",'Feb 2027'!R64))</f>
        <v/>
      </c>
      <c r="AL141" s="345">
        <f>IF($A141="","",IF('Feb 2027'!R65="","",'Feb 2027'!R65))</f>
        <v/>
      </c>
      <c r="AM141" s="345">
        <f>IF($A141="","",IF('Feb 2027'!R66="","",'Feb 2027'!R66))</f>
        <v/>
      </c>
      <c r="AN141" s="345">
        <f>IF($A141="","",IF('Feb 2027'!R67="","",'Feb 2027'!R67))</f>
        <v/>
      </c>
      <c r="AO141" s="345">
        <f>IF($A141="",0,IF(AND($A141&gt;=TrackStart,$A141&lt;=TODAY()),1,0))</f>
        <v/>
      </c>
      <c r="AP141" s="345">
        <f>IF($A141="",0,IF(SUM(F141:AE141)+COUNT(AF141:AN141)&gt;0,1,0))</f>
        <v/>
      </c>
      <c r="AQ141" s="345">
        <f>IF($A141="","",INT(($A141-TrackStart)/7)+1)</f>
        <v/>
      </c>
      <c r="AR141" s="345">
        <f>IF($A141="","",IF(AQ141&lt;=1,Steps1,IF(AQ141=2,Steps2,Steps3)))</f>
        <v/>
      </c>
      <c r="AS141" s="345">
        <f>IF($A141="",0,IF(ISNUMBER(SEARCH(TEXT(D141,"0"),WorkDays&amp;"")),1,0))</f>
        <v/>
      </c>
      <c r="AT141" s="345">
        <f>IF($A141="",0,IF(ISNUMBER(SEARCH(TEXT(D141,"0"),StrDays&amp;"")),1,0))</f>
        <v/>
      </c>
      <c r="AU141" s="345">
        <f>IF($A141="",0,IF(ISNUMBER(AK141),IF(AK141&gt;=SleepMin,1,0),N141))</f>
        <v/>
      </c>
      <c r="AV141" s="345">
        <f>IF($A141="",0,MAX(I141,O141,S141,AC141))</f>
        <v/>
      </c>
      <c r="AW141" s="345">
        <f>IF($A141="",0,IF(ISNUMBER(AH141),IF(AH141&gt;=ProtHit,1,0),0))</f>
        <v/>
      </c>
      <c r="AX141" s="345">
        <f>IF($A141="",0,IF(ISNUMBER(AI141),IF(AI141&gt;=WaterHit,1,0),0))</f>
        <v/>
      </c>
      <c r="AY141" s="345">
        <f>IF($A141="",0,IF(ISNUMBER(AG141),IF(AG141&gt;=AR141,1,0),0))</f>
        <v/>
      </c>
      <c r="AZ141" s="345">
        <f>IF($A141="",0,G141)</f>
        <v/>
      </c>
      <c r="BA141" s="345">
        <f>IF($A141="",0,J141)</f>
        <v/>
      </c>
      <c r="BB141" s="345">
        <f>IF($A141="",0,K141)</f>
        <v/>
      </c>
      <c r="BC141" s="345">
        <f>IF($A141="",0,MAX(L141,AE141))</f>
        <v/>
      </c>
      <c r="BD141" s="344">
        <f>IF($A141="","",(AU141+AV141+AW141+AX141+AY141+AZ141+BB141+BC141+IF(AS141=1,BA141,0))/(8+AS141))</f>
        <v/>
      </c>
      <c r="BE141" s="344">
        <f>IF($A141="","",(IF(ISNUMBER(AI141),IF(AI141&gt;=WaterMVD,1,0),0)+AV141+IF(ISNUMBER(AH141),IF(AH141&gt;=ProtMVD,1,0),0)+MAX(H141,AD141)+AZ141+BB141+AU141)/7)</f>
        <v/>
      </c>
      <c r="BF141" s="344">
        <f>IF(AO141=0,"",IF(E141="S","",IF(AND(AP141=0,$A141=TODAY()),"",IF(E141="M",BE141,BD141))))</f>
        <v/>
      </c>
      <c r="BG141" s="344">
        <f>IF(AO141=0,"",IFERROR(AVERAGEIFS(Data!$BF$4:$BF$375,Data!$A$4:$A$375,"&gt;"&amp;($A141-7),Data!$A$4:$A$375,"&lt;="&amp;$A141),""))</f>
        <v/>
      </c>
      <c r="BH141" s="344">
        <f>IF(AO141=0,"",IFERROR(AVERAGEIFS(Data!$BF$4:$BF$375,Data!$A$4:$A$375,"&gt;"&amp;($A141-30),Data!$A$4:$A$375,"&lt;="&amp;$A141),""))</f>
        <v/>
      </c>
      <c r="BI141" s="359">
        <f>IF($A141="","",IFERROR(AVERAGEIFS(Data!$AF$4:$AF$375,Data!$A$4:$A$375,"&gt;"&amp;($A141-7),Data!$A$4:$A$375,"&lt;="&amp;$A141,Data!$AF$4:$AF$375,"&gt;0"),""))</f>
        <v/>
      </c>
      <c r="BJ141" s="345">
        <f>IF($A141="","",F141+G141+H141+I141+J141+K141+L141+M141+N141-IF(AS141=1,0,J141))</f>
        <v/>
      </c>
      <c r="BK141" s="345">
        <f>IF($A141="","",8+AS141)</f>
        <v/>
      </c>
      <c r="BL141" s="345">
        <f>IF(ISNUMBER(BF141),BF141,NA())</f>
        <v/>
      </c>
      <c r="BM141" s="345">
        <f>IF(ISNUMBER(AF141),AF141,NA())</f>
        <v/>
      </c>
      <c r="BN141" s="345">
        <f>IF(ISNUMBER(BI141),BI141,NA())</f>
        <v/>
      </c>
      <c r="BO141" s="345">
        <f>IF(ISNUMBER(AL141),AL141,NA())</f>
        <v/>
      </c>
      <c r="BP141" s="345">
        <f>IF(ISNUMBER(AM141),AM141,NA())</f>
        <v/>
      </c>
      <c r="BQ141" s="345">
        <f>IF(ISNUMBER(AN141),AN141,NA())</f>
        <v/>
      </c>
    </row>
    <row r="142">
      <c r="A142" s="358">
        <f>IF('Feb 2027'!S7="","",'Feb 2027'!S7)</f>
        <v/>
      </c>
      <c r="B142" s="345" t="n">
        <v>5</v>
      </c>
      <c r="C142" s="345">
        <f>IF($A142="","",15)</f>
        <v/>
      </c>
      <c r="D142" s="345">
        <f>IF($A142="","",WEEKDAY($A142,2))</f>
        <v/>
      </c>
      <c r="E142" s="345">
        <f>IF($A142="","",UPPER(TRIM('Feb 2027'!S8)))</f>
        <v/>
      </c>
      <c r="F142" s="345">
        <f>IF($A142="","",IF(OR('Feb 2027'!S10=TRUE,'Feb 2027'!S10="x",'Feb 2027'!S10="X"),1,0))</f>
        <v/>
      </c>
      <c r="G142" s="345">
        <f>IF($A142="","",IF(OR('Feb 2027'!S11=TRUE,'Feb 2027'!S11="x",'Feb 2027'!S11="X"),1,0))</f>
        <v/>
      </c>
      <c r="H142" s="345">
        <f>IF($A142="","",IF(OR('Feb 2027'!S12=TRUE,'Feb 2027'!S12="x",'Feb 2027'!S12="X"),1,0))</f>
        <v/>
      </c>
      <c r="I142" s="345">
        <f>IF($A142="","",IF(OR('Feb 2027'!S13=TRUE,'Feb 2027'!S13="x",'Feb 2027'!S13="X"),1,0))</f>
        <v/>
      </c>
      <c r="J142" s="345">
        <f>IF($A142="","",IF(OR('Feb 2027'!S14=TRUE,'Feb 2027'!S14="x",'Feb 2027'!S14="X"),1,0))</f>
        <v/>
      </c>
      <c r="K142" s="345">
        <f>IF($A142="","",IF(OR('Feb 2027'!S15=TRUE,'Feb 2027'!S15="x",'Feb 2027'!S15="X"),1,0))</f>
        <v/>
      </c>
      <c r="L142" s="345">
        <f>IF($A142="","",IF(OR('Feb 2027'!S16=TRUE,'Feb 2027'!S16="x",'Feb 2027'!S16="X"),1,0))</f>
        <v/>
      </c>
      <c r="M142" s="345">
        <f>IF($A142="","",IF(OR('Feb 2027'!S17=TRUE,'Feb 2027'!S17="x",'Feb 2027'!S17="X"),1,0))</f>
        <v/>
      </c>
      <c r="N142" s="345">
        <f>IF($A142="","",IF(OR('Feb 2027'!S18=TRUE,'Feb 2027'!S18="x",'Feb 2027'!S18="X"),1,0))</f>
        <v/>
      </c>
      <c r="O142" s="345">
        <f>IF($A142="","",IF(OR('Feb 2027'!S20=TRUE,'Feb 2027'!S20="x",'Feb 2027'!S20="X"),1,0))</f>
        <v/>
      </c>
      <c r="P142" s="345">
        <f>IF($A142="","",IF(OR('Feb 2027'!S21=TRUE,'Feb 2027'!S21="x",'Feb 2027'!S21="X"),1,0))</f>
        <v/>
      </c>
      <c r="Q142" s="345">
        <f>IF($A142="","",IF(OR('Feb 2027'!S22=TRUE,'Feb 2027'!S22="x",'Feb 2027'!S22="X"),1,0))</f>
        <v/>
      </c>
      <c r="R142" s="345">
        <f>IF($A142="","",IF(OR('Feb 2027'!S23=TRUE,'Feb 2027'!S23="x",'Feb 2027'!S23="X"),1,0))</f>
        <v/>
      </c>
      <c r="S142" s="345">
        <f>IF($A142="","",IF(OR('Feb 2027'!S24=TRUE,'Feb 2027'!S24="x",'Feb 2027'!S24="X"),1,0))</f>
        <v/>
      </c>
      <c r="T142" s="345">
        <f>IF($A142="","",IF(OR('Feb 2027'!S25=TRUE,'Feb 2027'!S25="x",'Feb 2027'!S25="X"),1,0))</f>
        <v/>
      </c>
      <c r="U142" s="345">
        <f>IF($A142="","",IF(OR('Feb 2027'!S26=TRUE,'Feb 2027'!S26="x",'Feb 2027'!S26="X"),1,0))</f>
        <v/>
      </c>
      <c r="V142" s="345">
        <f>IF($A142="","",IF(OR('Feb 2027'!S27=TRUE,'Feb 2027'!S27="x",'Feb 2027'!S27="X"),1,0))</f>
        <v/>
      </c>
      <c r="W142" s="345">
        <f>IF($A142="","",IF(OR('Feb 2027'!S28=TRUE,'Feb 2027'!S28="x",'Feb 2027'!S28="X"),1,0))</f>
        <v/>
      </c>
      <c r="X142" s="345">
        <f>IF($A142="","",IF(OR('Feb 2027'!S29=TRUE,'Feb 2027'!S29="x",'Feb 2027'!S29="X"),1,0))</f>
        <v/>
      </c>
      <c r="Y142" s="345">
        <f>IF($A142="","",IF(OR('Feb 2027'!S30=TRUE,'Feb 2027'!S30="x",'Feb 2027'!S30="X"),1,0))</f>
        <v/>
      </c>
      <c r="Z142" s="345">
        <f>IF($A142="","",IF(OR('Feb 2027'!S31=TRUE,'Feb 2027'!S31="x",'Feb 2027'!S31="X"),1,0))</f>
        <v/>
      </c>
      <c r="AA142" s="345">
        <f>IF($A142="","",IF(OR('Feb 2027'!S32=TRUE,'Feb 2027'!S32="x",'Feb 2027'!S32="X"),1,0))</f>
        <v/>
      </c>
      <c r="AB142" s="345">
        <f>IF($A142="","",IF(OR('Feb 2027'!S34=TRUE,'Feb 2027'!S34="x",'Feb 2027'!S34="X"),1,0))</f>
        <v/>
      </c>
      <c r="AC142" s="345">
        <f>IF($A142="","",IF(OR('Feb 2027'!S35=TRUE,'Feb 2027'!S35="x",'Feb 2027'!S35="X"),1,0))</f>
        <v/>
      </c>
      <c r="AD142" s="345">
        <f>IF($A142="","",IF(OR('Feb 2027'!S36=TRUE,'Feb 2027'!S36="x",'Feb 2027'!S36="X"),1,0))</f>
        <v/>
      </c>
      <c r="AE142" s="345">
        <f>IF($A142="","",IF(OR('Feb 2027'!S37=TRUE,'Feb 2027'!S37="x",'Feb 2027'!S37="X"),1,0))</f>
        <v/>
      </c>
      <c r="AF142" s="345">
        <f>IF($A142="","",IF('Feb 2027'!S59="","",'Feb 2027'!S59))</f>
        <v/>
      </c>
      <c r="AG142" s="345">
        <f>IF($A142="","",IF('Feb 2027'!S60="","",'Feb 2027'!S60))</f>
        <v/>
      </c>
      <c r="AH142" s="345">
        <f>IF($A142="","",IF('Feb 2027'!S61="","",'Feb 2027'!S61))</f>
        <v/>
      </c>
      <c r="AI142" s="345">
        <f>IF($A142="","",IF('Feb 2027'!S62="","",'Feb 2027'!S62))</f>
        <v/>
      </c>
      <c r="AJ142" s="345">
        <f>IF($A142="","",IF('Feb 2027'!S63="","",'Feb 2027'!S63))</f>
        <v/>
      </c>
      <c r="AK142" s="345">
        <f>IF($A142="","",IF('Feb 2027'!S64="","",'Feb 2027'!S64))</f>
        <v/>
      </c>
      <c r="AL142" s="345">
        <f>IF($A142="","",IF('Feb 2027'!S65="","",'Feb 2027'!S65))</f>
        <v/>
      </c>
      <c r="AM142" s="345">
        <f>IF($A142="","",IF('Feb 2027'!S66="","",'Feb 2027'!S66))</f>
        <v/>
      </c>
      <c r="AN142" s="345">
        <f>IF($A142="","",IF('Feb 2027'!S67="","",'Feb 2027'!S67))</f>
        <v/>
      </c>
      <c r="AO142" s="345">
        <f>IF($A142="",0,IF(AND($A142&gt;=TrackStart,$A142&lt;=TODAY()),1,0))</f>
        <v/>
      </c>
      <c r="AP142" s="345">
        <f>IF($A142="",0,IF(SUM(F142:AE142)+COUNT(AF142:AN142)&gt;0,1,0))</f>
        <v/>
      </c>
      <c r="AQ142" s="345">
        <f>IF($A142="","",INT(($A142-TrackStart)/7)+1)</f>
        <v/>
      </c>
      <c r="AR142" s="345">
        <f>IF($A142="","",IF(AQ142&lt;=1,Steps1,IF(AQ142=2,Steps2,Steps3)))</f>
        <v/>
      </c>
      <c r="AS142" s="345">
        <f>IF($A142="",0,IF(ISNUMBER(SEARCH(TEXT(D142,"0"),WorkDays&amp;"")),1,0))</f>
        <v/>
      </c>
      <c r="AT142" s="345">
        <f>IF($A142="",0,IF(ISNUMBER(SEARCH(TEXT(D142,"0"),StrDays&amp;"")),1,0))</f>
        <v/>
      </c>
      <c r="AU142" s="345">
        <f>IF($A142="",0,IF(ISNUMBER(AK142),IF(AK142&gt;=SleepMin,1,0),N142))</f>
        <v/>
      </c>
      <c r="AV142" s="345">
        <f>IF($A142="",0,MAX(I142,O142,S142,AC142))</f>
        <v/>
      </c>
      <c r="AW142" s="345">
        <f>IF($A142="",0,IF(ISNUMBER(AH142),IF(AH142&gt;=ProtHit,1,0),0))</f>
        <v/>
      </c>
      <c r="AX142" s="345">
        <f>IF($A142="",0,IF(ISNUMBER(AI142),IF(AI142&gt;=WaterHit,1,0),0))</f>
        <v/>
      </c>
      <c r="AY142" s="345">
        <f>IF($A142="",0,IF(ISNUMBER(AG142),IF(AG142&gt;=AR142,1,0),0))</f>
        <v/>
      </c>
      <c r="AZ142" s="345">
        <f>IF($A142="",0,G142)</f>
        <v/>
      </c>
      <c r="BA142" s="345">
        <f>IF($A142="",0,J142)</f>
        <v/>
      </c>
      <c r="BB142" s="345">
        <f>IF($A142="",0,K142)</f>
        <v/>
      </c>
      <c r="BC142" s="345">
        <f>IF($A142="",0,MAX(L142,AE142))</f>
        <v/>
      </c>
      <c r="BD142" s="344">
        <f>IF($A142="","",(AU142+AV142+AW142+AX142+AY142+AZ142+BB142+BC142+IF(AS142=1,BA142,0))/(8+AS142))</f>
        <v/>
      </c>
      <c r="BE142" s="344">
        <f>IF($A142="","",(IF(ISNUMBER(AI142),IF(AI142&gt;=WaterMVD,1,0),0)+AV142+IF(ISNUMBER(AH142),IF(AH142&gt;=ProtMVD,1,0),0)+MAX(H142,AD142)+AZ142+BB142+AU142)/7)</f>
        <v/>
      </c>
      <c r="BF142" s="344">
        <f>IF(AO142=0,"",IF(E142="S","",IF(AND(AP142=0,$A142=TODAY()),"",IF(E142="M",BE142,BD142))))</f>
        <v/>
      </c>
      <c r="BG142" s="344">
        <f>IF(AO142=0,"",IFERROR(AVERAGEIFS(Data!$BF$4:$BF$375,Data!$A$4:$A$375,"&gt;"&amp;($A142-7),Data!$A$4:$A$375,"&lt;="&amp;$A142),""))</f>
        <v/>
      </c>
      <c r="BH142" s="344">
        <f>IF(AO142=0,"",IFERROR(AVERAGEIFS(Data!$BF$4:$BF$375,Data!$A$4:$A$375,"&gt;"&amp;($A142-30),Data!$A$4:$A$375,"&lt;="&amp;$A142),""))</f>
        <v/>
      </c>
      <c r="BI142" s="359">
        <f>IF($A142="","",IFERROR(AVERAGEIFS(Data!$AF$4:$AF$375,Data!$A$4:$A$375,"&gt;"&amp;($A142-7),Data!$A$4:$A$375,"&lt;="&amp;$A142,Data!$AF$4:$AF$375,"&gt;0"),""))</f>
        <v/>
      </c>
      <c r="BJ142" s="345">
        <f>IF($A142="","",F142+G142+H142+I142+J142+K142+L142+M142+N142-IF(AS142=1,0,J142))</f>
        <v/>
      </c>
      <c r="BK142" s="345">
        <f>IF($A142="","",8+AS142)</f>
        <v/>
      </c>
      <c r="BL142" s="345">
        <f>IF(ISNUMBER(BF142),BF142,NA())</f>
        <v/>
      </c>
      <c r="BM142" s="345">
        <f>IF(ISNUMBER(AF142),AF142,NA())</f>
        <v/>
      </c>
      <c r="BN142" s="345">
        <f>IF(ISNUMBER(BI142),BI142,NA())</f>
        <v/>
      </c>
      <c r="BO142" s="345">
        <f>IF(ISNUMBER(AL142),AL142,NA())</f>
        <v/>
      </c>
      <c r="BP142" s="345">
        <f>IF(ISNUMBER(AM142),AM142,NA())</f>
        <v/>
      </c>
      <c r="BQ142" s="345">
        <f>IF(ISNUMBER(AN142),AN142,NA())</f>
        <v/>
      </c>
    </row>
    <row r="143">
      <c r="A143" s="358">
        <f>IF('Feb 2027'!T7="","",'Feb 2027'!T7)</f>
        <v/>
      </c>
      <c r="B143" s="345" t="n">
        <v>5</v>
      </c>
      <c r="C143" s="345">
        <f>IF($A143="","",16)</f>
        <v/>
      </c>
      <c r="D143" s="345">
        <f>IF($A143="","",WEEKDAY($A143,2))</f>
        <v/>
      </c>
      <c r="E143" s="345">
        <f>IF($A143="","",UPPER(TRIM('Feb 2027'!T8)))</f>
        <v/>
      </c>
      <c r="F143" s="345">
        <f>IF($A143="","",IF(OR('Feb 2027'!T10=TRUE,'Feb 2027'!T10="x",'Feb 2027'!T10="X"),1,0))</f>
        <v/>
      </c>
      <c r="G143" s="345">
        <f>IF($A143="","",IF(OR('Feb 2027'!T11=TRUE,'Feb 2027'!T11="x",'Feb 2027'!T11="X"),1,0))</f>
        <v/>
      </c>
      <c r="H143" s="345">
        <f>IF($A143="","",IF(OR('Feb 2027'!T12=TRUE,'Feb 2027'!T12="x",'Feb 2027'!T12="X"),1,0))</f>
        <v/>
      </c>
      <c r="I143" s="345">
        <f>IF($A143="","",IF(OR('Feb 2027'!T13=TRUE,'Feb 2027'!T13="x",'Feb 2027'!T13="X"),1,0))</f>
        <v/>
      </c>
      <c r="J143" s="345">
        <f>IF($A143="","",IF(OR('Feb 2027'!T14=TRUE,'Feb 2027'!T14="x",'Feb 2027'!T14="X"),1,0))</f>
        <v/>
      </c>
      <c r="K143" s="345">
        <f>IF($A143="","",IF(OR('Feb 2027'!T15=TRUE,'Feb 2027'!T15="x",'Feb 2027'!T15="X"),1,0))</f>
        <v/>
      </c>
      <c r="L143" s="345">
        <f>IF($A143="","",IF(OR('Feb 2027'!T16=TRUE,'Feb 2027'!T16="x",'Feb 2027'!T16="X"),1,0))</f>
        <v/>
      </c>
      <c r="M143" s="345">
        <f>IF($A143="","",IF(OR('Feb 2027'!T17=TRUE,'Feb 2027'!T17="x",'Feb 2027'!T17="X"),1,0))</f>
        <v/>
      </c>
      <c r="N143" s="345">
        <f>IF($A143="","",IF(OR('Feb 2027'!T18=TRUE,'Feb 2027'!T18="x",'Feb 2027'!T18="X"),1,0))</f>
        <v/>
      </c>
      <c r="O143" s="345">
        <f>IF($A143="","",IF(OR('Feb 2027'!T20=TRUE,'Feb 2027'!T20="x",'Feb 2027'!T20="X"),1,0))</f>
        <v/>
      </c>
      <c r="P143" s="345">
        <f>IF($A143="","",IF(OR('Feb 2027'!T21=TRUE,'Feb 2027'!T21="x",'Feb 2027'!T21="X"),1,0))</f>
        <v/>
      </c>
      <c r="Q143" s="345">
        <f>IF($A143="","",IF(OR('Feb 2027'!T22=TRUE,'Feb 2027'!T22="x",'Feb 2027'!T22="X"),1,0))</f>
        <v/>
      </c>
      <c r="R143" s="345">
        <f>IF($A143="","",IF(OR('Feb 2027'!T23=TRUE,'Feb 2027'!T23="x",'Feb 2027'!T23="X"),1,0))</f>
        <v/>
      </c>
      <c r="S143" s="345">
        <f>IF($A143="","",IF(OR('Feb 2027'!T24=TRUE,'Feb 2027'!T24="x",'Feb 2027'!T24="X"),1,0))</f>
        <v/>
      </c>
      <c r="T143" s="345">
        <f>IF($A143="","",IF(OR('Feb 2027'!T25=TRUE,'Feb 2027'!T25="x",'Feb 2027'!T25="X"),1,0))</f>
        <v/>
      </c>
      <c r="U143" s="345">
        <f>IF($A143="","",IF(OR('Feb 2027'!T26=TRUE,'Feb 2027'!T26="x",'Feb 2027'!T26="X"),1,0))</f>
        <v/>
      </c>
      <c r="V143" s="345">
        <f>IF($A143="","",IF(OR('Feb 2027'!T27=TRUE,'Feb 2027'!T27="x",'Feb 2027'!T27="X"),1,0))</f>
        <v/>
      </c>
      <c r="W143" s="345">
        <f>IF($A143="","",IF(OR('Feb 2027'!T28=TRUE,'Feb 2027'!T28="x",'Feb 2027'!T28="X"),1,0))</f>
        <v/>
      </c>
      <c r="X143" s="345">
        <f>IF($A143="","",IF(OR('Feb 2027'!T29=TRUE,'Feb 2027'!T29="x",'Feb 2027'!T29="X"),1,0))</f>
        <v/>
      </c>
      <c r="Y143" s="345">
        <f>IF($A143="","",IF(OR('Feb 2027'!T30=TRUE,'Feb 2027'!T30="x",'Feb 2027'!T30="X"),1,0))</f>
        <v/>
      </c>
      <c r="Z143" s="345">
        <f>IF($A143="","",IF(OR('Feb 2027'!T31=TRUE,'Feb 2027'!T31="x",'Feb 2027'!T31="X"),1,0))</f>
        <v/>
      </c>
      <c r="AA143" s="345">
        <f>IF($A143="","",IF(OR('Feb 2027'!T32=TRUE,'Feb 2027'!T32="x",'Feb 2027'!T32="X"),1,0))</f>
        <v/>
      </c>
      <c r="AB143" s="345">
        <f>IF($A143="","",IF(OR('Feb 2027'!T34=TRUE,'Feb 2027'!T34="x",'Feb 2027'!T34="X"),1,0))</f>
        <v/>
      </c>
      <c r="AC143" s="345">
        <f>IF($A143="","",IF(OR('Feb 2027'!T35=TRUE,'Feb 2027'!T35="x",'Feb 2027'!T35="X"),1,0))</f>
        <v/>
      </c>
      <c r="AD143" s="345">
        <f>IF($A143="","",IF(OR('Feb 2027'!T36=TRUE,'Feb 2027'!T36="x",'Feb 2027'!T36="X"),1,0))</f>
        <v/>
      </c>
      <c r="AE143" s="345">
        <f>IF($A143="","",IF(OR('Feb 2027'!T37=TRUE,'Feb 2027'!T37="x",'Feb 2027'!T37="X"),1,0))</f>
        <v/>
      </c>
      <c r="AF143" s="345">
        <f>IF($A143="","",IF('Feb 2027'!T59="","",'Feb 2027'!T59))</f>
        <v/>
      </c>
      <c r="AG143" s="345">
        <f>IF($A143="","",IF('Feb 2027'!T60="","",'Feb 2027'!T60))</f>
        <v/>
      </c>
      <c r="AH143" s="345">
        <f>IF($A143="","",IF('Feb 2027'!T61="","",'Feb 2027'!T61))</f>
        <v/>
      </c>
      <c r="AI143" s="345">
        <f>IF($A143="","",IF('Feb 2027'!T62="","",'Feb 2027'!T62))</f>
        <v/>
      </c>
      <c r="AJ143" s="345">
        <f>IF($A143="","",IF('Feb 2027'!T63="","",'Feb 2027'!T63))</f>
        <v/>
      </c>
      <c r="AK143" s="345">
        <f>IF($A143="","",IF('Feb 2027'!T64="","",'Feb 2027'!T64))</f>
        <v/>
      </c>
      <c r="AL143" s="345">
        <f>IF($A143="","",IF('Feb 2027'!T65="","",'Feb 2027'!T65))</f>
        <v/>
      </c>
      <c r="AM143" s="345">
        <f>IF($A143="","",IF('Feb 2027'!T66="","",'Feb 2027'!T66))</f>
        <v/>
      </c>
      <c r="AN143" s="345">
        <f>IF($A143="","",IF('Feb 2027'!T67="","",'Feb 2027'!T67))</f>
        <v/>
      </c>
      <c r="AO143" s="345">
        <f>IF($A143="",0,IF(AND($A143&gt;=TrackStart,$A143&lt;=TODAY()),1,0))</f>
        <v/>
      </c>
      <c r="AP143" s="345">
        <f>IF($A143="",0,IF(SUM(F143:AE143)+COUNT(AF143:AN143)&gt;0,1,0))</f>
        <v/>
      </c>
      <c r="AQ143" s="345">
        <f>IF($A143="","",INT(($A143-TrackStart)/7)+1)</f>
        <v/>
      </c>
      <c r="AR143" s="345">
        <f>IF($A143="","",IF(AQ143&lt;=1,Steps1,IF(AQ143=2,Steps2,Steps3)))</f>
        <v/>
      </c>
      <c r="AS143" s="345">
        <f>IF($A143="",0,IF(ISNUMBER(SEARCH(TEXT(D143,"0"),WorkDays&amp;"")),1,0))</f>
        <v/>
      </c>
      <c r="AT143" s="345">
        <f>IF($A143="",0,IF(ISNUMBER(SEARCH(TEXT(D143,"0"),StrDays&amp;"")),1,0))</f>
        <v/>
      </c>
      <c r="AU143" s="345">
        <f>IF($A143="",0,IF(ISNUMBER(AK143),IF(AK143&gt;=SleepMin,1,0),N143))</f>
        <v/>
      </c>
      <c r="AV143" s="345">
        <f>IF($A143="",0,MAX(I143,O143,S143,AC143))</f>
        <v/>
      </c>
      <c r="AW143" s="345">
        <f>IF($A143="",0,IF(ISNUMBER(AH143),IF(AH143&gt;=ProtHit,1,0),0))</f>
        <v/>
      </c>
      <c r="AX143" s="345">
        <f>IF($A143="",0,IF(ISNUMBER(AI143),IF(AI143&gt;=WaterHit,1,0),0))</f>
        <v/>
      </c>
      <c r="AY143" s="345">
        <f>IF($A143="",0,IF(ISNUMBER(AG143),IF(AG143&gt;=AR143,1,0),0))</f>
        <v/>
      </c>
      <c r="AZ143" s="345">
        <f>IF($A143="",0,G143)</f>
        <v/>
      </c>
      <c r="BA143" s="345">
        <f>IF($A143="",0,J143)</f>
        <v/>
      </c>
      <c r="BB143" s="345">
        <f>IF($A143="",0,K143)</f>
        <v/>
      </c>
      <c r="BC143" s="345">
        <f>IF($A143="",0,MAX(L143,AE143))</f>
        <v/>
      </c>
      <c r="BD143" s="344">
        <f>IF($A143="","",(AU143+AV143+AW143+AX143+AY143+AZ143+BB143+BC143+IF(AS143=1,BA143,0))/(8+AS143))</f>
        <v/>
      </c>
      <c r="BE143" s="344">
        <f>IF($A143="","",(IF(ISNUMBER(AI143),IF(AI143&gt;=WaterMVD,1,0),0)+AV143+IF(ISNUMBER(AH143),IF(AH143&gt;=ProtMVD,1,0),0)+MAX(H143,AD143)+AZ143+BB143+AU143)/7)</f>
        <v/>
      </c>
      <c r="BF143" s="344">
        <f>IF(AO143=0,"",IF(E143="S","",IF(AND(AP143=0,$A143=TODAY()),"",IF(E143="M",BE143,BD143))))</f>
        <v/>
      </c>
      <c r="BG143" s="344">
        <f>IF(AO143=0,"",IFERROR(AVERAGEIFS(Data!$BF$4:$BF$375,Data!$A$4:$A$375,"&gt;"&amp;($A143-7),Data!$A$4:$A$375,"&lt;="&amp;$A143),""))</f>
        <v/>
      </c>
      <c r="BH143" s="344">
        <f>IF(AO143=0,"",IFERROR(AVERAGEIFS(Data!$BF$4:$BF$375,Data!$A$4:$A$375,"&gt;"&amp;($A143-30),Data!$A$4:$A$375,"&lt;="&amp;$A143),""))</f>
        <v/>
      </c>
      <c r="BI143" s="359">
        <f>IF($A143="","",IFERROR(AVERAGEIFS(Data!$AF$4:$AF$375,Data!$A$4:$A$375,"&gt;"&amp;($A143-7),Data!$A$4:$A$375,"&lt;="&amp;$A143,Data!$AF$4:$AF$375,"&gt;0"),""))</f>
        <v/>
      </c>
      <c r="BJ143" s="345">
        <f>IF($A143="","",F143+G143+H143+I143+J143+K143+L143+M143+N143-IF(AS143=1,0,J143))</f>
        <v/>
      </c>
      <c r="BK143" s="345">
        <f>IF($A143="","",8+AS143)</f>
        <v/>
      </c>
      <c r="BL143" s="345">
        <f>IF(ISNUMBER(BF143),BF143,NA())</f>
        <v/>
      </c>
      <c r="BM143" s="345">
        <f>IF(ISNUMBER(AF143),AF143,NA())</f>
        <v/>
      </c>
      <c r="BN143" s="345">
        <f>IF(ISNUMBER(BI143),BI143,NA())</f>
        <v/>
      </c>
      <c r="BO143" s="345">
        <f>IF(ISNUMBER(AL143),AL143,NA())</f>
        <v/>
      </c>
      <c r="BP143" s="345">
        <f>IF(ISNUMBER(AM143),AM143,NA())</f>
        <v/>
      </c>
      <c r="BQ143" s="345">
        <f>IF(ISNUMBER(AN143),AN143,NA())</f>
        <v/>
      </c>
    </row>
    <row r="144">
      <c r="A144" s="358">
        <f>IF('Feb 2027'!U7="","",'Feb 2027'!U7)</f>
        <v/>
      </c>
      <c r="B144" s="345" t="n">
        <v>5</v>
      </c>
      <c r="C144" s="345">
        <f>IF($A144="","",17)</f>
        <v/>
      </c>
      <c r="D144" s="345">
        <f>IF($A144="","",WEEKDAY($A144,2))</f>
        <v/>
      </c>
      <c r="E144" s="345">
        <f>IF($A144="","",UPPER(TRIM('Feb 2027'!U8)))</f>
        <v/>
      </c>
      <c r="F144" s="345">
        <f>IF($A144="","",IF(OR('Feb 2027'!U10=TRUE,'Feb 2027'!U10="x",'Feb 2027'!U10="X"),1,0))</f>
        <v/>
      </c>
      <c r="G144" s="345">
        <f>IF($A144="","",IF(OR('Feb 2027'!U11=TRUE,'Feb 2027'!U11="x",'Feb 2027'!U11="X"),1,0))</f>
        <v/>
      </c>
      <c r="H144" s="345">
        <f>IF($A144="","",IF(OR('Feb 2027'!U12=TRUE,'Feb 2027'!U12="x",'Feb 2027'!U12="X"),1,0))</f>
        <v/>
      </c>
      <c r="I144" s="345">
        <f>IF($A144="","",IF(OR('Feb 2027'!U13=TRUE,'Feb 2027'!U13="x",'Feb 2027'!U13="X"),1,0))</f>
        <v/>
      </c>
      <c r="J144" s="345">
        <f>IF($A144="","",IF(OR('Feb 2027'!U14=TRUE,'Feb 2027'!U14="x",'Feb 2027'!U14="X"),1,0))</f>
        <v/>
      </c>
      <c r="K144" s="345">
        <f>IF($A144="","",IF(OR('Feb 2027'!U15=TRUE,'Feb 2027'!U15="x",'Feb 2027'!U15="X"),1,0))</f>
        <v/>
      </c>
      <c r="L144" s="345">
        <f>IF($A144="","",IF(OR('Feb 2027'!U16=TRUE,'Feb 2027'!U16="x",'Feb 2027'!U16="X"),1,0))</f>
        <v/>
      </c>
      <c r="M144" s="345">
        <f>IF($A144="","",IF(OR('Feb 2027'!U17=TRUE,'Feb 2027'!U17="x",'Feb 2027'!U17="X"),1,0))</f>
        <v/>
      </c>
      <c r="N144" s="345">
        <f>IF($A144="","",IF(OR('Feb 2027'!U18=TRUE,'Feb 2027'!U18="x",'Feb 2027'!U18="X"),1,0))</f>
        <v/>
      </c>
      <c r="O144" s="345">
        <f>IF($A144="","",IF(OR('Feb 2027'!U20=TRUE,'Feb 2027'!U20="x",'Feb 2027'!U20="X"),1,0))</f>
        <v/>
      </c>
      <c r="P144" s="345">
        <f>IF($A144="","",IF(OR('Feb 2027'!U21=TRUE,'Feb 2027'!U21="x",'Feb 2027'!U21="X"),1,0))</f>
        <v/>
      </c>
      <c r="Q144" s="345">
        <f>IF($A144="","",IF(OR('Feb 2027'!U22=TRUE,'Feb 2027'!U22="x",'Feb 2027'!U22="X"),1,0))</f>
        <v/>
      </c>
      <c r="R144" s="345">
        <f>IF($A144="","",IF(OR('Feb 2027'!U23=TRUE,'Feb 2027'!U23="x",'Feb 2027'!U23="X"),1,0))</f>
        <v/>
      </c>
      <c r="S144" s="345">
        <f>IF($A144="","",IF(OR('Feb 2027'!U24=TRUE,'Feb 2027'!U24="x",'Feb 2027'!U24="X"),1,0))</f>
        <v/>
      </c>
      <c r="T144" s="345">
        <f>IF($A144="","",IF(OR('Feb 2027'!U25=TRUE,'Feb 2027'!U25="x",'Feb 2027'!U25="X"),1,0))</f>
        <v/>
      </c>
      <c r="U144" s="345">
        <f>IF($A144="","",IF(OR('Feb 2027'!U26=TRUE,'Feb 2027'!U26="x",'Feb 2027'!U26="X"),1,0))</f>
        <v/>
      </c>
      <c r="V144" s="345">
        <f>IF($A144="","",IF(OR('Feb 2027'!U27=TRUE,'Feb 2027'!U27="x",'Feb 2027'!U27="X"),1,0))</f>
        <v/>
      </c>
      <c r="W144" s="345">
        <f>IF($A144="","",IF(OR('Feb 2027'!U28=TRUE,'Feb 2027'!U28="x",'Feb 2027'!U28="X"),1,0))</f>
        <v/>
      </c>
      <c r="X144" s="345">
        <f>IF($A144="","",IF(OR('Feb 2027'!U29=TRUE,'Feb 2027'!U29="x",'Feb 2027'!U29="X"),1,0))</f>
        <v/>
      </c>
      <c r="Y144" s="345">
        <f>IF($A144="","",IF(OR('Feb 2027'!U30=TRUE,'Feb 2027'!U30="x",'Feb 2027'!U30="X"),1,0))</f>
        <v/>
      </c>
      <c r="Z144" s="345">
        <f>IF($A144="","",IF(OR('Feb 2027'!U31=TRUE,'Feb 2027'!U31="x",'Feb 2027'!U31="X"),1,0))</f>
        <v/>
      </c>
      <c r="AA144" s="345">
        <f>IF($A144="","",IF(OR('Feb 2027'!U32=TRUE,'Feb 2027'!U32="x",'Feb 2027'!U32="X"),1,0))</f>
        <v/>
      </c>
      <c r="AB144" s="345">
        <f>IF($A144="","",IF(OR('Feb 2027'!U34=TRUE,'Feb 2027'!U34="x",'Feb 2027'!U34="X"),1,0))</f>
        <v/>
      </c>
      <c r="AC144" s="345">
        <f>IF($A144="","",IF(OR('Feb 2027'!U35=TRUE,'Feb 2027'!U35="x",'Feb 2027'!U35="X"),1,0))</f>
        <v/>
      </c>
      <c r="AD144" s="345">
        <f>IF($A144="","",IF(OR('Feb 2027'!U36=TRUE,'Feb 2027'!U36="x",'Feb 2027'!U36="X"),1,0))</f>
        <v/>
      </c>
      <c r="AE144" s="345">
        <f>IF($A144="","",IF(OR('Feb 2027'!U37=TRUE,'Feb 2027'!U37="x",'Feb 2027'!U37="X"),1,0))</f>
        <v/>
      </c>
      <c r="AF144" s="345">
        <f>IF($A144="","",IF('Feb 2027'!U59="","",'Feb 2027'!U59))</f>
        <v/>
      </c>
      <c r="AG144" s="345">
        <f>IF($A144="","",IF('Feb 2027'!U60="","",'Feb 2027'!U60))</f>
        <v/>
      </c>
      <c r="AH144" s="345">
        <f>IF($A144="","",IF('Feb 2027'!U61="","",'Feb 2027'!U61))</f>
        <v/>
      </c>
      <c r="AI144" s="345">
        <f>IF($A144="","",IF('Feb 2027'!U62="","",'Feb 2027'!U62))</f>
        <v/>
      </c>
      <c r="AJ144" s="345">
        <f>IF($A144="","",IF('Feb 2027'!U63="","",'Feb 2027'!U63))</f>
        <v/>
      </c>
      <c r="AK144" s="345">
        <f>IF($A144="","",IF('Feb 2027'!U64="","",'Feb 2027'!U64))</f>
        <v/>
      </c>
      <c r="AL144" s="345">
        <f>IF($A144="","",IF('Feb 2027'!U65="","",'Feb 2027'!U65))</f>
        <v/>
      </c>
      <c r="AM144" s="345">
        <f>IF($A144="","",IF('Feb 2027'!U66="","",'Feb 2027'!U66))</f>
        <v/>
      </c>
      <c r="AN144" s="345">
        <f>IF($A144="","",IF('Feb 2027'!U67="","",'Feb 2027'!U67))</f>
        <v/>
      </c>
      <c r="AO144" s="345">
        <f>IF($A144="",0,IF(AND($A144&gt;=TrackStart,$A144&lt;=TODAY()),1,0))</f>
        <v/>
      </c>
      <c r="AP144" s="345">
        <f>IF($A144="",0,IF(SUM(F144:AE144)+COUNT(AF144:AN144)&gt;0,1,0))</f>
        <v/>
      </c>
      <c r="AQ144" s="345">
        <f>IF($A144="","",INT(($A144-TrackStart)/7)+1)</f>
        <v/>
      </c>
      <c r="AR144" s="345">
        <f>IF($A144="","",IF(AQ144&lt;=1,Steps1,IF(AQ144=2,Steps2,Steps3)))</f>
        <v/>
      </c>
      <c r="AS144" s="345">
        <f>IF($A144="",0,IF(ISNUMBER(SEARCH(TEXT(D144,"0"),WorkDays&amp;"")),1,0))</f>
        <v/>
      </c>
      <c r="AT144" s="345">
        <f>IF($A144="",0,IF(ISNUMBER(SEARCH(TEXT(D144,"0"),StrDays&amp;"")),1,0))</f>
        <v/>
      </c>
      <c r="AU144" s="345">
        <f>IF($A144="",0,IF(ISNUMBER(AK144),IF(AK144&gt;=SleepMin,1,0),N144))</f>
        <v/>
      </c>
      <c r="AV144" s="345">
        <f>IF($A144="",0,MAX(I144,O144,S144,AC144))</f>
        <v/>
      </c>
      <c r="AW144" s="345">
        <f>IF($A144="",0,IF(ISNUMBER(AH144),IF(AH144&gt;=ProtHit,1,0),0))</f>
        <v/>
      </c>
      <c r="AX144" s="345">
        <f>IF($A144="",0,IF(ISNUMBER(AI144),IF(AI144&gt;=WaterHit,1,0),0))</f>
        <v/>
      </c>
      <c r="AY144" s="345">
        <f>IF($A144="",0,IF(ISNUMBER(AG144),IF(AG144&gt;=AR144,1,0),0))</f>
        <v/>
      </c>
      <c r="AZ144" s="345">
        <f>IF($A144="",0,G144)</f>
        <v/>
      </c>
      <c r="BA144" s="345">
        <f>IF($A144="",0,J144)</f>
        <v/>
      </c>
      <c r="BB144" s="345">
        <f>IF($A144="",0,K144)</f>
        <v/>
      </c>
      <c r="BC144" s="345">
        <f>IF($A144="",0,MAX(L144,AE144))</f>
        <v/>
      </c>
      <c r="BD144" s="344">
        <f>IF($A144="","",(AU144+AV144+AW144+AX144+AY144+AZ144+BB144+BC144+IF(AS144=1,BA144,0))/(8+AS144))</f>
        <v/>
      </c>
      <c r="BE144" s="344">
        <f>IF($A144="","",(IF(ISNUMBER(AI144),IF(AI144&gt;=WaterMVD,1,0),0)+AV144+IF(ISNUMBER(AH144),IF(AH144&gt;=ProtMVD,1,0),0)+MAX(H144,AD144)+AZ144+BB144+AU144)/7)</f>
        <v/>
      </c>
      <c r="BF144" s="344">
        <f>IF(AO144=0,"",IF(E144="S","",IF(AND(AP144=0,$A144=TODAY()),"",IF(E144="M",BE144,BD144))))</f>
        <v/>
      </c>
      <c r="BG144" s="344">
        <f>IF(AO144=0,"",IFERROR(AVERAGEIFS(Data!$BF$4:$BF$375,Data!$A$4:$A$375,"&gt;"&amp;($A144-7),Data!$A$4:$A$375,"&lt;="&amp;$A144),""))</f>
        <v/>
      </c>
      <c r="BH144" s="344">
        <f>IF(AO144=0,"",IFERROR(AVERAGEIFS(Data!$BF$4:$BF$375,Data!$A$4:$A$375,"&gt;"&amp;($A144-30),Data!$A$4:$A$375,"&lt;="&amp;$A144),""))</f>
        <v/>
      </c>
      <c r="BI144" s="359">
        <f>IF($A144="","",IFERROR(AVERAGEIFS(Data!$AF$4:$AF$375,Data!$A$4:$A$375,"&gt;"&amp;($A144-7),Data!$A$4:$A$375,"&lt;="&amp;$A144,Data!$AF$4:$AF$375,"&gt;0"),""))</f>
        <v/>
      </c>
      <c r="BJ144" s="345">
        <f>IF($A144="","",F144+G144+H144+I144+J144+K144+L144+M144+N144-IF(AS144=1,0,J144))</f>
        <v/>
      </c>
      <c r="BK144" s="345">
        <f>IF($A144="","",8+AS144)</f>
        <v/>
      </c>
      <c r="BL144" s="345">
        <f>IF(ISNUMBER(BF144),BF144,NA())</f>
        <v/>
      </c>
      <c r="BM144" s="345">
        <f>IF(ISNUMBER(AF144),AF144,NA())</f>
        <v/>
      </c>
      <c r="BN144" s="345">
        <f>IF(ISNUMBER(BI144),BI144,NA())</f>
        <v/>
      </c>
      <c r="BO144" s="345">
        <f>IF(ISNUMBER(AL144),AL144,NA())</f>
        <v/>
      </c>
      <c r="BP144" s="345">
        <f>IF(ISNUMBER(AM144),AM144,NA())</f>
        <v/>
      </c>
      <c r="BQ144" s="345">
        <f>IF(ISNUMBER(AN144),AN144,NA())</f>
        <v/>
      </c>
    </row>
    <row r="145">
      <c r="A145" s="358">
        <f>IF('Feb 2027'!V7="","",'Feb 2027'!V7)</f>
        <v/>
      </c>
      <c r="B145" s="345" t="n">
        <v>5</v>
      </c>
      <c r="C145" s="345">
        <f>IF($A145="","",18)</f>
        <v/>
      </c>
      <c r="D145" s="345">
        <f>IF($A145="","",WEEKDAY($A145,2))</f>
        <v/>
      </c>
      <c r="E145" s="345">
        <f>IF($A145="","",UPPER(TRIM('Feb 2027'!V8)))</f>
        <v/>
      </c>
      <c r="F145" s="345">
        <f>IF($A145="","",IF(OR('Feb 2027'!V10=TRUE,'Feb 2027'!V10="x",'Feb 2027'!V10="X"),1,0))</f>
        <v/>
      </c>
      <c r="G145" s="345">
        <f>IF($A145="","",IF(OR('Feb 2027'!V11=TRUE,'Feb 2027'!V11="x",'Feb 2027'!V11="X"),1,0))</f>
        <v/>
      </c>
      <c r="H145" s="345">
        <f>IF($A145="","",IF(OR('Feb 2027'!V12=TRUE,'Feb 2027'!V12="x",'Feb 2027'!V12="X"),1,0))</f>
        <v/>
      </c>
      <c r="I145" s="345">
        <f>IF($A145="","",IF(OR('Feb 2027'!V13=TRUE,'Feb 2027'!V13="x",'Feb 2027'!V13="X"),1,0))</f>
        <v/>
      </c>
      <c r="J145" s="345">
        <f>IF($A145="","",IF(OR('Feb 2027'!V14=TRUE,'Feb 2027'!V14="x",'Feb 2027'!V14="X"),1,0))</f>
        <v/>
      </c>
      <c r="K145" s="345">
        <f>IF($A145="","",IF(OR('Feb 2027'!V15=TRUE,'Feb 2027'!V15="x",'Feb 2027'!V15="X"),1,0))</f>
        <v/>
      </c>
      <c r="L145" s="345">
        <f>IF($A145="","",IF(OR('Feb 2027'!V16=TRUE,'Feb 2027'!V16="x",'Feb 2027'!V16="X"),1,0))</f>
        <v/>
      </c>
      <c r="M145" s="345">
        <f>IF($A145="","",IF(OR('Feb 2027'!V17=TRUE,'Feb 2027'!V17="x",'Feb 2027'!V17="X"),1,0))</f>
        <v/>
      </c>
      <c r="N145" s="345">
        <f>IF($A145="","",IF(OR('Feb 2027'!V18=TRUE,'Feb 2027'!V18="x",'Feb 2027'!V18="X"),1,0))</f>
        <v/>
      </c>
      <c r="O145" s="345">
        <f>IF($A145="","",IF(OR('Feb 2027'!V20=TRUE,'Feb 2027'!V20="x",'Feb 2027'!V20="X"),1,0))</f>
        <v/>
      </c>
      <c r="P145" s="345">
        <f>IF($A145="","",IF(OR('Feb 2027'!V21=TRUE,'Feb 2027'!V21="x",'Feb 2027'!V21="X"),1,0))</f>
        <v/>
      </c>
      <c r="Q145" s="345">
        <f>IF($A145="","",IF(OR('Feb 2027'!V22=TRUE,'Feb 2027'!V22="x",'Feb 2027'!V22="X"),1,0))</f>
        <v/>
      </c>
      <c r="R145" s="345">
        <f>IF($A145="","",IF(OR('Feb 2027'!V23=TRUE,'Feb 2027'!V23="x",'Feb 2027'!V23="X"),1,0))</f>
        <v/>
      </c>
      <c r="S145" s="345">
        <f>IF($A145="","",IF(OR('Feb 2027'!V24=TRUE,'Feb 2027'!V24="x",'Feb 2027'!V24="X"),1,0))</f>
        <v/>
      </c>
      <c r="T145" s="345">
        <f>IF($A145="","",IF(OR('Feb 2027'!V25=TRUE,'Feb 2027'!V25="x",'Feb 2027'!V25="X"),1,0))</f>
        <v/>
      </c>
      <c r="U145" s="345">
        <f>IF($A145="","",IF(OR('Feb 2027'!V26=TRUE,'Feb 2027'!V26="x",'Feb 2027'!V26="X"),1,0))</f>
        <v/>
      </c>
      <c r="V145" s="345">
        <f>IF($A145="","",IF(OR('Feb 2027'!V27=TRUE,'Feb 2027'!V27="x",'Feb 2027'!V27="X"),1,0))</f>
        <v/>
      </c>
      <c r="W145" s="345">
        <f>IF($A145="","",IF(OR('Feb 2027'!V28=TRUE,'Feb 2027'!V28="x",'Feb 2027'!V28="X"),1,0))</f>
        <v/>
      </c>
      <c r="X145" s="345">
        <f>IF($A145="","",IF(OR('Feb 2027'!V29=TRUE,'Feb 2027'!V29="x",'Feb 2027'!V29="X"),1,0))</f>
        <v/>
      </c>
      <c r="Y145" s="345">
        <f>IF($A145="","",IF(OR('Feb 2027'!V30=TRUE,'Feb 2027'!V30="x",'Feb 2027'!V30="X"),1,0))</f>
        <v/>
      </c>
      <c r="Z145" s="345">
        <f>IF($A145="","",IF(OR('Feb 2027'!V31=TRUE,'Feb 2027'!V31="x",'Feb 2027'!V31="X"),1,0))</f>
        <v/>
      </c>
      <c r="AA145" s="345">
        <f>IF($A145="","",IF(OR('Feb 2027'!V32=TRUE,'Feb 2027'!V32="x",'Feb 2027'!V32="X"),1,0))</f>
        <v/>
      </c>
      <c r="AB145" s="345">
        <f>IF($A145="","",IF(OR('Feb 2027'!V34=TRUE,'Feb 2027'!V34="x",'Feb 2027'!V34="X"),1,0))</f>
        <v/>
      </c>
      <c r="AC145" s="345">
        <f>IF($A145="","",IF(OR('Feb 2027'!V35=TRUE,'Feb 2027'!V35="x",'Feb 2027'!V35="X"),1,0))</f>
        <v/>
      </c>
      <c r="AD145" s="345">
        <f>IF($A145="","",IF(OR('Feb 2027'!V36=TRUE,'Feb 2027'!V36="x",'Feb 2027'!V36="X"),1,0))</f>
        <v/>
      </c>
      <c r="AE145" s="345">
        <f>IF($A145="","",IF(OR('Feb 2027'!V37=TRUE,'Feb 2027'!V37="x",'Feb 2027'!V37="X"),1,0))</f>
        <v/>
      </c>
      <c r="AF145" s="345">
        <f>IF($A145="","",IF('Feb 2027'!V59="","",'Feb 2027'!V59))</f>
        <v/>
      </c>
      <c r="AG145" s="345">
        <f>IF($A145="","",IF('Feb 2027'!V60="","",'Feb 2027'!V60))</f>
        <v/>
      </c>
      <c r="AH145" s="345">
        <f>IF($A145="","",IF('Feb 2027'!V61="","",'Feb 2027'!V61))</f>
        <v/>
      </c>
      <c r="AI145" s="345">
        <f>IF($A145="","",IF('Feb 2027'!V62="","",'Feb 2027'!V62))</f>
        <v/>
      </c>
      <c r="AJ145" s="345">
        <f>IF($A145="","",IF('Feb 2027'!V63="","",'Feb 2027'!V63))</f>
        <v/>
      </c>
      <c r="AK145" s="345">
        <f>IF($A145="","",IF('Feb 2027'!V64="","",'Feb 2027'!V64))</f>
        <v/>
      </c>
      <c r="AL145" s="345">
        <f>IF($A145="","",IF('Feb 2027'!V65="","",'Feb 2027'!V65))</f>
        <v/>
      </c>
      <c r="AM145" s="345">
        <f>IF($A145="","",IF('Feb 2027'!V66="","",'Feb 2027'!V66))</f>
        <v/>
      </c>
      <c r="AN145" s="345">
        <f>IF($A145="","",IF('Feb 2027'!V67="","",'Feb 2027'!V67))</f>
        <v/>
      </c>
      <c r="AO145" s="345">
        <f>IF($A145="",0,IF(AND($A145&gt;=TrackStart,$A145&lt;=TODAY()),1,0))</f>
        <v/>
      </c>
      <c r="AP145" s="345">
        <f>IF($A145="",0,IF(SUM(F145:AE145)+COUNT(AF145:AN145)&gt;0,1,0))</f>
        <v/>
      </c>
      <c r="AQ145" s="345">
        <f>IF($A145="","",INT(($A145-TrackStart)/7)+1)</f>
        <v/>
      </c>
      <c r="AR145" s="345">
        <f>IF($A145="","",IF(AQ145&lt;=1,Steps1,IF(AQ145=2,Steps2,Steps3)))</f>
        <v/>
      </c>
      <c r="AS145" s="345">
        <f>IF($A145="",0,IF(ISNUMBER(SEARCH(TEXT(D145,"0"),WorkDays&amp;"")),1,0))</f>
        <v/>
      </c>
      <c r="AT145" s="345">
        <f>IF($A145="",0,IF(ISNUMBER(SEARCH(TEXT(D145,"0"),StrDays&amp;"")),1,0))</f>
        <v/>
      </c>
      <c r="AU145" s="345">
        <f>IF($A145="",0,IF(ISNUMBER(AK145),IF(AK145&gt;=SleepMin,1,0),N145))</f>
        <v/>
      </c>
      <c r="AV145" s="345">
        <f>IF($A145="",0,MAX(I145,O145,S145,AC145))</f>
        <v/>
      </c>
      <c r="AW145" s="345">
        <f>IF($A145="",0,IF(ISNUMBER(AH145),IF(AH145&gt;=ProtHit,1,0),0))</f>
        <v/>
      </c>
      <c r="AX145" s="345">
        <f>IF($A145="",0,IF(ISNUMBER(AI145),IF(AI145&gt;=WaterHit,1,0),0))</f>
        <v/>
      </c>
      <c r="AY145" s="345">
        <f>IF($A145="",0,IF(ISNUMBER(AG145),IF(AG145&gt;=AR145,1,0),0))</f>
        <v/>
      </c>
      <c r="AZ145" s="345">
        <f>IF($A145="",0,G145)</f>
        <v/>
      </c>
      <c r="BA145" s="345">
        <f>IF($A145="",0,J145)</f>
        <v/>
      </c>
      <c r="BB145" s="345">
        <f>IF($A145="",0,K145)</f>
        <v/>
      </c>
      <c r="BC145" s="345">
        <f>IF($A145="",0,MAX(L145,AE145))</f>
        <v/>
      </c>
      <c r="BD145" s="344">
        <f>IF($A145="","",(AU145+AV145+AW145+AX145+AY145+AZ145+BB145+BC145+IF(AS145=1,BA145,0))/(8+AS145))</f>
        <v/>
      </c>
      <c r="BE145" s="344">
        <f>IF($A145="","",(IF(ISNUMBER(AI145),IF(AI145&gt;=WaterMVD,1,0),0)+AV145+IF(ISNUMBER(AH145),IF(AH145&gt;=ProtMVD,1,0),0)+MAX(H145,AD145)+AZ145+BB145+AU145)/7)</f>
        <v/>
      </c>
      <c r="BF145" s="344">
        <f>IF(AO145=0,"",IF(E145="S","",IF(AND(AP145=0,$A145=TODAY()),"",IF(E145="M",BE145,BD145))))</f>
        <v/>
      </c>
      <c r="BG145" s="344">
        <f>IF(AO145=0,"",IFERROR(AVERAGEIFS(Data!$BF$4:$BF$375,Data!$A$4:$A$375,"&gt;"&amp;($A145-7),Data!$A$4:$A$375,"&lt;="&amp;$A145),""))</f>
        <v/>
      </c>
      <c r="BH145" s="344">
        <f>IF(AO145=0,"",IFERROR(AVERAGEIFS(Data!$BF$4:$BF$375,Data!$A$4:$A$375,"&gt;"&amp;($A145-30),Data!$A$4:$A$375,"&lt;="&amp;$A145),""))</f>
        <v/>
      </c>
      <c r="BI145" s="359">
        <f>IF($A145="","",IFERROR(AVERAGEIFS(Data!$AF$4:$AF$375,Data!$A$4:$A$375,"&gt;"&amp;($A145-7),Data!$A$4:$A$375,"&lt;="&amp;$A145,Data!$AF$4:$AF$375,"&gt;0"),""))</f>
        <v/>
      </c>
      <c r="BJ145" s="345">
        <f>IF($A145="","",F145+G145+H145+I145+J145+K145+L145+M145+N145-IF(AS145=1,0,J145))</f>
        <v/>
      </c>
      <c r="BK145" s="345">
        <f>IF($A145="","",8+AS145)</f>
        <v/>
      </c>
      <c r="BL145" s="345">
        <f>IF(ISNUMBER(BF145),BF145,NA())</f>
        <v/>
      </c>
      <c r="BM145" s="345">
        <f>IF(ISNUMBER(AF145),AF145,NA())</f>
        <v/>
      </c>
      <c r="BN145" s="345">
        <f>IF(ISNUMBER(BI145),BI145,NA())</f>
        <v/>
      </c>
      <c r="BO145" s="345">
        <f>IF(ISNUMBER(AL145),AL145,NA())</f>
        <v/>
      </c>
      <c r="BP145" s="345">
        <f>IF(ISNUMBER(AM145),AM145,NA())</f>
        <v/>
      </c>
      <c r="BQ145" s="345">
        <f>IF(ISNUMBER(AN145),AN145,NA())</f>
        <v/>
      </c>
    </row>
    <row r="146">
      <c r="A146" s="358">
        <f>IF('Feb 2027'!W7="","",'Feb 2027'!W7)</f>
        <v/>
      </c>
      <c r="B146" s="345" t="n">
        <v>5</v>
      </c>
      <c r="C146" s="345">
        <f>IF($A146="","",19)</f>
        <v/>
      </c>
      <c r="D146" s="345">
        <f>IF($A146="","",WEEKDAY($A146,2))</f>
        <v/>
      </c>
      <c r="E146" s="345">
        <f>IF($A146="","",UPPER(TRIM('Feb 2027'!W8)))</f>
        <v/>
      </c>
      <c r="F146" s="345">
        <f>IF($A146="","",IF(OR('Feb 2027'!W10=TRUE,'Feb 2027'!W10="x",'Feb 2027'!W10="X"),1,0))</f>
        <v/>
      </c>
      <c r="G146" s="345">
        <f>IF($A146="","",IF(OR('Feb 2027'!W11=TRUE,'Feb 2027'!W11="x",'Feb 2027'!W11="X"),1,0))</f>
        <v/>
      </c>
      <c r="H146" s="345">
        <f>IF($A146="","",IF(OR('Feb 2027'!W12=TRUE,'Feb 2027'!W12="x",'Feb 2027'!W12="X"),1,0))</f>
        <v/>
      </c>
      <c r="I146" s="345">
        <f>IF($A146="","",IF(OR('Feb 2027'!W13=TRUE,'Feb 2027'!W13="x",'Feb 2027'!W13="X"),1,0))</f>
        <v/>
      </c>
      <c r="J146" s="345">
        <f>IF($A146="","",IF(OR('Feb 2027'!W14=TRUE,'Feb 2027'!W14="x",'Feb 2027'!W14="X"),1,0))</f>
        <v/>
      </c>
      <c r="K146" s="345">
        <f>IF($A146="","",IF(OR('Feb 2027'!W15=TRUE,'Feb 2027'!W15="x",'Feb 2027'!W15="X"),1,0))</f>
        <v/>
      </c>
      <c r="L146" s="345">
        <f>IF($A146="","",IF(OR('Feb 2027'!W16=TRUE,'Feb 2027'!W16="x",'Feb 2027'!W16="X"),1,0))</f>
        <v/>
      </c>
      <c r="M146" s="345">
        <f>IF($A146="","",IF(OR('Feb 2027'!W17=TRUE,'Feb 2027'!W17="x",'Feb 2027'!W17="X"),1,0))</f>
        <v/>
      </c>
      <c r="N146" s="345">
        <f>IF($A146="","",IF(OR('Feb 2027'!W18=TRUE,'Feb 2027'!W18="x",'Feb 2027'!W18="X"),1,0))</f>
        <v/>
      </c>
      <c r="O146" s="345">
        <f>IF($A146="","",IF(OR('Feb 2027'!W20=TRUE,'Feb 2027'!W20="x",'Feb 2027'!W20="X"),1,0))</f>
        <v/>
      </c>
      <c r="P146" s="345">
        <f>IF($A146="","",IF(OR('Feb 2027'!W21=TRUE,'Feb 2027'!W21="x",'Feb 2027'!W21="X"),1,0))</f>
        <v/>
      </c>
      <c r="Q146" s="345">
        <f>IF($A146="","",IF(OR('Feb 2027'!W22=TRUE,'Feb 2027'!W22="x",'Feb 2027'!W22="X"),1,0))</f>
        <v/>
      </c>
      <c r="R146" s="345">
        <f>IF($A146="","",IF(OR('Feb 2027'!W23=TRUE,'Feb 2027'!W23="x",'Feb 2027'!W23="X"),1,0))</f>
        <v/>
      </c>
      <c r="S146" s="345">
        <f>IF($A146="","",IF(OR('Feb 2027'!W24=TRUE,'Feb 2027'!W24="x",'Feb 2027'!W24="X"),1,0))</f>
        <v/>
      </c>
      <c r="T146" s="345">
        <f>IF($A146="","",IF(OR('Feb 2027'!W25=TRUE,'Feb 2027'!W25="x",'Feb 2027'!W25="X"),1,0))</f>
        <v/>
      </c>
      <c r="U146" s="345">
        <f>IF($A146="","",IF(OR('Feb 2027'!W26=TRUE,'Feb 2027'!W26="x",'Feb 2027'!W26="X"),1,0))</f>
        <v/>
      </c>
      <c r="V146" s="345">
        <f>IF($A146="","",IF(OR('Feb 2027'!W27=TRUE,'Feb 2027'!W27="x",'Feb 2027'!W27="X"),1,0))</f>
        <v/>
      </c>
      <c r="W146" s="345">
        <f>IF($A146="","",IF(OR('Feb 2027'!W28=TRUE,'Feb 2027'!W28="x",'Feb 2027'!W28="X"),1,0))</f>
        <v/>
      </c>
      <c r="X146" s="345">
        <f>IF($A146="","",IF(OR('Feb 2027'!W29=TRUE,'Feb 2027'!W29="x",'Feb 2027'!W29="X"),1,0))</f>
        <v/>
      </c>
      <c r="Y146" s="345">
        <f>IF($A146="","",IF(OR('Feb 2027'!W30=TRUE,'Feb 2027'!W30="x",'Feb 2027'!W30="X"),1,0))</f>
        <v/>
      </c>
      <c r="Z146" s="345">
        <f>IF($A146="","",IF(OR('Feb 2027'!W31=TRUE,'Feb 2027'!W31="x",'Feb 2027'!W31="X"),1,0))</f>
        <v/>
      </c>
      <c r="AA146" s="345">
        <f>IF($A146="","",IF(OR('Feb 2027'!W32=TRUE,'Feb 2027'!W32="x",'Feb 2027'!W32="X"),1,0))</f>
        <v/>
      </c>
      <c r="AB146" s="345">
        <f>IF($A146="","",IF(OR('Feb 2027'!W34=TRUE,'Feb 2027'!W34="x",'Feb 2027'!W34="X"),1,0))</f>
        <v/>
      </c>
      <c r="AC146" s="345">
        <f>IF($A146="","",IF(OR('Feb 2027'!W35=TRUE,'Feb 2027'!W35="x",'Feb 2027'!W35="X"),1,0))</f>
        <v/>
      </c>
      <c r="AD146" s="345">
        <f>IF($A146="","",IF(OR('Feb 2027'!W36=TRUE,'Feb 2027'!W36="x",'Feb 2027'!W36="X"),1,0))</f>
        <v/>
      </c>
      <c r="AE146" s="345">
        <f>IF($A146="","",IF(OR('Feb 2027'!W37=TRUE,'Feb 2027'!W37="x",'Feb 2027'!W37="X"),1,0))</f>
        <v/>
      </c>
      <c r="AF146" s="345">
        <f>IF($A146="","",IF('Feb 2027'!W59="","",'Feb 2027'!W59))</f>
        <v/>
      </c>
      <c r="AG146" s="345">
        <f>IF($A146="","",IF('Feb 2027'!W60="","",'Feb 2027'!W60))</f>
        <v/>
      </c>
      <c r="AH146" s="345">
        <f>IF($A146="","",IF('Feb 2027'!W61="","",'Feb 2027'!W61))</f>
        <v/>
      </c>
      <c r="AI146" s="345">
        <f>IF($A146="","",IF('Feb 2027'!W62="","",'Feb 2027'!W62))</f>
        <v/>
      </c>
      <c r="AJ146" s="345">
        <f>IF($A146="","",IF('Feb 2027'!W63="","",'Feb 2027'!W63))</f>
        <v/>
      </c>
      <c r="AK146" s="345">
        <f>IF($A146="","",IF('Feb 2027'!W64="","",'Feb 2027'!W64))</f>
        <v/>
      </c>
      <c r="AL146" s="345">
        <f>IF($A146="","",IF('Feb 2027'!W65="","",'Feb 2027'!W65))</f>
        <v/>
      </c>
      <c r="AM146" s="345">
        <f>IF($A146="","",IF('Feb 2027'!W66="","",'Feb 2027'!W66))</f>
        <v/>
      </c>
      <c r="AN146" s="345">
        <f>IF($A146="","",IF('Feb 2027'!W67="","",'Feb 2027'!W67))</f>
        <v/>
      </c>
      <c r="AO146" s="345">
        <f>IF($A146="",0,IF(AND($A146&gt;=TrackStart,$A146&lt;=TODAY()),1,0))</f>
        <v/>
      </c>
      <c r="AP146" s="345">
        <f>IF($A146="",0,IF(SUM(F146:AE146)+COUNT(AF146:AN146)&gt;0,1,0))</f>
        <v/>
      </c>
      <c r="AQ146" s="345">
        <f>IF($A146="","",INT(($A146-TrackStart)/7)+1)</f>
        <v/>
      </c>
      <c r="AR146" s="345">
        <f>IF($A146="","",IF(AQ146&lt;=1,Steps1,IF(AQ146=2,Steps2,Steps3)))</f>
        <v/>
      </c>
      <c r="AS146" s="345">
        <f>IF($A146="",0,IF(ISNUMBER(SEARCH(TEXT(D146,"0"),WorkDays&amp;"")),1,0))</f>
        <v/>
      </c>
      <c r="AT146" s="345">
        <f>IF($A146="",0,IF(ISNUMBER(SEARCH(TEXT(D146,"0"),StrDays&amp;"")),1,0))</f>
        <v/>
      </c>
      <c r="AU146" s="345">
        <f>IF($A146="",0,IF(ISNUMBER(AK146),IF(AK146&gt;=SleepMin,1,0),N146))</f>
        <v/>
      </c>
      <c r="AV146" s="345">
        <f>IF($A146="",0,MAX(I146,O146,S146,AC146))</f>
        <v/>
      </c>
      <c r="AW146" s="345">
        <f>IF($A146="",0,IF(ISNUMBER(AH146),IF(AH146&gt;=ProtHit,1,0),0))</f>
        <v/>
      </c>
      <c r="AX146" s="345">
        <f>IF($A146="",0,IF(ISNUMBER(AI146),IF(AI146&gt;=WaterHit,1,0),0))</f>
        <v/>
      </c>
      <c r="AY146" s="345">
        <f>IF($A146="",0,IF(ISNUMBER(AG146),IF(AG146&gt;=AR146,1,0),0))</f>
        <v/>
      </c>
      <c r="AZ146" s="345">
        <f>IF($A146="",0,G146)</f>
        <v/>
      </c>
      <c r="BA146" s="345">
        <f>IF($A146="",0,J146)</f>
        <v/>
      </c>
      <c r="BB146" s="345">
        <f>IF($A146="",0,K146)</f>
        <v/>
      </c>
      <c r="BC146" s="345">
        <f>IF($A146="",0,MAX(L146,AE146))</f>
        <v/>
      </c>
      <c r="BD146" s="344">
        <f>IF($A146="","",(AU146+AV146+AW146+AX146+AY146+AZ146+BB146+BC146+IF(AS146=1,BA146,0))/(8+AS146))</f>
        <v/>
      </c>
      <c r="BE146" s="344">
        <f>IF($A146="","",(IF(ISNUMBER(AI146),IF(AI146&gt;=WaterMVD,1,0),0)+AV146+IF(ISNUMBER(AH146),IF(AH146&gt;=ProtMVD,1,0),0)+MAX(H146,AD146)+AZ146+BB146+AU146)/7)</f>
        <v/>
      </c>
      <c r="BF146" s="344">
        <f>IF(AO146=0,"",IF(E146="S","",IF(AND(AP146=0,$A146=TODAY()),"",IF(E146="M",BE146,BD146))))</f>
        <v/>
      </c>
      <c r="BG146" s="344">
        <f>IF(AO146=0,"",IFERROR(AVERAGEIFS(Data!$BF$4:$BF$375,Data!$A$4:$A$375,"&gt;"&amp;($A146-7),Data!$A$4:$A$375,"&lt;="&amp;$A146),""))</f>
        <v/>
      </c>
      <c r="BH146" s="344">
        <f>IF(AO146=0,"",IFERROR(AVERAGEIFS(Data!$BF$4:$BF$375,Data!$A$4:$A$375,"&gt;"&amp;($A146-30),Data!$A$4:$A$375,"&lt;="&amp;$A146),""))</f>
        <v/>
      </c>
      <c r="BI146" s="359">
        <f>IF($A146="","",IFERROR(AVERAGEIFS(Data!$AF$4:$AF$375,Data!$A$4:$A$375,"&gt;"&amp;($A146-7),Data!$A$4:$A$375,"&lt;="&amp;$A146,Data!$AF$4:$AF$375,"&gt;0"),""))</f>
        <v/>
      </c>
      <c r="BJ146" s="345">
        <f>IF($A146="","",F146+G146+H146+I146+J146+K146+L146+M146+N146-IF(AS146=1,0,J146))</f>
        <v/>
      </c>
      <c r="BK146" s="345">
        <f>IF($A146="","",8+AS146)</f>
        <v/>
      </c>
      <c r="BL146" s="345">
        <f>IF(ISNUMBER(BF146),BF146,NA())</f>
        <v/>
      </c>
      <c r="BM146" s="345">
        <f>IF(ISNUMBER(AF146),AF146,NA())</f>
        <v/>
      </c>
      <c r="BN146" s="345">
        <f>IF(ISNUMBER(BI146),BI146,NA())</f>
        <v/>
      </c>
      <c r="BO146" s="345">
        <f>IF(ISNUMBER(AL146),AL146,NA())</f>
        <v/>
      </c>
      <c r="BP146" s="345">
        <f>IF(ISNUMBER(AM146),AM146,NA())</f>
        <v/>
      </c>
      <c r="BQ146" s="345">
        <f>IF(ISNUMBER(AN146),AN146,NA())</f>
        <v/>
      </c>
    </row>
    <row r="147">
      <c r="A147" s="358">
        <f>IF('Feb 2027'!X7="","",'Feb 2027'!X7)</f>
        <v/>
      </c>
      <c r="B147" s="345" t="n">
        <v>5</v>
      </c>
      <c r="C147" s="345">
        <f>IF($A147="","",20)</f>
        <v/>
      </c>
      <c r="D147" s="345">
        <f>IF($A147="","",WEEKDAY($A147,2))</f>
        <v/>
      </c>
      <c r="E147" s="345">
        <f>IF($A147="","",UPPER(TRIM('Feb 2027'!X8)))</f>
        <v/>
      </c>
      <c r="F147" s="345">
        <f>IF($A147="","",IF(OR('Feb 2027'!X10=TRUE,'Feb 2027'!X10="x",'Feb 2027'!X10="X"),1,0))</f>
        <v/>
      </c>
      <c r="G147" s="345">
        <f>IF($A147="","",IF(OR('Feb 2027'!X11=TRUE,'Feb 2027'!X11="x",'Feb 2027'!X11="X"),1,0))</f>
        <v/>
      </c>
      <c r="H147" s="345">
        <f>IF($A147="","",IF(OR('Feb 2027'!X12=TRUE,'Feb 2027'!X12="x",'Feb 2027'!X12="X"),1,0))</f>
        <v/>
      </c>
      <c r="I147" s="345">
        <f>IF($A147="","",IF(OR('Feb 2027'!X13=TRUE,'Feb 2027'!X13="x",'Feb 2027'!X13="X"),1,0))</f>
        <v/>
      </c>
      <c r="J147" s="345">
        <f>IF($A147="","",IF(OR('Feb 2027'!X14=TRUE,'Feb 2027'!X14="x",'Feb 2027'!X14="X"),1,0))</f>
        <v/>
      </c>
      <c r="K147" s="345">
        <f>IF($A147="","",IF(OR('Feb 2027'!X15=TRUE,'Feb 2027'!X15="x",'Feb 2027'!X15="X"),1,0))</f>
        <v/>
      </c>
      <c r="L147" s="345">
        <f>IF($A147="","",IF(OR('Feb 2027'!X16=TRUE,'Feb 2027'!X16="x",'Feb 2027'!X16="X"),1,0))</f>
        <v/>
      </c>
      <c r="M147" s="345">
        <f>IF($A147="","",IF(OR('Feb 2027'!X17=TRUE,'Feb 2027'!X17="x",'Feb 2027'!X17="X"),1,0))</f>
        <v/>
      </c>
      <c r="N147" s="345">
        <f>IF($A147="","",IF(OR('Feb 2027'!X18=TRUE,'Feb 2027'!X18="x",'Feb 2027'!X18="X"),1,0))</f>
        <v/>
      </c>
      <c r="O147" s="345">
        <f>IF($A147="","",IF(OR('Feb 2027'!X20=TRUE,'Feb 2027'!X20="x",'Feb 2027'!X20="X"),1,0))</f>
        <v/>
      </c>
      <c r="P147" s="345">
        <f>IF($A147="","",IF(OR('Feb 2027'!X21=TRUE,'Feb 2027'!X21="x",'Feb 2027'!X21="X"),1,0))</f>
        <v/>
      </c>
      <c r="Q147" s="345">
        <f>IF($A147="","",IF(OR('Feb 2027'!X22=TRUE,'Feb 2027'!X22="x",'Feb 2027'!X22="X"),1,0))</f>
        <v/>
      </c>
      <c r="R147" s="345">
        <f>IF($A147="","",IF(OR('Feb 2027'!X23=TRUE,'Feb 2027'!X23="x",'Feb 2027'!X23="X"),1,0))</f>
        <v/>
      </c>
      <c r="S147" s="345">
        <f>IF($A147="","",IF(OR('Feb 2027'!X24=TRUE,'Feb 2027'!X24="x",'Feb 2027'!X24="X"),1,0))</f>
        <v/>
      </c>
      <c r="T147" s="345">
        <f>IF($A147="","",IF(OR('Feb 2027'!X25=TRUE,'Feb 2027'!X25="x",'Feb 2027'!X25="X"),1,0))</f>
        <v/>
      </c>
      <c r="U147" s="345">
        <f>IF($A147="","",IF(OR('Feb 2027'!X26=TRUE,'Feb 2027'!X26="x",'Feb 2027'!X26="X"),1,0))</f>
        <v/>
      </c>
      <c r="V147" s="345">
        <f>IF($A147="","",IF(OR('Feb 2027'!X27=TRUE,'Feb 2027'!X27="x",'Feb 2027'!X27="X"),1,0))</f>
        <v/>
      </c>
      <c r="W147" s="345">
        <f>IF($A147="","",IF(OR('Feb 2027'!X28=TRUE,'Feb 2027'!X28="x",'Feb 2027'!X28="X"),1,0))</f>
        <v/>
      </c>
      <c r="X147" s="345">
        <f>IF($A147="","",IF(OR('Feb 2027'!X29=TRUE,'Feb 2027'!X29="x",'Feb 2027'!X29="X"),1,0))</f>
        <v/>
      </c>
      <c r="Y147" s="345">
        <f>IF($A147="","",IF(OR('Feb 2027'!X30=TRUE,'Feb 2027'!X30="x",'Feb 2027'!X30="X"),1,0))</f>
        <v/>
      </c>
      <c r="Z147" s="345">
        <f>IF($A147="","",IF(OR('Feb 2027'!X31=TRUE,'Feb 2027'!X31="x",'Feb 2027'!X31="X"),1,0))</f>
        <v/>
      </c>
      <c r="AA147" s="345">
        <f>IF($A147="","",IF(OR('Feb 2027'!X32=TRUE,'Feb 2027'!X32="x",'Feb 2027'!X32="X"),1,0))</f>
        <v/>
      </c>
      <c r="AB147" s="345">
        <f>IF($A147="","",IF(OR('Feb 2027'!X34=TRUE,'Feb 2027'!X34="x",'Feb 2027'!X34="X"),1,0))</f>
        <v/>
      </c>
      <c r="AC147" s="345">
        <f>IF($A147="","",IF(OR('Feb 2027'!X35=TRUE,'Feb 2027'!X35="x",'Feb 2027'!X35="X"),1,0))</f>
        <v/>
      </c>
      <c r="AD147" s="345">
        <f>IF($A147="","",IF(OR('Feb 2027'!X36=TRUE,'Feb 2027'!X36="x",'Feb 2027'!X36="X"),1,0))</f>
        <v/>
      </c>
      <c r="AE147" s="345">
        <f>IF($A147="","",IF(OR('Feb 2027'!X37=TRUE,'Feb 2027'!X37="x",'Feb 2027'!X37="X"),1,0))</f>
        <v/>
      </c>
      <c r="AF147" s="345">
        <f>IF($A147="","",IF('Feb 2027'!X59="","",'Feb 2027'!X59))</f>
        <v/>
      </c>
      <c r="AG147" s="345">
        <f>IF($A147="","",IF('Feb 2027'!X60="","",'Feb 2027'!X60))</f>
        <v/>
      </c>
      <c r="AH147" s="345">
        <f>IF($A147="","",IF('Feb 2027'!X61="","",'Feb 2027'!X61))</f>
        <v/>
      </c>
      <c r="AI147" s="345">
        <f>IF($A147="","",IF('Feb 2027'!X62="","",'Feb 2027'!X62))</f>
        <v/>
      </c>
      <c r="AJ147" s="345">
        <f>IF($A147="","",IF('Feb 2027'!X63="","",'Feb 2027'!X63))</f>
        <v/>
      </c>
      <c r="AK147" s="345">
        <f>IF($A147="","",IF('Feb 2027'!X64="","",'Feb 2027'!X64))</f>
        <v/>
      </c>
      <c r="AL147" s="345">
        <f>IF($A147="","",IF('Feb 2027'!X65="","",'Feb 2027'!X65))</f>
        <v/>
      </c>
      <c r="AM147" s="345">
        <f>IF($A147="","",IF('Feb 2027'!X66="","",'Feb 2027'!X66))</f>
        <v/>
      </c>
      <c r="AN147" s="345">
        <f>IF($A147="","",IF('Feb 2027'!X67="","",'Feb 2027'!X67))</f>
        <v/>
      </c>
      <c r="AO147" s="345">
        <f>IF($A147="",0,IF(AND($A147&gt;=TrackStart,$A147&lt;=TODAY()),1,0))</f>
        <v/>
      </c>
      <c r="AP147" s="345">
        <f>IF($A147="",0,IF(SUM(F147:AE147)+COUNT(AF147:AN147)&gt;0,1,0))</f>
        <v/>
      </c>
      <c r="AQ147" s="345">
        <f>IF($A147="","",INT(($A147-TrackStart)/7)+1)</f>
        <v/>
      </c>
      <c r="AR147" s="345">
        <f>IF($A147="","",IF(AQ147&lt;=1,Steps1,IF(AQ147=2,Steps2,Steps3)))</f>
        <v/>
      </c>
      <c r="AS147" s="345">
        <f>IF($A147="",0,IF(ISNUMBER(SEARCH(TEXT(D147,"0"),WorkDays&amp;"")),1,0))</f>
        <v/>
      </c>
      <c r="AT147" s="345">
        <f>IF($A147="",0,IF(ISNUMBER(SEARCH(TEXT(D147,"0"),StrDays&amp;"")),1,0))</f>
        <v/>
      </c>
      <c r="AU147" s="345">
        <f>IF($A147="",0,IF(ISNUMBER(AK147),IF(AK147&gt;=SleepMin,1,0),N147))</f>
        <v/>
      </c>
      <c r="AV147" s="345">
        <f>IF($A147="",0,MAX(I147,O147,S147,AC147))</f>
        <v/>
      </c>
      <c r="AW147" s="345">
        <f>IF($A147="",0,IF(ISNUMBER(AH147),IF(AH147&gt;=ProtHit,1,0),0))</f>
        <v/>
      </c>
      <c r="AX147" s="345">
        <f>IF($A147="",0,IF(ISNUMBER(AI147),IF(AI147&gt;=WaterHit,1,0),0))</f>
        <v/>
      </c>
      <c r="AY147" s="345">
        <f>IF($A147="",0,IF(ISNUMBER(AG147),IF(AG147&gt;=AR147,1,0),0))</f>
        <v/>
      </c>
      <c r="AZ147" s="345">
        <f>IF($A147="",0,G147)</f>
        <v/>
      </c>
      <c r="BA147" s="345">
        <f>IF($A147="",0,J147)</f>
        <v/>
      </c>
      <c r="BB147" s="345">
        <f>IF($A147="",0,K147)</f>
        <v/>
      </c>
      <c r="BC147" s="345">
        <f>IF($A147="",0,MAX(L147,AE147))</f>
        <v/>
      </c>
      <c r="BD147" s="344">
        <f>IF($A147="","",(AU147+AV147+AW147+AX147+AY147+AZ147+BB147+BC147+IF(AS147=1,BA147,0))/(8+AS147))</f>
        <v/>
      </c>
      <c r="BE147" s="344">
        <f>IF($A147="","",(IF(ISNUMBER(AI147),IF(AI147&gt;=WaterMVD,1,0),0)+AV147+IF(ISNUMBER(AH147),IF(AH147&gt;=ProtMVD,1,0),0)+MAX(H147,AD147)+AZ147+BB147+AU147)/7)</f>
        <v/>
      </c>
      <c r="BF147" s="344">
        <f>IF(AO147=0,"",IF(E147="S","",IF(AND(AP147=0,$A147=TODAY()),"",IF(E147="M",BE147,BD147))))</f>
        <v/>
      </c>
      <c r="BG147" s="344">
        <f>IF(AO147=0,"",IFERROR(AVERAGEIFS(Data!$BF$4:$BF$375,Data!$A$4:$A$375,"&gt;"&amp;($A147-7),Data!$A$4:$A$375,"&lt;="&amp;$A147),""))</f>
        <v/>
      </c>
      <c r="BH147" s="344">
        <f>IF(AO147=0,"",IFERROR(AVERAGEIFS(Data!$BF$4:$BF$375,Data!$A$4:$A$375,"&gt;"&amp;($A147-30),Data!$A$4:$A$375,"&lt;="&amp;$A147),""))</f>
        <v/>
      </c>
      <c r="BI147" s="359">
        <f>IF($A147="","",IFERROR(AVERAGEIFS(Data!$AF$4:$AF$375,Data!$A$4:$A$375,"&gt;"&amp;($A147-7),Data!$A$4:$A$375,"&lt;="&amp;$A147,Data!$AF$4:$AF$375,"&gt;0"),""))</f>
        <v/>
      </c>
      <c r="BJ147" s="345">
        <f>IF($A147="","",F147+G147+H147+I147+J147+K147+L147+M147+N147-IF(AS147=1,0,J147))</f>
        <v/>
      </c>
      <c r="BK147" s="345">
        <f>IF($A147="","",8+AS147)</f>
        <v/>
      </c>
      <c r="BL147" s="345">
        <f>IF(ISNUMBER(BF147),BF147,NA())</f>
        <v/>
      </c>
      <c r="BM147" s="345">
        <f>IF(ISNUMBER(AF147),AF147,NA())</f>
        <v/>
      </c>
      <c r="BN147" s="345">
        <f>IF(ISNUMBER(BI147),BI147,NA())</f>
        <v/>
      </c>
      <c r="BO147" s="345">
        <f>IF(ISNUMBER(AL147),AL147,NA())</f>
        <v/>
      </c>
      <c r="BP147" s="345">
        <f>IF(ISNUMBER(AM147),AM147,NA())</f>
        <v/>
      </c>
      <c r="BQ147" s="345">
        <f>IF(ISNUMBER(AN147),AN147,NA())</f>
        <v/>
      </c>
    </row>
    <row r="148">
      <c r="A148" s="358">
        <f>IF('Feb 2027'!Y7="","",'Feb 2027'!Y7)</f>
        <v/>
      </c>
      <c r="B148" s="345" t="n">
        <v>5</v>
      </c>
      <c r="C148" s="345">
        <f>IF($A148="","",21)</f>
        <v/>
      </c>
      <c r="D148" s="345">
        <f>IF($A148="","",WEEKDAY($A148,2))</f>
        <v/>
      </c>
      <c r="E148" s="345">
        <f>IF($A148="","",UPPER(TRIM('Feb 2027'!Y8)))</f>
        <v/>
      </c>
      <c r="F148" s="345">
        <f>IF($A148="","",IF(OR('Feb 2027'!Y10=TRUE,'Feb 2027'!Y10="x",'Feb 2027'!Y10="X"),1,0))</f>
        <v/>
      </c>
      <c r="G148" s="345">
        <f>IF($A148="","",IF(OR('Feb 2027'!Y11=TRUE,'Feb 2027'!Y11="x",'Feb 2027'!Y11="X"),1,0))</f>
        <v/>
      </c>
      <c r="H148" s="345">
        <f>IF($A148="","",IF(OR('Feb 2027'!Y12=TRUE,'Feb 2027'!Y12="x",'Feb 2027'!Y12="X"),1,0))</f>
        <v/>
      </c>
      <c r="I148" s="345">
        <f>IF($A148="","",IF(OR('Feb 2027'!Y13=TRUE,'Feb 2027'!Y13="x",'Feb 2027'!Y13="X"),1,0))</f>
        <v/>
      </c>
      <c r="J148" s="345">
        <f>IF($A148="","",IF(OR('Feb 2027'!Y14=TRUE,'Feb 2027'!Y14="x",'Feb 2027'!Y14="X"),1,0))</f>
        <v/>
      </c>
      <c r="K148" s="345">
        <f>IF($A148="","",IF(OR('Feb 2027'!Y15=TRUE,'Feb 2027'!Y15="x",'Feb 2027'!Y15="X"),1,0))</f>
        <v/>
      </c>
      <c r="L148" s="345">
        <f>IF($A148="","",IF(OR('Feb 2027'!Y16=TRUE,'Feb 2027'!Y16="x",'Feb 2027'!Y16="X"),1,0))</f>
        <v/>
      </c>
      <c r="M148" s="345">
        <f>IF($A148="","",IF(OR('Feb 2027'!Y17=TRUE,'Feb 2027'!Y17="x",'Feb 2027'!Y17="X"),1,0))</f>
        <v/>
      </c>
      <c r="N148" s="345">
        <f>IF($A148="","",IF(OR('Feb 2027'!Y18=TRUE,'Feb 2027'!Y18="x",'Feb 2027'!Y18="X"),1,0))</f>
        <v/>
      </c>
      <c r="O148" s="345">
        <f>IF($A148="","",IF(OR('Feb 2027'!Y20=TRUE,'Feb 2027'!Y20="x",'Feb 2027'!Y20="X"),1,0))</f>
        <v/>
      </c>
      <c r="P148" s="345">
        <f>IF($A148="","",IF(OR('Feb 2027'!Y21=TRUE,'Feb 2027'!Y21="x",'Feb 2027'!Y21="X"),1,0))</f>
        <v/>
      </c>
      <c r="Q148" s="345">
        <f>IF($A148="","",IF(OR('Feb 2027'!Y22=TRUE,'Feb 2027'!Y22="x",'Feb 2027'!Y22="X"),1,0))</f>
        <v/>
      </c>
      <c r="R148" s="345">
        <f>IF($A148="","",IF(OR('Feb 2027'!Y23=TRUE,'Feb 2027'!Y23="x",'Feb 2027'!Y23="X"),1,0))</f>
        <v/>
      </c>
      <c r="S148" s="345">
        <f>IF($A148="","",IF(OR('Feb 2027'!Y24=TRUE,'Feb 2027'!Y24="x",'Feb 2027'!Y24="X"),1,0))</f>
        <v/>
      </c>
      <c r="T148" s="345">
        <f>IF($A148="","",IF(OR('Feb 2027'!Y25=TRUE,'Feb 2027'!Y25="x",'Feb 2027'!Y25="X"),1,0))</f>
        <v/>
      </c>
      <c r="U148" s="345">
        <f>IF($A148="","",IF(OR('Feb 2027'!Y26=TRUE,'Feb 2027'!Y26="x",'Feb 2027'!Y26="X"),1,0))</f>
        <v/>
      </c>
      <c r="V148" s="345">
        <f>IF($A148="","",IF(OR('Feb 2027'!Y27=TRUE,'Feb 2027'!Y27="x",'Feb 2027'!Y27="X"),1,0))</f>
        <v/>
      </c>
      <c r="W148" s="345">
        <f>IF($A148="","",IF(OR('Feb 2027'!Y28=TRUE,'Feb 2027'!Y28="x",'Feb 2027'!Y28="X"),1,0))</f>
        <v/>
      </c>
      <c r="X148" s="345">
        <f>IF($A148="","",IF(OR('Feb 2027'!Y29=TRUE,'Feb 2027'!Y29="x",'Feb 2027'!Y29="X"),1,0))</f>
        <v/>
      </c>
      <c r="Y148" s="345">
        <f>IF($A148="","",IF(OR('Feb 2027'!Y30=TRUE,'Feb 2027'!Y30="x",'Feb 2027'!Y30="X"),1,0))</f>
        <v/>
      </c>
      <c r="Z148" s="345">
        <f>IF($A148="","",IF(OR('Feb 2027'!Y31=TRUE,'Feb 2027'!Y31="x",'Feb 2027'!Y31="X"),1,0))</f>
        <v/>
      </c>
      <c r="AA148" s="345">
        <f>IF($A148="","",IF(OR('Feb 2027'!Y32=TRUE,'Feb 2027'!Y32="x",'Feb 2027'!Y32="X"),1,0))</f>
        <v/>
      </c>
      <c r="AB148" s="345">
        <f>IF($A148="","",IF(OR('Feb 2027'!Y34=TRUE,'Feb 2027'!Y34="x",'Feb 2027'!Y34="X"),1,0))</f>
        <v/>
      </c>
      <c r="AC148" s="345">
        <f>IF($A148="","",IF(OR('Feb 2027'!Y35=TRUE,'Feb 2027'!Y35="x",'Feb 2027'!Y35="X"),1,0))</f>
        <v/>
      </c>
      <c r="AD148" s="345">
        <f>IF($A148="","",IF(OR('Feb 2027'!Y36=TRUE,'Feb 2027'!Y36="x",'Feb 2027'!Y36="X"),1,0))</f>
        <v/>
      </c>
      <c r="AE148" s="345">
        <f>IF($A148="","",IF(OR('Feb 2027'!Y37=TRUE,'Feb 2027'!Y37="x",'Feb 2027'!Y37="X"),1,0))</f>
        <v/>
      </c>
      <c r="AF148" s="345">
        <f>IF($A148="","",IF('Feb 2027'!Y59="","",'Feb 2027'!Y59))</f>
        <v/>
      </c>
      <c r="AG148" s="345">
        <f>IF($A148="","",IF('Feb 2027'!Y60="","",'Feb 2027'!Y60))</f>
        <v/>
      </c>
      <c r="AH148" s="345">
        <f>IF($A148="","",IF('Feb 2027'!Y61="","",'Feb 2027'!Y61))</f>
        <v/>
      </c>
      <c r="AI148" s="345">
        <f>IF($A148="","",IF('Feb 2027'!Y62="","",'Feb 2027'!Y62))</f>
        <v/>
      </c>
      <c r="AJ148" s="345">
        <f>IF($A148="","",IF('Feb 2027'!Y63="","",'Feb 2027'!Y63))</f>
        <v/>
      </c>
      <c r="AK148" s="345">
        <f>IF($A148="","",IF('Feb 2027'!Y64="","",'Feb 2027'!Y64))</f>
        <v/>
      </c>
      <c r="AL148" s="345">
        <f>IF($A148="","",IF('Feb 2027'!Y65="","",'Feb 2027'!Y65))</f>
        <v/>
      </c>
      <c r="AM148" s="345">
        <f>IF($A148="","",IF('Feb 2027'!Y66="","",'Feb 2027'!Y66))</f>
        <v/>
      </c>
      <c r="AN148" s="345">
        <f>IF($A148="","",IF('Feb 2027'!Y67="","",'Feb 2027'!Y67))</f>
        <v/>
      </c>
      <c r="AO148" s="345">
        <f>IF($A148="",0,IF(AND($A148&gt;=TrackStart,$A148&lt;=TODAY()),1,0))</f>
        <v/>
      </c>
      <c r="AP148" s="345">
        <f>IF($A148="",0,IF(SUM(F148:AE148)+COUNT(AF148:AN148)&gt;0,1,0))</f>
        <v/>
      </c>
      <c r="AQ148" s="345">
        <f>IF($A148="","",INT(($A148-TrackStart)/7)+1)</f>
        <v/>
      </c>
      <c r="AR148" s="345">
        <f>IF($A148="","",IF(AQ148&lt;=1,Steps1,IF(AQ148=2,Steps2,Steps3)))</f>
        <v/>
      </c>
      <c r="AS148" s="345">
        <f>IF($A148="",0,IF(ISNUMBER(SEARCH(TEXT(D148,"0"),WorkDays&amp;"")),1,0))</f>
        <v/>
      </c>
      <c r="AT148" s="345">
        <f>IF($A148="",0,IF(ISNUMBER(SEARCH(TEXT(D148,"0"),StrDays&amp;"")),1,0))</f>
        <v/>
      </c>
      <c r="AU148" s="345">
        <f>IF($A148="",0,IF(ISNUMBER(AK148),IF(AK148&gt;=SleepMin,1,0),N148))</f>
        <v/>
      </c>
      <c r="AV148" s="345">
        <f>IF($A148="",0,MAX(I148,O148,S148,AC148))</f>
        <v/>
      </c>
      <c r="AW148" s="345">
        <f>IF($A148="",0,IF(ISNUMBER(AH148),IF(AH148&gt;=ProtHit,1,0),0))</f>
        <v/>
      </c>
      <c r="AX148" s="345">
        <f>IF($A148="",0,IF(ISNUMBER(AI148),IF(AI148&gt;=WaterHit,1,0),0))</f>
        <v/>
      </c>
      <c r="AY148" s="345">
        <f>IF($A148="",0,IF(ISNUMBER(AG148),IF(AG148&gt;=AR148,1,0),0))</f>
        <v/>
      </c>
      <c r="AZ148" s="345">
        <f>IF($A148="",0,G148)</f>
        <v/>
      </c>
      <c r="BA148" s="345">
        <f>IF($A148="",0,J148)</f>
        <v/>
      </c>
      <c r="BB148" s="345">
        <f>IF($A148="",0,K148)</f>
        <v/>
      </c>
      <c r="BC148" s="345">
        <f>IF($A148="",0,MAX(L148,AE148))</f>
        <v/>
      </c>
      <c r="BD148" s="344">
        <f>IF($A148="","",(AU148+AV148+AW148+AX148+AY148+AZ148+BB148+BC148+IF(AS148=1,BA148,0))/(8+AS148))</f>
        <v/>
      </c>
      <c r="BE148" s="344">
        <f>IF($A148="","",(IF(ISNUMBER(AI148),IF(AI148&gt;=WaterMVD,1,0),0)+AV148+IF(ISNUMBER(AH148),IF(AH148&gt;=ProtMVD,1,0),0)+MAX(H148,AD148)+AZ148+BB148+AU148)/7)</f>
        <v/>
      </c>
      <c r="BF148" s="344">
        <f>IF(AO148=0,"",IF(E148="S","",IF(AND(AP148=0,$A148=TODAY()),"",IF(E148="M",BE148,BD148))))</f>
        <v/>
      </c>
      <c r="BG148" s="344">
        <f>IF(AO148=0,"",IFERROR(AVERAGEIFS(Data!$BF$4:$BF$375,Data!$A$4:$A$375,"&gt;"&amp;($A148-7),Data!$A$4:$A$375,"&lt;="&amp;$A148),""))</f>
        <v/>
      </c>
      <c r="BH148" s="344">
        <f>IF(AO148=0,"",IFERROR(AVERAGEIFS(Data!$BF$4:$BF$375,Data!$A$4:$A$375,"&gt;"&amp;($A148-30),Data!$A$4:$A$375,"&lt;="&amp;$A148),""))</f>
        <v/>
      </c>
      <c r="BI148" s="359">
        <f>IF($A148="","",IFERROR(AVERAGEIFS(Data!$AF$4:$AF$375,Data!$A$4:$A$375,"&gt;"&amp;($A148-7),Data!$A$4:$A$375,"&lt;="&amp;$A148,Data!$AF$4:$AF$375,"&gt;0"),""))</f>
        <v/>
      </c>
      <c r="BJ148" s="345">
        <f>IF($A148="","",F148+G148+H148+I148+J148+K148+L148+M148+N148-IF(AS148=1,0,J148))</f>
        <v/>
      </c>
      <c r="BK148" s="345">
        <f>IF($A148="","",8+AS148)</f>
        <v/>
      </c>
      <c r="BL148" s="345">
        <f>IF(ISNUMBER(BF148),BF148,NA())</f>
        <v/>
      </c>
      <c r="BM148" s="345">
        <f>IF(ISNUMBER(AF148),AF148,NA())</f>
        <v/>
      </c>
      <c r="BN148" s="345">
        <f>IF(ISNUMBER(BI148),BI148,NA())</f>
        <v/>
      </c>
      <c r="BO148" s="345">
        <f>IF(ISNUMBER(AL148),AL148,NA())</f>
        <v/>
      </c>
      <c r="BP148" s="345">
        <f>IF(ISNUMBER(AM148),AM148,NA())</f>
        <v/>
      </c>
      <c r="BQ148" s="345">
        <f>IF(ISNUMBER(AN148),AN148,NA())</f>
        <v/>
      </c>
    </row>
    <row r="149">
      <c r="A149" s="358">
        <f>IF('Feb 2027'!Z7="","",'Feb 2027'!Z7)</f>
        <v/>
      </c>
      <c r="B149" s="345" t="n">
        <v>5</v>
      </c>
      <c r="C149" s="345">
        <f>IF($A149="","",22)</f>
        <v/>
      </c>
      <c r="D149" s="345">
        <f>IF($A149="","",WEEKDAY($A149,2))</f>
        <v/>
      </c>
      <c r="E149" s="345">
        <f>IF($A149="","",UPPER(TRIM('Feb 2027'!Z8)))</f>
        <v/>
      </c>
      <c r="F149" s="345">
        <f>IF($A149="","",IF(OR('Feb 2027'!Z10=TRUE,'Feb 2027'!Z10="x",'Feb 2027'!Z10="X"),1,0))</f>
        <v/>
      </c>
      <c r="G149" s="345">
        <f>IF($A149="","",IF(OR('Feb 2027'!Z11=TRUE,'Feb 2027'!Z11="x",'Feb 2027'!Z11="X"),1,0))</f>
        <v/>
      </c>
      <c r="H149" s="345">
        <f>IF($A149="","",IF(OR('Feb 2027'!Z12=TRUE,'Feb 2027'!Z12="x",'Feb 2027'!Z12="X"),1,0))</f>
        <v/>
      </c>
      <c r="I149" s="345">
        <f>IF($A149="","",IF(OR('Feb 2027'!Z13=TRUE,'Feb 2027'!Z13="x",'Feb 2027'!Z13="X"),1,0))</f>
        <v/>
      </c>
      <c r="J149" s="345">
        <f>IF($A149="","",IF(OR('Feb 2027'!Z14=TRUE,'Feb 2027'!Z14="x",'Feb 2027'!Z14="X"),1,0))</f>
        <v/>
      </c>
      <c r="K149" s="345">
        <f>IF($A149="","",IF(OR('Feb 2027'!Z15=TRUE,'Feb 2027'!Z15="x",'Feb 2027'!Z15="X"),1,0))</f>
        <v/>
      </c>
      <c r="L149" s="345">
        <f>IF($A149="","",IF(OR('Feb 2027'!Z16=TRUE,'Feb 2027'!Z16="x",'Feb 2027'!Z16="X"),1,0))</f>
        <v/>
      </c>
      <c r="M149" s="345">
        <f>IF($A149="","",IF(OR('Feb 2027'!Z17=TRUE,'Feb 2027'!Z17="x",'Feb 2027'!Z17="X"),1,0))</f>
        <v/>
      </c>
      <c r="N149" s="345">
        <f>IF($A149="","",IF(OR('Feb 2027'!Z18=TRUE,'Feb 2027'!Z18="x",'Feb 2027'!Z18="X"),1,0))</f>
        <v/>
      </c>
      <c r="O149" s="345">
        <f>IF($A149="","",IF(OR('Feb 2027'!Z20=TRUE,'Feb 2027'!Z20="x",'Feb 2027'!Z20="X"),1,0))</f>
        <v/>
      </c>
      <c r="P149" s="345">
        <f>IF($A149="","",IF(OR('Feb 2027'!Z21=TRUE,'Feb 2027'!Z21="x",'Feb 2027'!Z21="X"),1,0))</f>
        <v/>
      </c>
      <c r="Q149" s="345">
        <f>IF($A149="","",IF(OR('Feb 2027'!Z22=TRUE,'Feb 2027'!Z22="x",'Feb 2027'!Z22="X"),1,0))</f>
        <v/>
      </c>
      <c r="R149" s="345">
        <f>IF($A149="","",IF(OR('Feb 2027'!Z23=TRUE,'Feb 2027'!Z23="x",'Feb 2027'!Z23="X"),1,0))</f>
        <v/>
      </c>
      <c r="S149" s="345">
        <f>IF($A149="","",IF(OR('Feb 2027'!Z24=TRUE,'Feb 2027'!Z24="x",'Feb 2027'!Z24="X"),1,0))</f>
        <v/>
      </c>
      <c r="T149" s="345">
        <f>IF($A149="","",IF(OR('Feb 2027'!Z25=TRUE,'Feb 2027'!Z25="x",'Feb 2027'!Z25="X"),1,0))</f>
        <v/>
      </c>
      <c r="U149" s="345">
        <f>IF($A149="","",IF(OR('Feb 2027'!Z26=TRUE,'Feb 2027'!Z26="x",'Feb 2027'!Z26="X"),1,0))</f>
        <v/>
      </c>
      <c r="V149" s="345">
        <f>IF($A149="","",IF(OR('Feb 2027'!Z27=TRUE,'Feb 2027'!Z27="x",'Feb 2027'!Z27="X"),1,0))</f>
        <v/>
      </c>
      <c r="W149" s="345">
        <f>IF($A149="","",IF(OR('Feb 2027'!Z28=TRUE,'Feb 2027'!Z28="x",'Feb 2027'!Z28="X"),1,0))</f>
        <v/>
      </c>
      <c r="X149" s="345">
        <f>IF($A149="","",IF(OR('Feb 2027'!Z29=TRUE,'Feb 2027'!Z29="x",'Feb 2027'!Z29="X"),1,0))</f>
        <v/>
      </c>
      <c r="Y149" s="345">
        <f>IF($A149="","",IF(OR('Feb 2027'!Z30=TRUE,'Feb 2027'!Z30="x",'Feb 2027'!Z30="X"),1,0))</f>
        <v/>
      </c>
      <c r="Z149" s="345">
        <f>IF($A149="","",IF(OR('Feb 2027'!Z31=TRUE,'Feb 2027'!Z31="x",'Feb 2027'!Z31="X"),1,0))</f>
        <v/>
      </c>
      <c r="AA149" s="345">
        <f>IF($A149="","",IF(OR('Feb 2027'!Z32=TRUE,'Feb 2027'!Z32="x",'Feb 2027'!Z32="X"),1,0))</f>
        <v/>
      </c>
      <c r="AB149" s="345">
        <f>IF($A149="","",IF(OR('Feb 2027'!Z34=TRUE,'Feb 2027'!Z34="x",'Feb 2027'!Z34="X"),1,0))</f>
        <v/>
      </c>
      <c r="AC149" s="345">
        <f>IF($A149="","",IF(OR('Feb 2027'!Z35=TRUE,'Feb 2027'!Z35="x",'Feb 2027'!Z35="X"),1,0))</f>
        <v/>
      </c>
      <c r="AD149" s="345">
        <f>IF($A149="","",IF(OR('Feb 2027'!Z36=TRUE,'Feb 2027'!Z36="x",'Feb 2027'!Z36="X"),1,0))</f>
        <v/>
      </c>
      <c r="AE149" s="345">
        <f>IF($A149="","",IF(OR('Feb 2027'!Z37=TRUE,'Feb 2027'!Z37="x",'Feb 2027'!Z37="X"),1,0))</f>
        <v/>
      </c>
      <c r="AF149" s="345">
        <f>IF($A149="","",IF('Feb 2027'!Z59="","",'Feb 2027'!Z59))</f>
        <v/>
      </c>
      <c r="AG149" s="345">
        <f>IF($A149="","",IF('Feb 2027'!Z60="","",'Feb 2027'!Z60))</f>
        <v/>
      </c>
      <c r="AH149" s="345">
        <f>IF($A149="","",IF('Feb 2027'!Z61="","",'Feb 2027'!Z61))</f>
        <v/>
      </c>
      <c r="AI149" s="345">
        <f>IF($A149="","",IF('Feb 2027'!Z62="","",'Feb 2027'!Z62))</f>
        <v/>
      </c>
      <c r="AJ149" s="345">
        <f>IF($A149="","",IF('Feb 2027'!Z63="","",'Feb 2027'!Z63))</f>
        <v/>
      </c>
      <c r="AK149" s="345">
        <f>IF($A149="","",IF('Feb 2027'!Z64="","",'Feb 2027'!Z64))</f>
        <v/>
      </c>
      <c r="AL149" s="345">
        <f>IF($A149="","",IF('Feb 2027'!Z65="","",'Feb 2027'!Z65))</f>
        <v/>
      </c>
      <c r="AM149" s="345">
        <f>IF($A149="","",IF('Feb 2027'!Z66="","",'Feb 2027'!Z66))</f>
        <v/>
      </c>
      <c r="AN149" s="345">
        <f>IF($A149="","",IF('Feb 2027'!Z67="","",'Feb 2027'!Z67))</f>
        <v/>
      </c>
      <c r="AO149" s="345">
        <f>IF($A149="",0,IF(AND($A149&gt;=TrackStart,$A149&lt;=TODAY()),1,0))</f>
        <v/>
      </c>
      <c r="AP149" s="345">
        <f>IF($A149="",0,IF(SUM(F149:AE149)+COUNT(AF149:AN149)&gt;0,1,0))</f>
        <v/>
      </c>
      <c r="AQ149" s="345">
        <f>IF($A149="","",INT(($A149-TrackStart)/7)+1)</f>
        <v/>
      </c>
      <c r="AR149" s="345">
        <f>IF($A149="","",IF(AQ149&lt;=1,Steps1,IF(AQ149=2,Steps2,Steps3)))</f>
        <v/>
      </c>
      <c r="AS149" s="345">
        <f>IF($A149="",0,IF(ISNUMBER(SEARCH(TEXT(D149,"0"),WorkDays&amp;"")),1,0))</f>
        <v/>
      </c>
      <c r="AT149" s="345">
        <f>IF($A149="",0,IF(ISNUMBER(SEARCH(TEXT(D149,"0"),StrDays&amp;"")),1,0))</f>
        <v/>
      </c>
      <c r="AU149" s="345">
        <f>IF($A149="",0,IF(ISNUMBER(AK149),IF(AK149&gt;=SleepMin,1,0),N149))</f>
        <v/>
      </c>
      <c r="AV149" s="345">
        <f>IF($A149="",0,MAX(I149,O149,S149,AC149))</f>
        <v/>
      </c>
      <c r="AW149" s="345">
        <f>IF($A149="",0,IF(ISNUMBER(AH149),IF(AH149&gt;=ProtHit,1,0),0))</f>
        <v/>
      </c>
      <c r="AX149" s="345">
        <f>IF($A149="",0,IF(ISNUMBER(AI149),IF(AI149&gt;=WaterHit,1,0),0))</f>
        <v/>
      </c>
      <c r="AY149" s="345">
        <f>IF($A149="",0,IF(ISNUMBER(AG149),IF(AG149&gt;=AR149,1,0),0))</f>
        <v/>
      </c>
      <c r="AZ149" s="345">
        <f>IF($A149="",0,G149)</f>
        <v/>
      </c>
      <c r="BA149" s="345">
        <f>IF($A149="",0,J149)</f>
        <v/>
      </c>
      <c r="BB149" s="345">
        <f>IF($A149="",0,K149)</f>
        <v/>
      </c>
      <c r="BC149" s="345">
        <f>IF($A149="",0,MAX(L149,AE149))</f>
        <v/>
      </c>
      <c r="BD149" s="344">
        <f>IF($A149="","",(AU149+AV149+AW149+AX149+AY149+AZ149+BB149+BC149+IF(AS149=1,BA149,0))/(8+AS149))</f>
        <v/>
      </c>
      <c r="BE149" s="344">
        <f>IF($A149="","",(IF(ISNUMBER(AI149),IF(AI149&gt;=WaterMVD,1,0),0)+AV149+IF(ISNUMBER(AH149),IF(AH149&gt;=ProtMVD,1,0),0)+MAX(H149,AD149)+AZ149+BB149+AU149)/7)</f>
        <v/>
      </c>
      <c r="BF149" s="344">
        <f>IF(AO149=0,"",IF(E149="S","",IF(AND(AP149=0,$A149=TODAY()),"",IF(E149="M",BE149,BD149))))</f>
        <v/>
      </c>
      <c r="BG149" s="344">
        <f>IF(AO149=0,"",IFERROR(AVERAGEIFS(Data!$BF$4:$BF$375,Data!$A$4:$A$375,"&gt;"&amp;($A149-7),Data!$A$4:$A$375,"&lt;="&amp;$A149),""))</f>
        <v/>
      </c>
      <c r="BH149" s="344">
        <f>IF(AO149=0,"",IFERROR(AVERAGEIFS(Data!$BF$4:$BF$375,Data!$A$4:$A$375,"&gt;"&amp;($A149-30),Data!$A$4:$A$375,"&lt;="&amp;$A149),""))</f>
        <v/>
      </c>
      <c r="BI149" s="359">
        <f>IF($A149="","",IFERROR(AVERAGEIFS(Data!$AF$4:$AF$375,Data!$A$4:$A$375,"&gt;"&amp;($A149-7),Data!$A$4:$A$375,"&lt;="&amp;$A149,Data!$AF$4:$AF$375,"&gt;0"),""))</f>
        <v/>
      </c>
      <c r="BJ149" s="345">
        <f>IF($A149="","",F149+G149+H149+I149+J149+K149+L149+M149+N149-IF(AS149=1,0,J149))</f>
        <v/>
      </c>
      <c r="BK149" s="345">
        <f>IF($A149="","",8+AS149)</f>
        <v/>
      </c>
      <c r="BL149" s="345">
        <f>IF(ISNUMBER(BF149),BF149,NA())</f>
        <v/>
      </c>
      <c r="BM149" s="345">
        <f>IF(ISNUMBER(AF149),AF149,NA())</f>
        <v/>
      </c>
      <c r="BN149" s="345">
        <f>IF(ISNUMBER(BI149),BI149,NA())</f>
        <v/>
      </c>
      <c r="BO149" s="345">
        <f>IF(ISNUMBER(AL149),AL149,NA())</f>
        <v/>
      </c>
      <c r="BP149" s="345">
        <f>IF(ISNUMBER(AM149),AM149,NA())</f>
        <v/>
      </c>
      <c r="BQ149" s="345">
        <f>IF(ISNUMBER(AN149),AN149,NA())</f>
        <v/>
      </c>
    </row>
    <row r="150">
      <c r="A150" s="358">
        <f>IF('Feb 2027'!AA7="","",'Feb 2027'!AA7)</f>
        <v/>
      </c>
      <c r="B150" s="345" t="n">
        <v>5</v>
      </c>
      <c r="C150" s="345">
        <f>IF($A150="","",23)</f>
        <v/>
      </c>
      <c r="D150" s="345">
        <f>IF($A150="","",WEEKDAY($A150,2))</f>
        <v/>
      </c>
      <c r="E150" s="345">
        <f>IF($A150="","",UPPER(TRIM('Feb 2027'!AA8)))</f>
        <v/>
      </c>
      <c r="F150" s="345">
        <f>IF($A150="","",IF(OR('Feb 2027'!AA10=TRUE,'Feb 2027'!AA10="x",'Feb 2027'!AA10="X"),1,0))</f>
        <v/>
      </c>
      <c r="G150" s="345">
        <f>IF($A150="","",IF(OR('Feb 2027'!AA11=TRUE,'Feb 2027'!AA11="x",'Feb 2027'!AA11="X"),1,0))</f>
        <v/>
      </c>
      <c r="H150" s="345">
        <f>IF($A150="","",IF(OR('Feb 2027'!AA12=TRUE,'Feb 2027'!AA12="x",'Feb 2027'!AA12="X"),1,0))</f>
        <v/>
      </c>
      <c r="I150" s="345">
        <f>IF($A150="","",IF(OR('Feb 2027'!AA13=TRUE,'Feb 2027'!AA13="x",'Feb 2027'!AA13="X"),1,0))</f>
        <v/>
      </c>
      <c r="J150" s="345">
        <f>IF($A150="","",IF(OR('Feb 2027'!AA14=TRUE,'Feb 2027'!AA14="x",'Feb 2027'!AA14="X"),1,0))</f>
        <v/>
      </c>
      <c r="K150" s="345">
        <f>IF($A150="","",IF(OR('Feb 2027'!AA15=TRUE,'Feb 2027'!AA15="x",'Feb 2027'!AA15="X"),1,0))</f>
        <v/>
      </c>
      <c r="L150" s="345">
        <f>IF($A150="","",IF(OR('Feb 2027'!AA16=TRUE,'Feb 2027'!AA16="x",'Feb 2027'!AA16="X"),1,0))</f>
        <v/>
      </c>
      <c r="M150" s="345">
        <f>IF($A150="","",IF(OR('Feb 2027'!AA17=TRUE,'Feb 2027'!AA17="x",'Feb 2027'!AA17="X"),1,0))</f>
        <v/>
      </c>
      <c r="N150" s="345">
        <f>IF($A150="","",IF(OR('Feb 2027'!AA18=TRUE,'Feb 2027'!AA18="x",'Feb 2027'!AA18="X"),1,0))</f>
        <v/>
      </c>
      <c r="O150" s="345">
        <f>IF($A150="","",IF(OR('Feb 2027'!AA20=TRUE,'Feb 2027'!AA20="x",'Feb 2027'!AA20="X"),1,0))</f>
        <v/>
      </c>
      <c r="P150" s="345">
        <f>IF($A150="","",IF(OR('Feb 2027'!AA21=TRUE,'Feb 2027'!AA21="x",'Feb 2027'!AA21="X"),1,0))</f>
        <v/>
      </c>
      <c r="Q150" s="345">
        <f>IF($A150="","",IF(OR('Feb 2027'!AA22=TRUE,'Feb 2027'!AA22="x",'Feb 2027'!AA22="X"),1,0))</f>
        <v/>
      </c>
      <c r="R150" s="345">
        <f>IF($A150="","",IF(OR('Feb 2027'!AA23=TRUE,'Feb 2027'!AA23="x",'Feb 2027'!AA23="X"),1,0))</f>
        <v/>
      </c>
      <c r="S150" s="345">
        <f>IF($A150="","",IF(OR('Feb 2027'!AA24=TRUE,'Feb 2027'!AA24="x",'Feb 2027'!AA24="X"),1,0))</f>
        <v/>
      </c>
      <c r="T150" s="345">
        <f>IF($A150="","",IF(OR('Feb 2027'!AA25=TRUE,'Feb 2027'!AA25="x",'Feb 2027'!AA25="X"),1,0))</f>
        <v/>
      </c>
      <c r="U150" s="345">
        <f>IF($A150="","",IF(OR('Feb 2027'!AA26=TRUE,'Feb 2027'!AA26="x",'Feb 2027'!AA26="X"),1,0))</f>
        <v/>
      </c>
      <c r="V150" s="345">
        <f>IF($A150="","",IF(OR('Feb 2027'!AA27=TRUE,'Feb 2027'!AA27="x",'Feb 2027'!AA27="X"),1,0))</f>
        <v/>
      </c>
      <c r="W150" s="345">
        <f>IF($A150="","",IF(OR('Feb 2027'!AA28=TRUE,'Feb 2027'!AA28="x",'Feb 2027'!AA28="X"),1,0))</f>
        <v/>
      </c>
      <c r="X150" s="345">
        <f>IF($A150="","",IF(OR('Feb 2027'!AA29=TRUE,'Feb 2027'!AA29="x",'Feb 2027'!AA29="X"),1,0))</f>
        <v/>
      </c>
      <c r="Y150" s="345">
        <f>IF($A150="","",IF(OR('Feb 2027'!AA30=TRUE,'Feb 2027'!AA30="x",'Feb 2027'!AA30="X"),1,0))</f>
        <v/>
      </c>
      <c r="Z150" s="345">
        <f>IF($A150="","",IF(OR('Feb 2027'!AA31=TRUE,'Feb 2027'!AA31="x",'Feb 2027'!AA31="X"),1,0))</f>
        <v/>
      </c>
      <c r="AA150" s="345">
        <f>IF($A150="","",IF(OR('Feb 2027'!AA32=TRUE,'Feb 2027'!AA32="x",'Feb 2027'!AA32="X"),1,0))</f>
        <v/>
      </c>
      <c r="AB150" s="345">
        <f>IF($A150="","",IF(OR('Feb 2027'!AA34=TRUE,'Feb 2027'!AA34="x",'Feb 2027'!AA34="X"),1,0))</f>
        <v/>
      </c>
      <c r="AC150" s="345">
        <f>IF($A150="","",IF(OR('Feb 2027'!AA35=TRUE,'Feb 2027'!AA35="x",'Feb 2027'!AA35="X"),1,0))</f>
        <v/>
      </c>
      <c r="AD150" s="345">
        <f>IF($A150="","",IF(OR('Feb 2027'!AA36=TRUE,'Feb 2027'!AA36="x",'Feb 2027'!AA36="X"),1,0))</f>
        <v/>
      </c>
      <c r="AE150" s="345">
        <f>IF($A150="","",IF(OR('Feb 2027'!AA37=TRUE,'Feb 2027'!AA37="x",'Feb 2027'!AA37="X"),1,0))</f>
        <v/>
      </c>
      <c r="AF150" s="345">
        <f>IF($A150="","",IF('Feb 2027'!AA59="","",'Feb 2027'!AA59))</f>
        <v/>
      </c>
      <c r="AG150" s="345">
        <f>IF($A150="","",IF('Feb 2027'!AA60="","",'Feb 2027'!AA60))</f>
        <v/>
      </c>
      <c r="AH150" s="345">
        <f>IF($A150="","",IF('Feb 2027'!AA61="","",'Feb 2027'!AA61))</f>
        <v/>
      </c>
      <c r="AI150" s="345">
        <f>IF($A150="","",IF('Feb 2027'!AA62="","",'Feb 2027'!AA62))</f>
        <v/>
      </c>
      <c r="AJ150" s="345">
        <f>IF($A150="","",IF('Feb 2027'!AA63="","",'Feb 2027'!AA63))</f>
        <v/>
      </c>
      <c r="AK150" s="345">
        <f>IF($A150="","",IF('Feb 2027'!AA64="","",'Feb 2027'!AA64))</f>
        <v/>
      </c>
      <c r="AL150" s="345">
        <f>IF($A150="","",IF('Feb 2027'!AA65="","",'Feb 2027'!AA65))</f>
        <v/>
      </c>
      <c r="AM150" s="345">
        <f>IF($A150="","",IF('Feb 2027'!AA66="","",'Feb 2027'!AA66))</f>
        <v/>
      </c>
      <c r="AN150" s="345">
        <f>IF($A150="","",IF('Feb 2027'!AA67="","",'Feb 2027'!AA67))</f>
        <v/>
      </c>
      <c r="AO150" s="345">
        <f>IF($A150="",0,IF(AND($A150&gt;=TrackStart,$A150&lt;=TODAY()),1,0))</f>
        <v/>
      </c>
      <c r="AP150" s="345">
        <f>IF($A150="",0,IF(SUM(F150:AE150)+COUNT(AF150:AN150)&gt;0,1,0))</f>
        <v/>
      </c>
      <c r="AQ150" s="345">
        <f>IF($A150="","",INT(($A150-TrackStart)/7)+1)</f>
        <v/>
      </c>
      <c r="AR150" s="345">
        <f>IF($A150="","",IF(AQ150&lt;=1,Steps1,IF(AQ150=2,Steps2,Steps3)))</f>
        <v/>
      </c>
      <c r="AS150" s="345">
        <f>IF($A150="",0,IF(ISNUMBER(SEARCH(TEXT(D150,"0"),WorkDays&amp;"")),1,0))</f>
        <v/>
      </c>
      <c r="AT150" s="345">
        <f>IF($A150="",0,IF(ISNUMBER(SEARCH(TEXT(D150,"0"),StrDays&amp;"")),1,0))</f>
        <v/>
      </c>
      <c r="AU150" s="345">
        <f>IF($A150="",0,IF(ISNUMBER(AK150),IF(AK150&gt;=SleepMin,1,0),N150))</f>
        <v/>
      </c>
      <c r="AV150" s="345">
        <f>IF($A150="",0,MAX(I150,O150,S150,AC150))</f>
        <v/>
      </c>
      <c r="AW150" s="345">
        <f>IF($A150="",0,IF(ISNUMBER(AH150),IF(AH150&gt;=ProtHit,1,0),0))</f>
        <v/>
      </c>
      <c r="AX150" s="345">
        <f>IF($A150="",0,IF(ISNUMBER(AI150),IF(AI150&gt;=WaterHit,1,0),0))</f>
        <v/>
      </c>
      <c r="AY150" s="345">
        <f>IF($A150="",0,IF(ISNUMBER(AG150),IF(AG150&gt;=AR150,1,0),0))</f>
        <v/>
      </c>
      <c r="AZ150" s="345">
        <f>IF($A150="",0,G150)</f>
        <v/>
      </c>
      <c r="BA150" s="345">
        <f>IF($A150="",0,J150)</f>
        <v/>
      </c>
      <c r="BB150" s="345">
        <f>IF($A150="",0,K150)</f>
        <v/>
      </c>
      <c r="BC150" s="345">
        <f>IF($A150="",0,MAX(L150,AE150))</f>
        <v/>
      </c>
      <c r="BD150" s="344">
        <f>IF($A150="","",(AU150+AV150+AW150+AX150+AY150+AZ150+BB150+BC150+IF(AS150=1,BA150,0))/(8+AS150))</f>
        <v/>
      </c>
      <c r="BE150" s="344">
        <f>IF($A150="","",(IF(ISNUMBER(AI150),IF(AI150&gt;=WaterMVD,1,0),0)+AV150+IF(ISNUMBER(AH150),IF(AH150&gt;=ProtMVD,1,0),0)+MAX(H150,AD150)+AZ150+BB150+AU150)/7)</f>
        <v/>
      </c>
      <c r="BF150" s="344">
        <f>IF(AO150=0,"",IF(E150="S","",IF(AND(AP150=0,$A150=TODAY()),"",IF(E150="M",BE150,BD150))))</f>
        <v/>
      </c>
      <c r="BG150" s="344">
        <f>IF(AO150=0,"",IFERROR(AVERAGEIFS(Data!$BF$4:$BF$375,Data!$A$4:$A$375,"&gt;"&amp;($A150-7),Data!$A$4:$A$375,"&lt;="&amp;$A150),""))</f>
        <v/>
      </c>
      <c r="BH150" s="344">
        <f>IF(AO150=0,"",IFERROR(AVERAGEIFS(Data!$BF$4:$BF$375,Data!$A$4:$A$375,"&gt;"&amp;($A150-30),Data!$A$4:$A$375,"&lt;="&amp;$A150),""))</f>
        <v/>
      </c>
      <c r="BI150" s="359">
        <f>IF($A150="","",IFERROR(AVERAGEIFS(Data!$AF$4:$AF$375,Data!$A$4:$A$375,"&gt;"&amp;($A150-7),Data!$A$4:$A$375,"&lt;="&amp;$A150,Data!$AF$4:$AF$375,"&gt;0"),""))</f>
        <v/>
      </c>
      <c r="BJ150" s="345">
        <f>IF($A150="","",F150+G150+H150+I150+J150+K150+L150+M150+N150-IF(AS150=1,0,J150))</f>
        <v/>
      </c>
      <c r="BK150" s="345">
        <f>IF($A150="","",8+AS150)</f>
        <v/>
      </c>
      <c r="BL150" s="345">
        <f>IF(ISNUMBER(BF150),BF150,NA())</f>
        <v/>
      </c>
      <c r="BM150" s="345">
        <f>IF(ISNUMBER(AF150),AF150,NA())</f>
        <v/>
      </c>
      <c r="BN150" s="345">
        <f>IF(ISNUMBER(BI150),BI150,NA())</f>
        <v/>
      </c>
      <c r="BO150" s="345">
        <f>IF(ISNUMBER(AL150),AL150,NA())</f>
        <v/>
      </c>
      <c r="BP150" s="345">
        <f>IF(ISNUMBER(AM150),AM150,NA())</f>
        <v/>
      </c>
      <c r="BQ150" s="345">
        <f>IF(ISNUMBER(AN150),AN150,NA())</f>
        <v/>
      </c>
    </row>
    <row r="151">
      <c r="A151" s="358">
        <f>IF('Feb 2027'!AB7="","",'Feb 2027'!AB7)</f>
        <v/>
      </c>
      <c r="B151" s="345" t="n">
        <v>5</v>
      </c>
      <c r="C151" s="345">
        <f>IF($A151="","",24)</f>
        <v/>
      </c>
      <c r="D151" s="345">
        <f>IF($A151="","",WEEKDAY($A151,2))</f>
        <v/>
      </c>
      <c r="E151" s="345">
        <f>IF($A151="","",UPPER(TRIM('Feb 2027'!AB8)))</f>
        <v/>
      </c>
      <c r="F151" s="345">
        <f>IF($A151="","",IF(OR('Feb 2027'!AB10=TRUE,'Feb 2027'!AB10="x",'Feb 2027'!AB10="X"),1,0))</f>
        <v/>
      </c>
      <c r="G151" s="345">
        <f>IF($A151="","",IF(OR('Feb 2027'!AB11=TRUE,'Feb 2027'!AB11="x",'Feb 2027'!AB11="X"),1,0))</f>
        <v/>
      </c>
      <c r="H151" s="345">
        <f>IF($A151="","",IF(OR('Feb 2027'!AB12=TRUE,'Feb 2027'!AB12="x",'Feb 2027'!AB12="X"),1,0))</f>
        <v/>
      </c>
      <c r="I151" s="345">
        <f>IF($A151="","",IF(OR('Feb 2027'!AB13=TRUE,'Feb 2027'!AB13="x",'Feb 2027'!AB13="X"),1,0))</f>
        <v/>
      </c>
      <c r="J151" s="345">
        <f>IF($A151="","",IF(OR('Feb 2027'!AB14=TRUE,'Feb 2027'!AB14="x",'Feb 2027'!AB14="X"),1,0))</f>
        <v/>
      </c>
      <c r="K151" s="345">
        <f>IF($A151="","",IF(OR('Feb 2027'!AB15=TRUE,'Feb 2027'!AB15="x",'Feb 2027'!AB15="X"),1,0))</f>
        <v/>
      </c>
      <c r="L151" s="345">
        <f>IF($A151="","",IF(OR('Feb 2027'!AB16=TRUE,'Feb 2027'!AB16="x",'Feb 2027'!AB16="X"),1,0))</f>
        <v/>
      </c>
      <c r="M151" s="345">
        <f>IF($A151="","",IF(OR('Feb 2027'!AB17=TRUE,'Feb 2027'!AB17="x",'Feb 2027'!AB17="X"),1,0))</f>
        <v/>
      </c>
      <c r="N151" s="345">
        <f>IF($A151="","",IF(OR('Feb 2027'!AB18=TRUE,'Feb 2027'!AB18="x",'Feb 2027'!AB18="X"),1,0))</f>
        <v/>
      </c>
      <c r="O151" s="345">
        <f>IF($A151="","",IF(OR('Feb 2027'!AB20=TRUE,'Feb 2027'!AB20="x",'Feb 2027'!AB20="X"),1,0))</f>
        <v/>
      </c>
      <c r="P151" s="345">
        <f>IF($A151="","",IF(OR('Feb 2027'!AB21=TRUE,'Feb 2027'!AB21="x",'Feb 2027'!AB21="X"),1,0))</f>
        <v/>
      </c>
      <c r="Q151" s="345">
        <f>IF($A151="","",IF(OR('Feb 2027'!AB22=TRUE,'Feb 2027'!AB22="x",'Feb 2027'!AB22="X"),1,0))</f>
        <v/>
      </c>
      <c r="R151" s="345">
        <f>IF($A151="","",IF(OR('Feb 2027'!AB23=TRUE,'Feb 2027'!AB23="x",'Feb 2027'!AB23="X"),1,0))</f>
        <v/>
      </c>
      <c r="S151" s="345">
        <f>IF($A151="","",IF(OR('Feb 2027'!AB24=TRUE,'Feb 2027'!AB24="x",'Feb 2027'!AB24="X"),1,0))</f>
        <v/>
      </c>
      <c r="T151" s="345">
        <f>IF($A151="","",IF(OR('Feb 2027'!AB25=TRUE,'Feb 2027'!AB25="x",'Feb 2027'!AB25="X"),1,0))</f>
        <v/>
      </c>
      <c r="U151" s="345">
        <f>IF($A151="","",IF(OR('Feb 2027'!AB26=TRUE,'Feb 2027'!AB26="x",'Feb 2027'!AB26="X"),1,0))</f>
        <v/>
      </c>
      <c r="V151" s="345">
        <f>IF($A151="","",IF(OR('Feb 2027'!AB27=TRUE,'Feb 2027'!AB27="x",'Feb 2027'!AB27="X"),1,0))</f>
        <v/>
      </c>
      <c r="W151" s="345">
        <f>IF($A151="","",IF(OR('Feb 2027'!AB28=TRUE,'Feb 2027'!AB28="x",'Feb 2027'!AB28="X"),1,0))</f>
        <v/>
      </c>
      <c r="X151" s="345">
        <f>IF($A151="","",IF(OR('Feb 2027'!AB29=TRUE,'Feb 2027'!AB29="x",'Feb 2027'!AB29="X"),1,0))</f>
        <v/>
      </c>
      <c r="Y151" s="345">
        <f>IF($A151="","",IF(OR('Feb 2027'!AB30=TRUE,'Feb 2027'!AB30="x",'Feb 2027'!AB30="X"),1,0))</f>
        <v/>
      </c>
      <c r="Z151" s="345">
        <f>IF($A151="","",IF(OR('Feb 2027'!AB31=TRUE,'Feb 2027'!AB31="x",'Feb 2027'!AB31="X"),1,0))</f>
        <v/>
      </c>
      <c r="AA151" s="345">
        <f>IF($A151="","",IF(OR('Feb 2027'!AB32=TRUE,'Feb 2027'!AB32="x",'Feb 2027'!AB32="X"),1,0))</f>
        <v/>
      </c>
      <c r="AB151" s="345">
        <f>IF($A151="","",IF(OR('Feb 2027'!AB34=TRUE,'Feb 2027'!AB34="x",'Feb 2027'!AB34="X"),1,0))</f>
        <v/>
      </c>
      <c r="AC151" s="345">
        <f>IF($A151="","",IF(OR('Feb 2027'!AB35=TRUE,'Feb 2027'!AB35="x",'Feb 2027'!AB35="X"),1,0))</f>
        <v/>
      </c>
      <c r="AD151" s="345">
        <f>IF($A151="","",IF(OR('Feb 2027'!AB36=TRUE,'Feb 2027'!AB36="x",'Feb 2027'!AB36="X"),1,0))</f>
        <v/>
      </c>
      <c r="AE151" s="345">
        <f>IF($A151="","",IF(OR('Feb 2027'!AB37=TRUE,'Feb 2027'!AB37="x",'Feb 2027'!AB37="X"),1,0))</f>
        <v/>
      </c>
      <c r="AF151" s="345">
        <f>IF($A151="","",IF('Feb 2027'!AB59="","",'Feb 2027'!AB59))</f>
        <v/>
      </c>
      <c r="AG151" s="345">
        <f>IF($A151="","",IF('Feb 2027'!AB60="","",'Feb 2027'!AB60))</f>
        <v/>
      </c>
      <c r="AH151" s="345">
        <f>IF($A151="","",IF('Feb 2027'!AB61="","",'Feb 2027'!AB61))</f>
        <v/>
      </c>
      <c r="AI151" s="345">
        <f>IF($A151="","",IF('Feb 2027'!AB62="","",'Feb 2027'!AB62))</f>
        <v/>
      </c>
      <c r="AJ151" s="345">
        <f>IF($A151="","",IF('Feb 2027'!AB63="","",'Feb 2027'!AB63))</f>
        <v/>
      </c>
      <c r="AK151" s="345">
        <f>IF($A151="","",IF('Feb 2027'!AB64="","",'Feb 2027'!AB64))</f>
        <v/>
      </c>
      <c r="AL151" s="345">
        <f>IF($A151="","",IF('Feb 2027'!AB65="","",'Feb 2027'!AB65))</f>
        <v/>
      </c>
      <c r="AM151" s="345">
        <f>IF($A151="","",IF('Feb 2027'!AB66="","",'Feb 2027'!AB66))</f>
        <v/>
      </c>
      <c r="AN151" s="345">
        <f>IF($A151="","",IF('Feb 2027'!AB67="","",'Feb 2027'!AB67))</f>
        <v/>
      </c>
      <c r="AO151" s="345">
        <f>IF($A151="",0,IF(AND($A151&gt;=TrackStart,$A151&lt;=TODAY()),1,0))</f>
        <v/>
      </c>
      <c r="AP151" s="345">
        <f>IF($A151="",0,IF(SUM(F151:AE151)+COUNT(AF151:AN151)&gt;0,1,0))</f>
        <v/>
      </c>
      <c r="AQ151" s="345">
        <f>IF($A151="","",INT(($A151-TrackStart)/7)+1)</f>
        <v/>
      </c>
      <c r="AR151" s="345">
        <f>IF($A151="","",IF(AQ151&lt;=1,Steps1,IF(AQ151=2,Steps2,Steps3)))</f>
        <v/>
      </c>
      <c r="AS151" s="345">
        <f>IF($A151="",0,IF(ISNUMBER(SEARCH(TEXT(D151,"0"),WorkDays&amp;"")),1,0))</f>
        <v/>
      </c>
      <c r="AT151" s="345">
        <f>IF($A151="",0,IF(ISNUMBER(SEARCH(TEXT(D151,"0"),StrDays&amp;"")),1,0))</f>
        <v/>
      </c>
      <c r="AU151" s="345">
        <f>IF($A151="",0,IF(ISNUMBER(AK151),IF(AK151&gt;=SleepMin,1,0),N151))</f>
        <v/>
      </c>
      <c r="AV151" s="345">
        <f>IF($A151="",0,MAX(I151,O151,S151,AC151))</f>
        <v/>
      </c>
      <c r="AW151" s="345">
        <f>IF($A151="",0,IF(ISNUMBER(AH151),IF(AH151&gt;=ProtHit,1,0),0))</f>
        <v/>
      </c>
      <c r="AX151" s="345">
        <f>IF($A151="",0,IF(ISNUMBER(AI151),IF(AI151&gt;=WaterHit,1,0),0))</f>
        <v/>
      </c>
      <c r="AY151" s="345">
        <f>IF($A151="",0,IF(ISNUMBER(AG151),IF(AG151&gt;=AR151,1,0),0))</f>
        <v/>
      </c>
      <c r="AZ151" s="345">
        <f>IF($A151="",0,G151)</f>
        <v/>
      </c>
      <c r="BA151" s="345">
        <f>IF($A151="",0,J151)</f>
        <v/>
      </c>
      <c r="BB151" s="345">
        <f>IF($A151="",0,K151)</f>
        <v/>
      </c>
      <c r="BC151" s="345">
        <f>IF($A151="",0,MAX(L151,AE151))</f>
        <v/>
      </c>
      <c r="BD151" s="344">
        <f>IF($A151="","",(AU151+AV151+AW151+AX151+AY151+AZ151+BB151+BC151+IF(AS151=1,BA151,0))/(8+AS151))</f>
        <v/>
      </c>
      <c r="BE151" s="344">
        <f>IF($A151="","",(IF(ISNUMBER(AI151),IF(AI151&gt;=WaterMVD,1,0),0)+AV151+IF(ISNUMBER(AH151),IF(AH151&gt;=ProtMVD,1,0),0)+MAX(H151,AD151)+AZ151+BB151+AU151)/7)</f>
        <v/>
      </c>
      <c r="BF151" s="344">
        <f>IF(AO151=0,"",IF(E151="S","",IF(AND(AP151=0,$A151=TODAY()),"",IF(E151="M",BE151,BD151))))</f>
        <v/>
      </c>
      <c r="BG151" s="344">
        <f>IF(AO151=0,"",IFERROR(AVERAGEIFS(Data!$BF$4:$BF$375,Data!$A$4:$A$375,"&gt;"&amp;($A151-7),Data!$A$4:$A$375,"&lt;="&amp;$A151),""))</f>
        <v/>
      </c>
      <c r="BH151" s="344">
        <f>IF(AO151=0,"",IFERROR(AVERAGEIFS(Data!$BF$4:$BF$375,Data!$A$4:$A$375,"&gt;"&amp;($A151-30),Data!$A$4:$A$375,"&lt;="&amp;$A151),""))</f>
        <v/>
      </c>
      <c r="BI151" s="359">
        <f>IF($A151="","",IFERROR(AVERAGEIFS(Data!$AF$4:$AF$375,Data!$A$4:$A$375,"&gt;"&amp;($A151-7),Data!$A$4:$A$375,"&lt;="&amp;$A151,Data!$AF$4:$AF$375,"&gt;0"),""))</f>
        <v/>
      </c>
      <c r="BJ151" s="345">
        <f>IF($A151="","",F151+G151+H151+I151+J151+K151+L151+M151+N151-IF(AS151=1,0,J151))</f>
        <v/>
      </c>
      <c r="BK151" s="345">
        <f>IF($A151="","",8+AS151)</f>
        <v/>
      </c>
      <c r="BL151" s="345">
        <f>IF(ISNUMBER(BF151),BF151,NA())</f>
        <v/>
      </c>
      <c r="BM151" s="345">
        <f>IF(ISNUMBER(AF151),AF151,NA())</f>
        <v/>
      </c>
      <c r="BN151" s="345">
        <f>IF(ISNUMBER(BI151),BI151,NA())</f>
        <v/>
      </c>
      <c r="BO151" s="345">
        <f>IF(ISNUMBER(AL151),AL151,NA())</f>
        <v/>
      </c>
      <c r="BP151" s="345">
        <f>IF(ISNUMBER(AM151),AM151,NA())</f>
        <v/>
      </c>
      <c r="BQ151" s="345">
        <f>IF(ISNUMBER(AN151),AN151,NA())</f>
        <v/>
      </c>
    </row>
    <row r="152">
      <c r="A152" s="358">
        <f>IF('Feb 2027'!AC7="","",'Feb 2027'!AC7)</f>
        <v/>
      </c>
      <c r="B152" s="345" t="n">
        <v>5</v>
      </c>
      <c r="C152" s="345">
        <f>IF($A152="","",25)</f>
        <v/>
      </c>
      <c r="D152" s="345">
        <f>IF($A152="","",WEEKDAY($A152,2))</f>
        <v/>
      </c>
      <c r="E152" s="345">
        <f>IF($A152="","",UPPER(TRIM('Feb 2027'!AC8)))</f>
        <v/>
      </c>
      <c r="F152" s="345">
        <f>IF($A152="","",IF(OR('Feb 2027'!AC10=TRUE,'Feb 2027'!AC10="x",'Feb 2027'!AC10="X"),1,0))</f>
        <v/>
      </c>
      <c r="G152" s="345">
        <f>IF($A152="","",IF(OR('Feb 2027'!AC11=TRUE,'Feb 2027'!AC11="x",'Feb 2027'!AC11="X"),1,0))</f>
        <v/>
      </c>
      <c r="H152" s="345">
        <f>IF($A152="","",IF(OR('Feb 2027'!AC12=TRUE,'Feb 2027'!AC12="x",'Feb 2027'!AC12="X"),1,0))</f>
        <v/>
      </c>
      <c r="I152" s="345">
        <f>IF($A152="","",IF(OR('Feb 2027'!AC13=TRUE,'Feb 2027'!AC13="x",'Feb 2027'!AC13="X"),1,0))</f>
        <v/>
      </c>
      <c r="J152" s="345">
        <f>IF($A152="","",IF(OR('Feb 2027'!AC14=TRUE,'Feb 2027'!AC14="x",'Feb 2027'!AC14="X"),1,0))</f>
        <v/>
      </c>
      <c r="K152" s="345">
        <f>IF($A152="","",IF(OR('Feb 2027'!AC15=TRUE,'Feb 2027'!AC15="x",'Feb 2027'!AC15="X"),1,0))</f>
        <v/>
      </c>
      <c r="L152" s="345">
        <f>IF($A152="","",IF(OR('Feb 2027'!AC16=TRUE,'Feb 2027'!AC16="x",'Feb 2027'!AC16="X"),1,0))</f>
        <v/>
      </c>
      <c r="M152" s="345">
        <f>IF($A152="","",IF(OR('Feb 2027'!AC17=TRUE,'Feb 2027'!AC17="x",'Feb 2027'!AC17="X"),1,0))</f>
        <v/>
      </c>
      <c r="N152" s="345">
        <f>IF($A152="","",IF(OR('Feb 2027'!AC18=TRUE,'Feb 2027'!AC18="x",'Feb 2027'!AC18="X"),1,0))</f>
        <v/>
      </c>
      <c r="O152" s="345">
        <f>IF($A152="","",IF(OR('Feb 2027'!AC20=TRUE,'Feb 2027'!AC20="x",'Feb 2027'!AC20="X"),1,0))</f>
        <v/>
      </c>
      <c r="P152" s="345">
        <f>IF($A152="","",IF(OR('Feb 2027'!AC21=TRUE,'Feb 2027'!AC21="x",'Feb 2027'!AC21="X"),1,0))</f>
        <v/>
      </c>
      <c r="Q152" s="345">
        <f>IF($A152="","",IF(OR('Feb 2027'!AC22=TRUE,'Feb 2027'!AC22="x",'Feb 2027'!AC22="X"),1,0))</f>
        <v/>
      </c>
      <c r="R152" s="345">
        <f>IF($A152="","",IF(OR('Feb 2027'!AC23=TRUE,'Feb 2027'!AC23="x",'Feb 2027'!AC23="X"),1,0))</f>
        <v/>
      </c>
      <c r="S152" s="345">
        <f>IF($A152="","",IF(OR('Feb 2027'!AC24=TRUE,'Feb 2027'!AC24="x",'Feb 2027'!AC24="X"),1,0))</f>
        <v/>
      </c>
      <c r="T152" s="345">
        <f>IF($A152="","",IF(OR('Feb 2027'!AC25=TRUE,'Feb 2027'!AC25="x",'Feb 2027'!AC25="X"),1,0))</f>
        <v/>
      </c>
      <c r="U152" s="345">
        <f>IF($A152="","",IF(OR('Feb 2027'!AC26=TRUE,'Feb 2027'!AC26="x",'Feb 2027'!AC26="X"),1,0))</f>
        <v/>
      </c>
      <c r="V152" s="345">
        <f>IF($A152="","",IF(OR('Feb 2027'!AC27=TRUE,'Feb 2027'!AC27="x",'Feb 2027'!AC27="X"),1,0))</f>
        <v/>
      </c>
      <c r="W152" s="345">
        <f>IF($A152="","",IF(OR('Feb 2027'!AC28=TRUE,'Feb 2027'!AC28="x",'Feb 2027'!AC28="X"),1,0))</f>
        <v/>
      </c>
      <c r="X152" s="345">
        <f>IF($A152="","",IF(OR('Feb 2027'!AC29=TRUE,'Feb 2027'!AC29="x",'Feb 2027'!AC29="X"),1,0))</f>
        <v/>
      </c>
      <c r="Y152" s="345">
        <f>IF($A152="","",IF(OR('Feb 2027'!AC30=TRUE,'Feb 2027'!AC30="x",'Feb 2027'!AC30="X"),1,0))</f>
        <v/>
      </c>
      <c r="Z152" s="345">
        <f>IF($A152="","",IF(OR('Feb 2027'!AC31=TRUE,'Feb 2027'!AC31="x",'Feb 2027'!AC31="X"),1,0))</f>
        <v/>
      </c>
      <c r="AA152" s="345">
        <f>IF($A152="","",IF(OR('Feb 2027'!AC32=TRUE,'Feb 2027'!AC32="x",'Feb 2027'!AC32="X"),1,0))</f>
        <v/>
      </c>
      <c r="AB152" s="345">
        <f>IF($A152="","",IF(OR('Feb 2027'!AC34=TRUE,'Feb 2027'!AC34="x",'Feb 2027'!AC34="X"),1,0))</f>
        <v/>
      </c>
      <c r="AC152" s="345">
        <f>IF($A152="","",IF(OR('Feb 2027'!AC35=TRUE,'Feb 2027'!AC35="x",'Feb 2027'!AC35="X"),1,0))</f>
        <v/>
      </c>
      <c r="AD152" s="345">
        <f>IF($A152="","",IF(OR('Feb 2027'!AC36=TRUE,'Feb 2027'!AC36="x",'Feb 2027'!AC36="X"),1,0))</f>
        <v/>
      </c>
      <c r="AE152" s="345">
        <f>IF($A152="","",IF(OR('Feb 2027'!AC37=TRUE,'Feb 2027'!AC37="x",'Feb 2027'!AC37="X"),1,0))</f>
        <v/>
      </c>
      <c r="AF152" s="345">
        <f>IF($A152="","",IF('Feb 2027'!AC59="","",'Feb 2027'!AC59))</f>
        <v/>
      </c>
      <c r="AG152" s="345">
        <f>IF($A152="","",IF('Feb 2027'!AC60="","",'Feb 2027'!AC60))</f>
        <v/>
      </c>
      <c r="AH152" s="345">
        <f>IF($A152="","",IF('Feb 2027'!AC61="","",'Feb 2027'!AC61))</f>
        <v/>
      </c>
      <c r="AI152" s="345">
        <f>IF($A152="","",IF('Feb 2027'!AC62="","",'Feb 2027'!AC62))</f>
        <v/>
      </c>
      <c r="AJ152" s="345">
        <f>IF($A152="","",IF('Feb 2027'!AC63="","",'Feb 2027'!AC63))</f>
        <v/>
      </c>
      <c r="AK152" s="345">
        <f>IF($A152="","",IF('Feb 2027'!AC64="","",'Feb 2027'!AC64))</f>
        <v/>
      </c>
      <c r="AL152" s="345">
        <f>IF($A152="","",IF('Feb 2027'!AC65="","",'Feb 2027'!AC65))</f>
        <v/>
      </c>
      <c r="AM152" s="345">
        <f>IF($A152="","",IF('Feb 2027'!AC66="","",'Feb 2027'!AC66))</f>
        <v/>
      </c>
      <c r="AN152" s="345">
        <f>IF($A152="","",IF('Feb 2027'!AC67="","",'Feb 2027'!AC67))</f>
        <v/>
      </c>
      <c r="AO152" s="345">
        <f>IF($A152="",0,IF(AND($A152&gt;=TrackStart,$A152&lt;=TODAY()),1,0))</f>
        <v/>
      </c>
      <c r="AP152" s="345">
        <f>IF($A152="",0,IF(SUM(F152:AE152)+COUNT(AF152:AN152)&gt;0,1,0))</f>
        <v/>
      </c>
      <c r="AQ152" s="345">
        <f>IF($A152="","",INT(($A152-TrackStart)/7)+1)</f>
        <v/>
      </c>
      <c r="AR152" s="345">
        <f>IF($A152="","",IF(AQ152&lt;=1,Steps1,IF(AQ152=2,Steps2,Steps3)))</f>
        <v/>
      </c>
      <c r="AS152" s="345">
        <f>IF($A152="",0,IF(ISNUMBER(SEARCH(TEXT(D152,"0"),WorkDays&amp;"")),1,0))</f>
        <v/>
      </c>
      <c r="AT152" s="345">
        <f>IF($A152="",0,IF(ISNUMBER(SEARCH(TEXT(D152,"0"),StrDays&amp;"")),1,0))</f>
        <v/>
      </c>
      <c r="AU152" s="345">
        <f>IF($A152="",0,IF(ISNUMBER(AK152),IF(AK152&gt;=SleepMin,1,0),N152))</f>
        <v/>
      </c>
      <c r="AV152" s="345">
        <f>IF($A152="",0,MAX(I152,O152,S152,AC152))</f>
        <v/>
      </c>
      <c r="AW152" s="345">
        <f>IF($A152="",0,IF(ISNUMBER(AH152),IF(AH152&gt;=ProtHit,1,0),0))</f>
        <v/>
      </c>
      <c r="AX152" s="345">
        <f>IF($A152="",0,IF(ISNUMBER(AI152),IF(AI152&gt;=WaterHit,1,0),0))</f>
        <v/>
      </c>
      <c r="AY152" s="345">
        <f>IF($A152="",0,IF(ISNUMBER(AG152),IF(AG152&gt;=AR152,1,0),0))</f>
        <v/>
      </c>
      <c r="AZ152" s="345">
        <f>IF($A152="",0,G152)</f>
        <v/>
      </c>
      <c r="BA152" s="345">
        <f>IF($A152="",0,J152)</f>
        <v/>
      </c>
      <c r="BB152" s="345">
        <f>IF($A152="",0,K152)</f>
        <v/>
      </c>
      <c r="BC152" s="345">
        <f>IF($A152="",0,MAX(L152,AE152))</f>
        <v/>
      </c>
      <c r="BD152" s="344">
        <f>IF($A152="","",(AU152+AV152+AW152+AX152+AY152+AZ152+BB152+BC152+IF(AS152=1,BA152,0))/(8+AS152))</f>
        <v/>
      </c>
      <c r="BE152" s="344">
        <f>IF($A152="","",(IF(ISNUMBER(AI152),IF(AI152&gt;=WaterMVD,1,0),0)+AV152+IF(ISNUMBER(AH152),IF(AH152&gt;=ProtMVD,1,0),0)+MAX(H152,AD152)+AZ152+BB152+AU152)/7)</f>
        <v/>
      </c>
      <c r="BF152" s="344">
        <f>IF(AO152=0,"",IF(E152="S","",IF(AND(AP152=0,$A152=TODAY()),"",IF(E152="M",BE152,BD152))))</f>
        <v/>
      </c>
      <c r="BG152" s="344">
        <f>IF(AO152=0,"",IFERROR(AVERAGEIFS(Data!$BF$4:$BF$375,Data!$A$4:$A$375,"&gt;"&amp;($A152-7),Data!$A$4:$A$375,"&lt;="&amp;$A152),""))</f>
        <v/>
      </c>
      <c r="BH152" s="344">
        <f>IF(AO152=0,"",IFERROR(AVERAGEIFS(Data!$BF$4:$BF$375,Data!$A$4:$A$375,"&gt;"&amp;($A152-30),Data!$A$4:$A$375,"&lt;="&amp;$A152),""))</f>
        <v/>
      </c>
      <c r="BI152" s="359">
        <f>IF($A152="","",IFERROR(AVERAGEIFS(Data!$AF$4:$AF$375,Data!$A$4:$A$375,"&gt;"&amp;($A152-7),Data!$A$4:$A$375,"&lt;="&amp;$A152,Data!$AF$4:$AF$375,"&gt;0"),""))</f>
        <v/>
      </c>
      <c r="BJ152" s="345">
        <f>IF($A152="","",F152+G152+H152+I152+J152+K152+L152+M152+N152-IF(AS152=1,0,J152))</f>
        <v/>
      </c>
      <c r="BK152" s="345">
        <f>IF($A152="","",8+AS152)</f>
        <v/>
      </c>
      <c r="BL152" s="345">
        <f>IF(ISNUMBER(BF152),BF152,NA())</f>
        <v/>
      </c>
      <c r="BM152" s="345">
        <f>IF(ISNUMBER(AF152),AF152,NA())</f>
        <v/>
      </c>
      <c r="BN152" s="345">
        <f>IF(ISNUMBER(BI152),BI152,NA())</f>
        <v/>
      </c>
      <c r="BO152" s="345">
        <f>IF(ISNUMBER(AL152),AL152,NA())</f>
        <v/>
      </c>
      <c r="BP152" s="345">
        <f>IF(ISNUMBER(AM152),AM152,NA())</f>
        <v/>
      </c>
      <c r="BQ152" s="345">
        <f>IF(ISNUMBER(AN152),AN152,NA())</f>
        <v/>
      </c>
    </row>
    <row r="153">
      <c r="A153" s="358">
        <f>IF('Feb 2027'!AD7="","",'Feb 2027'!AD7)</f>
        <v/>
      </c>
      <c r="B153" s="345" t="n">
        <v>5</v>
      </c>
      <c r="C153" s="345">
        <f>IF($A153="","",26)</f>
        <v/>
      </c>
      <c r="D153" s="345">
        <f>IF($A153="","",WEEKDAY($A153,2))</f>
        <v/>
      </c>
      <c r="E153" s="345">
        <f>IF($A153="","",UPPER(TRIM('Feb 2027'!AD8)))</f>
        <v/>
      </c>
      <c r="F153" s="345">
        <f>IF($A153="","",IF(OR('Feb 2027'!AD10=TRUE,'Feb 2027'!AD10="x",'Feb 2027'!AD10="X"),1,0))</f>
        <v/>
      </c>
      <c r="G153" s="345">
        <f>IF($A153="","",IF(OR('Feb 2027'!AD11=TRUE,'Feb 2027'!AD11="x",'Feb 2027'!AD11="X"),1,0))</f>
        <v/>
      </c>
      <c r="H153" s="345">
        <f>IF($A153="","",IF(OR('Feb 2027'!AD12=TRUE,'Feb 2027'!AD12="x",'Feb 2027'!AD12="X"),1,0))</f>
        <v/>
      </c>
      <c r="I153" s="345">
        <f>IF($A153="","",IF(OR('Feb 2027'!AD13=TRUE,'Feb 2027'!AD13="x",'Feb 2027'!AD13="X"),1,0))</f>
        <v/>
      </c>
      <c r="J153" s="345">
        <f>IF($A153="","",IF(OR('Feb 2027'!AD14=TRUE,'Feb 2027'!AD14="x",'Feb 2027'!AD14="X"),1,0))</f>
        <v/>
      </c>
      <c r="K153" s="345">
        <f>IF($A153="","",IF(OR('Feb 2027'!AD15=TRUE,'Feb 2027'!AD15="x",'Feb 2027'!AD15="X"),1,0))</f>
        <v/>
      </c>
      <c r="L153" s="345">
        <f>IF($A153="","",IF(OR('Feb 2027'!AD16=TRUE,'Feb 2027'!AD16="x",'Feb 2027'!AD16="X"),1,0))</f>
        <v/>
      </c>
      <c r="M153" s="345">
        <f>IF($A153="","",IF(OR('Feb 2027'!AD17=TRUE,'Feb 2027'!AD17="x",'Feb 2027'!AD17="X"),1,0))</f>
        <v/>
      </c>
      <c r="N153" s="345">
        <f>IF($A153="","",IF(OR('Feb 2027'!AD18=TRUE,'Feb 2027'!AD18="x",'Feb 2027'!AD18="X"),1,0))</f>
        <v/>
      </c>
      <c r="O153" s="345">
        <f>IF($A153="","",IF(OR('Feb 2027'!AD20=TRUE,'Feb 2027'!AD20="x",'Feb 2027'!AD20="X"),1,0))</f>
        <v/>
      </c>
      <c r="P153" s="345">
        <f>IF($A153="","",IF(OR('Feb 2027'!AD21=TRUE,'Feb 2027'!AD21="x",'Feb 2027'!AD21="X"),1,0))</f>
        <v/>
      </c>
      <c r="Q153" s="345">
        <f>IF($A153="","",IF(OR('Feb 2027'!AD22=TRUE,'Feb 2027'!AD22="x",'Feb 2027'!AD22="X"),1,0))</f>
        <v/>
      </c>
      <c r="R153" s="345">
        <f>IF($A153="","",IF(OR('Feb 2027'!AD23=TRUE,'Feb 2027'!AD23="x",'Feb 2027'!AD23="X"),1,0))</f>
        <v/>
      </c>
      <c r="S153" s="345">
        <f>IF($A153="","",IF(OR('Feb 2027'!AD24=TRUE,'Feb 2027'!AD24="x",'Feb 2027'!AD24="X"),1,0))</f>
        <v/>
      </c>
      <c r="T153" s="345">
        <f>IF($A153="","",IF(OR('Feb 2027'!AD25=TRUE,'Feb 2027'!AD25="x",'Feb 2027'!AD25="X"),1,0))</f>
        <v/>
      </c>
      <c r="U153" s="345">
        <f>IF($A153="","",IF(OR('Feb 2027'!AD26=TRUE,'Feb 2027'!AD26="x",'Feb 2027'!AD26="X"),1,0))</f>
        <v/>
      </c>
      <c r="V153" s="345">
        <f>IF($A153="","",IF(OR('Feb 2027'!AD27=TRUE,'Feb 2027'!AD27="x",'Feb 2027'!AD27="X"),1,0))</f>
        <v/>
      </c>
      <c r="W153" s="345">
        <f>IF($A153="","",IF(OR('Feb 2027'!AD28=TRUE,'Feb 2027'!AD28="x",'Feb 2027'!AD28="X"),1,0))</f>
        <v/>
      </c>
      <c r="X153" s="345">
        <f>IF($A153="","",IF(OR('Feb 2027'!AD29=TRUE,'Feb 2027'!AD29="x",'Feb 2027'!AD29="X"),1,0))</f>
        <v/>
      </c>
      <c r="Y153" s="345">
        <f>IF($A153="","",IF(OR('Feb 2027'!AD30=TRUE,'Feb 2027'!AD30="x",'Feb 2027'!AD30="X"),1,0))</f>
        <v/>
      </c>
      <c r="Z153" s="345">
        <f>IF($A153="","",IF(OR('Feb 2027'!AD31=TRUE,'Feb 2027'!AD31="x",'Feb 2027'!AD31="X"),1,0))</f>
        <v/>
      </c>
      <c r="AA153" s="345">
        <f>IF($A153="","",IF(OR('Feb 2027'!AD32=TRUE,'Feb 2027'!AD32="x",'Feb 2027'!AD32="X"),1,0))</f>
        <v/>
      </c>
      <c r="AB153" s="345">
        <f>IF($A153="","",IF(OR('Feb 2027'!AD34=TRUE,'Feb 2027'!AD34="x",'Feb 2027'!AD34="X"),1,0))</f>
        <v/>
      </c>
      <c r="AC153" s="345">
        <f>IF($A153="","",IF(OR('Feb 2027'!AD35=TRUE,'Feb 2027'!AD35="x",'Feb 2027'!AD35="X"),1,0))</f>
        <v/>
      </c>
      <c r="AD153" s="345">
        <f>IF($A153="","",IF(OR('Feb 2027'!AD36=TRUE,'Feb 2027'!AD36="x",'Feb 2027'!AD36="X"),1,0))</f>
        <v/>
      </c>
      <c r="AE153" s="345">
        <f>IF($A153="","",IF(OR('Feb 2027'!AD37=TRUE,'Feb 2027'!AD37="x",'Feb 2027'!AD37="X"),1,0))</f>
        <v/>
      </c>
      <c r="AF153" s="345">
        <f>IF($A153="","",IF('Feb 2027'!AD59="","",'Feb 2027'!AD59))</f>
        <v/>
      </c>
      <c r="AG153" s="345">
        <f>IF($A153="","",IF('Feb 2027'!AD60="","",'Feb 2027'!AD60))</f>
        <v/>
      </c>
      <c r="AH153" s="345">
        <f>IF($A153="","",IF('Feb 2027'!AD61="","",'Feb 2027'!AD61))</f>
        <v/>
      </c>
      <c r="AI153" s="345">
        <f>IF($A153="","",IF('Feb 2027'!AD62="","",'Feb 2027'!AD62))</f>
        <v/>
      </c>
      <c r="AJ153" s="345">
        <f>IF($A153="","",IF('Feb 2027'!AD63="","",'Feb 2027'!AD63))</f>
        <v/>
      </c>
      <c r="AK153" s="345">
        <f>IF($A153="","",IF('Feb 2027'!AD64="","",'Feb 2027'!AD64))</f>
        <v/>
      </c>
      <c r="AL153" s="345">
        <f>IF($A153="","",IF('Feb 2027'!AD65="","",'Feb 2027'!AD65))</f>
        <v/>
      </c>
      <c r="AM153" s="345">
        <f>IF($A153="","",IF('Feb 2027'!AD66="","",'Feb 2027'!AD66))</f>
        <v/>
      </c>
      <c r="AN153" s="345">
        <f>IF($A153="","",IF('Feb 2027'!AD67="","",'Feb 2027'!AD67))</f>
        <v/>
      </c>
      <c r="AO153" s="345">
        <f>IF($A153="",0,IF(AND($A153&gt;=TrackStart,$A153&lt;=TODAY()),1,0))</f>
        <v/>
      </c>
      <c r="AP153" s="345">
        <f>IF($A153="",0,IF(SUM(F153:AE153)+COUNT(AF153:AN153)&gt;0,1,0))</f>
        <v/>
      </c>
      <c r="AQ153" s="345">
        <f>IF($A153="","",INT(($A153-TrackStart)/7)+1)</f>
        <v/>
      </c>
      <c r="AR153" s="345">
        <f>IF($A153="","",IF(AQ153&lt;=1,Steps1,IF(AQ153=2,Steps2,Steps3)))</f>
        <v/>
      </c>
      <c r="AS153" s="345">
        <f>IF($A153="",0,IF(ISNUMBER(SEARCH(TEXT(D153,"0"),WorkDays&amp;"")),1,0))</f>
        <v/>
      </c>
      <c r="AT153" s="345">
        <f>IF($A153="",0,IF(ISNUMBER(SEARCH(TEXT(D153,"0"),StrDays&amp;"")),1,0))</f>
        <v/>
      </c>
      <c r="AU153" s="345">
        <f>IF($A153="",0,IF(ISNUMBER(AK153),IF(AK153&gt;=SleepMin,1,0),N153))</f>
        <v/>
      </c>
      <c r="AV153" s="345">
        <f>IF($A153="",0,MAX(I153,O153,S153,AC153))</f>
        <v/>
      </c>
      <c r="AW153" s="345">
        <f>IF($A153="",0,IF(ISNUMBER(AH153),IF(AH153&gt;=ProtHit,1,0),0))</f>
        <v/>
      </c>
      <c r="AX153" s="345">
        <f>IF($A153="",0,IF(ISNUMBER(AI153),IF(AI153&gt;=WaterHit,1,0),0))</f>
        <v/>
      </c>
      <c r="AY153" s="345">
        <f>IF($A153="",0,IF(ISNUMBER(AG153),IF(AG153&gt;=AR153,1,0),0))</f>
        <v/>
      </c>
      <c r="AZ153" s="345">
        <f>IF($A153="",0,G153)</f>
        <v/>
      </c>
      <c r="BA153" s="345">
        <f>IF($A153="",0,J153)</f>
        <v/>
      </c>
      <c r="BB153" s="345">
        <f>IF($A153="",0,K153)</f>
        <v/>
      </c>
      <c r="BC153" s="345">
        <f>IF($A153="",0,MAX(L153,AE153))</f>
        <v/>
      </c>
      <c r="BD153" s="344">
        <f>IF($A153="","",(AU153+AV153+AW153+AX153+AY153+AZ153+BB153+BC153+IF(AS153=1,BA153,0))/(8+AS153))</f>
        <v/>
      </c>
      <c r="BE153" s="344">
        <f>IF($A153="","",(IF(ISNUMBER(AI153),IF(AI153&gt;=WaterMVD,1,0),0)+AV153+IF(ISNUMBER(AH153),IF(AH153&gt;=ProtMVD,1,0),0)+MAX(H153,AD153)+AZ153+BB153+AU153)/7)</f>
        <v/>
      </c>
      <c r="BF153" s="344">
        <f>IF(AO153=0,"",IF(E153="S","",IF(AND(AP153=0,$A153=TODAY()),"",IF(E153="M",BE153,BD153))))</f>
        <v/>
      </c>
      <c r="BG153" s="344">
        <f>IF(AO153=0,"",IFERROR(AVERAGEIFS(Data!$BF$4:$BF$375,Data!$A$4:$A$375,"&gt;"&amp;($A153-7),Data!$A$4:$A$375,"&lt;="&amp;$A153),""))</f>
        <v/>
      </c>
      <c r="BH153" s="344">
        <f>IF(AO153=0,"",IFERROR(AVERAGEIFS(Data!$BF$4:$BF$375,Data!$A$4:$A$375,"&gt;"&amp;($A153-30),Data!$A$4:$A$375,"&lt;="&amp;$A153),""))</f>
        <v/>
      </c>
      <c r="BI153" s="359">
        <f>IF($A153="","",IFERROR(AVERAGEIFS(Data!$AF$4:$AF$375,Data!$A$4:$A$375,"&gt;"&amp;($A153-7),Data!$A$4:$A$375,"&lt;="&amp;$A153,Data!$AF$4:$AF$375,"&gt;0"),""))</f>
        <v/>
      </c>
      <c r="BJ153" s="345">
        <f>IF($A153="","",F153+G153+H153+I153+J153+K153+L153+M153+N153-IF(AS153=1,0,J153))</f>
        <v/>
      </c>
      <c r="BK153" s="345">
        <f>IF($A153="","",8+AS153)</f>
        <v/>
      </c>
      <c r="BL153" s="345">
        <f>IF(ISNUMBER(BF153),BF153,NA())</f>
        <v/>
      </c>
      <c r="BM153" s="345">
        <f>IF(ISNUMBER(AF153),AF153,NA())</f>
        <v/>
      </c>
      <c r="BN153" s="345">
        <f>IF(ISNUMBER(BI153),BI153,NA())</f>
        <v/>
      </c>
      <c r="BO153" s="345">
        <f>IF(ISNUMBER(AL153),AL153,NA())</f>
        <v/>
      </c>
      <c r="BP153" s="345">
        <f>IF(ISNUMBER(AM153),AM153,NA())</f>
        <v/>
      </c>
      <c r="BQ153" s="345">
        <f>IF(ISNUMBER(AN153),AN153,NA())</f>
        <v/>
      </c>
    </row>
    <row r="154">
      <c r="A154" s="358">
        <f>IF('Feb 2027'!AE7="","",'Feb 2027'!AE7)</f>
        <v/>
      </c>
      <c r="B154" s="345" t="n">
        <v>5</v>
      </c>
      <c r="C154" s="345">
        <f>IF($A154="","",27)</f>
        <v/>
      </c>
      <c r="D154" s="345">
        <f>IF($A154="","",WEEKDAY($A154,2))</f>
        <v/>
      </c>
      <c r="E154" s="345">
        <f>IF($A154="","",UPPER(TRIM('Feb 2027'!AE8)))</f>
        <v/>
      </c>
      <c r="F154" s="345">
        <f>IF($A154="","",IF(OR('Feb 2027'!AE10=TRUE,'Feb 2027'!AE10="x",'Feb 2027'!AE10="X"),1,0))</f>
        <v/>
      </c>
      <c r="G154" s="345">
        <f>IF($A154="","",IF(OR('Feb 2027'!AE11=TRUE,'Feb 2027'!AE11="x",'Feb 2027'!AE11="X"),1,0))</f>
        <v/>
      </c>
      <c r="H154" s="345">
        <f>IF($A154="","",IF(OR('Feb 2027'!AE12=TRUE,'Feb 2027'!AE12="x",'Feb 2027'!AE12="X"),1,0))</f>
        <v/>
      </c>
      <c r="I154" s="345">
        <f>IF($A154="","",IF(OR('Feb 2027'!AE13=TRUE,'Feb 2027'!AE13="x",'Feb 2027'!AE13="X"),1,0))</f>
        <v/>
      </c>
      <c r="J154" s="345">
        <f>IF($A154="","",IF(OR('Feb 2027'!AE14=TRUE,'Feb 2027'!AE14="x",'Feb 2027'!AE14="X"),1,0))</f>
        <v/>
      </c>
      <c r="K154" s="345">
        <f>IF($A154="","",IF(OR('Feb 2027'!AE15=TRUE,'Feb 2027'!AE15="x",'Feb 2027'!AE15="X"),1,0))</f>
        <v/>
      </c>
      <c r="L154" s="345">
        <f>IF($A154="","",IF(OR('Feb 2027'!AE16=TRUE,'Feb 2027'!AE16="x",'Feb 2027'!AE16="X"),1,0))</f>
        <v/>
      </c>
      <c r="M154" s="345">
        <f>IF($A154="","",IF(OR('Feb 2027'!AE17=TRUE,'Feb 2027'!AE17="x",'Feb 2027'!AE17="X"),1,0))</f>
        <v/>
      </c>
      <c r="N154" s="345">
        <f>IF($A154="","",IF(OR('Feb 2027'!AE18=TRUE,'Feb 2027'!AE18="x",'Feb 2027'!AE18="X"),1,0))</f>
        <v/>
      </c>
      <c r="O154" s="345">
        <f>IF($A154="","",IF(OR('Feb 2027'!AE20=TRUE,'Feb 2027'!AE20="x",'Feb 2027'!AE20="X"),1,0))</f>
        <v/>
      </c>
      <c r="P154" s="345">
        <f>IF($A154="","",IF(OR('Feb 2027'!AE21=TRUE,'Feb 2027'!AE21="x",'Feb 2027'!AE21="X"),1,0))</f>
        <v/>
      </c>
      <c r="Q154" s="345">
        <f>IF($A154="","",IF(OR('Feb 2027'!AE22=TRUE,'Feb 2027'!AE22="x",'Feb 2027'!AE22="X"),1,0))</f>
        <v/>
      </c>
      <c r="R154" s="345">
        <f>IF($A154="","",IF(OR('Feb 2027'!AE23=TRUE,'Feb 2027'!AE23="x",'Feb 2027'!AE23="X"),1,0))</f>
        <v/>
      </c>
      <c r="S154" s="345">
        <f>IF($A154="","",IF(OR('Feb 2027'!AE24=TRUE,'Feb 2027'!AE24="x",'Feb 2027'!AE24="X"),1,0))</f>
        <v/>
      </c>
      <c r="T154" s="345">
        <f>IF($A154="","",IF(OR('Feb 2027'!AE25=TRUE,'Feb 2027'!AE25="x",'Feb 2027'!AE25="X"),1,0))</f>
        <v/>
      </c>
      <c r="U154" s="345">
        <f>IF($A154="","",IF(OR('Feb 2027'!AE26=TRUE,'Feb 2027'!AE26="x",'Feb 2027'!AE26="X"),1,0))</f>
        <v/>
      </c>
      <c r="V154" s="345">
        <f>IF($A154="","",IF(OR('Feb 2027'!AE27=TRUE,'Feb 2027'!AE27="x",'Feb 2027'!AE27="X"),1,0))</f>
        <v/>
      </c>
      <c r="W154" s="345">
        <f>IF($A154="","",IF(OR('Feb 2027'!AE28=TRUE,'Feb 2027'!AE28="x",'Feb 2027'!AE28="X"),1,0))</f>
        <v/>
      </c>
      <c r="X154" s="345">
        <f>IF($A154="","",IF(OR('Feb 2027'!AE29=TRUE,'Feb 2027'!AE29="x",'Feb 2027'!AE29="X"),1,0))</f>
        <v/>
      </c>
      <c r="Y154" s="345">
        <f>IF($A154="","",IF(OR('Feb 2027'!AE30=TRUE,'Feb 2027'!AE30="x",'Feb 2027'!AE30="X"),1,0))</f>
        <v/>
      </c>
      <c r="Z154" s="345">
        <f>IF($A154="","",IF(OR('Feb 2027'!AE31=TRUE,'Feb 2027'!AE31="x",'Feb 2027'!AE31="X"),1,0))</f>
        <v/>
      </c>
      <c r="AA154" s="345">
        <f>IF($A154="","",IF(OR('Feb 2027'!AE32=TRUE,'Feb 2027'!AE32="x",'Feb 2027'!AE32="X"),1,0))</f>
        <v/>
      </c>
      <c r="AB154" s="345">
        <f>IF($A154="","",IF(OR('Feb 2027'!AE34=TRUE,'Feb 2027'!AE34="x",'Feb 2027'!AE34="X"),1,0))</f>
        <v/>
      </c>
      <c r="AC154" s="345">
        <f>IF($A154="","",IF(OR('Feb 2027'!AE35=TRUE,'Feb 2027'!AE35="x",'Feb 2027'!AE35="X"),1,0))</f>
        <v/>
      </c>
      <c r="AD154" s="345">
        <f>IF($A154="","",IF(OR('Feb 2027'!AE36=TRUE,'Feb 2027'!AE36="x",'Feb 2027'!AE36="X"),1,0))</f>
        <v/>
      </c>
      <c r="AE154" s="345">
        <f>IF($A154="","",IF(OR('Feb 2027'!AE37=TRUE,'Feb 2027'!AE37="x",'Feb 2027'!AE37="X"),1,0))</f>
        <v/>
      </c>
      <c r="AF154" s="345">
        <f>IF($A154="","",IF('Feb 2027'!AE59="","",'Feb 2027'!AE59))</f>
        <v/>
      </c>
      <c r="AG154" s="345">
        <f>IF($A154="","",IF('Feb 2027'!AE60="","",'Feb 2027'!AE60))</f>
        <v/>
      </c>
      <c r="AH154" s="345">
        <f>IF($A154="","",IF('Feb 2027'!AE61="","",'Feb 2027'!AE61))</f>
        <v/>
      </c>
      <c r="AI154" s="345">
        <f>IF($A154="","",IF('Feb 2027'!AE62="","",'Feb 2027'!AE62))</f>
        <v/>
      </c>
      <c r="AJ154" s="345">
        <f>IF($A154="","",IF('Feb 2027'!AE63="","",'Feb 2027'!AE63))</f>
        <v/>
      </c>
      <c r="AK154" s="345">
        <f>IF($A154="","",IF('Feb 2027'!AE64="","",'Feb 2027'!AE64))</f>
        <v/>
      </c>
      <c r="AL154" s="345">
        <f>IF($A154="","",IF('Feb 2027'!AE65="","",'Feb 2027'!AE65))</f>
        <v/>
      </c>
      <c r="AM154" s="345">
        <f>IF($A154="","",IF('Feb 2027'!AE66="","",'Feb 2027'!AE66))</f>
        <v/>
      </c>
      <c r="AN154" s="345">
        <f>IF($A154="","",IF('Feb 2027'!AE67="","",'Feb 2027'!AE67))</f>
        <v/>
      </c>
      <c r="AO154" s="345">
        <f>IF($A154="",0,IF(AND($A154&gt;=TrackStart,$A154&lt;=TODAY()),1,0))</f>
        <v/>
      </c>
      <c r="AP154" s="345">
        <f>IF($A154="",0,IF(SUM(F154:AE154)+COUNT(AF154:AN154)&gt;0,1,0))</f>
        <v/>
      </c>
      <c r="AQ154" s="345">
        <f>IF($A154="","",INT(($A154-TrackStart)/7)+1)</f>
        <v/>
      </c>
      <c r="AR154" s="345">
        <f>IF($A154="","",IF(AQ154&lt;=1,Steps1,IF(AQ154=2,Steps2,Steps3)))</f>
        <v/>
      </c>
      <c r="AS154" s="345">
        <f>IF($A154="",0,IF(ISNUMBER(SEARCH(TEXT(D154,"0"),WorkDays&amp;"")),1,0))</f>
        <v/>
      </c>
      <c r="AT154" s="345">
        <f>IF($A154="",0,IF(ISNUMBER(SEARCH(TEXT(D154,"0"),StrDays&amp;"")),1,0))</f>
        <v/>
      </c>
      <c r="AU154" s="345">
        <f>IF($A154="",0,IF(ISNUMBER(AK154),IF(AK154&gt;=SleepMin,1,0),N154))</f>
        <v/>
      </c>
      <c r="AV154" s="345">
        <f>IF($A154="",0,MAX(I154,O154,S154,AC154))</f>
        <v/>
      </c>
      <c r="AW154" s="345">
        <f>IF($A154="",0,IF(ISNUMBER(AH154),IF(AH154&gt;=ProtHit,1,0),0))</f>
        <v/>
      </c>
      <c r="AX154" s="345">
        <f>IF($A154="",0,IF(ISNUMBER(AI154),IF(AI154&gt;=WaterHit,1,0),0))</f>
        <v/>
      </c>
      <c r="AY154" s="345">
        <f>IF($A154="",0,IF(ISNUMBER(AG154),IF(AG154&gt;=AR154,1,0),0))</f>
        <v/>
      </c>
      <c r="AZ154" s="345">
        <f>IF($A154="",0,G154)</f>
        <v/>
      </c>
      <c r="BA154" s="345">
        <f>IF($A154="",0,J154)</f>
        <v/>
      </c>
      <c r="BB154" s="345">
        <f>IF($A154="",0,K154)</f>
        <v/>
      </c>
      <c r="BC154" s="345">
        <f>IF($A154="",0,MAX(L154,AE154))</f>
        <v/>
      </c>
      <c r="BD154" s="344">
        <f>IF($A154="","",(AU154+AV154+AW154+AX154+AY154+AZ154+BB154+BC154+IF(AS154=1,BA154,0))/(8+AS154))</f>
        <v/>
      </c>
      <c r="BE154" s="344">
        <f>IF($A154="","",(IF(ISNUMBER(AI154),IF(AI154&gt;=WaterMVD,1,0),0)+AV154+IF(ISNUMBER(AH154),IF(AH154&gt;=ProtMVD,1,0),0)+MAX(H154,AD154)+AZ154+BB154+AU154)/7)</f>
        <v/>
      </c>
      <c r="BF154" s="344">
        <f>IF(AO154=0,"",IF(E154="S","",IF(AND(AP154=0,$A154=TODAY()),"",IF(E154="M",BE154,BD154))))</f>
        <v/>
      </c>
      <c r="BG154" s="344">
        <f>IF(AO154=0,"",IFERROR(AVERAGEIFS(Data!$BF$4:$BF$375,Data!$A$4:$A$375,"&gt;"&amp;($A154-7),Data!$A$4:$A$375,"&lt;="&amp;$A154),""))</f>
        <v/>
      </c>
      <c r="BH154" s="344">
        <f>IF(AO154=0,"",IFERROR(AVERAGEIFS(Data!$BF$4:$BF$375,Data!$A$4:$A$375,"&gt;"&amp;($A154-30),Data!$A$4:$A$375,"&lt;="&amp;$A154),""))</f>
        <v/>
      </c>
      <c r="BI154" s="359">
        <f>IF($A154="","",IFERROR(AVERAGEIFS(Data!$AF$4:$AF$375,Data!$A$4:$A$375,"&gt;"&amp;($A154-7),Data!$A$4:$A$375,"&lt;="&amp;$A154,Data!$AF$4:$AF$375,"&gt;0"),""))</f>
        <v/>
      </c>
      <c r="BJ154" s="345">
        <f>IF($A154="","",F154+G154+H154+I154+J154+K154+L154+M154+N154-IF(AS154=1,0,J154))</f>
        <v/>
      </c>
      <c r="BK154" s="345">
        <f>IF($A154="","",8+AS154)</f>
        <v/>
      </c>
      <c r="BL154" s="345">
        <f>IF(ISNUMBER(BF154),BF154,NA())</f>
        <v/>
      </c>
      <c r="BM154" s="345">
        <f>IF(ISNUMBER(AF154),AF154,NA())</f>
        <v/>
      </c>
      <c r="BN154" s="345">
        <f>IF(ISNUMBER(BI154),BI154,NA())</f>
        <v/>
      </c>
      <c r="BO154" s="345">
        <f>IF(ISNUMBER(AL154),AL154,NA())</f>
        <v/>
      </c>
      <c r="BP154" s="345">
        <f>IF(ISNUMBER(AM154),AM154,NA())</f>
        <v/>
      </c>
      <c r="BQ154" s="345">
        <f>IF(ISNUMBER(AN154),AN154,NA())</f>
        <v/>
      </c>
    </row>
    <row r="155">
      <c r="A155" s="358">
        <f>IF('Feb 2027'!AF7="","",'Feb 2027'!AF7)</f>
        <v/>
      </c>
      <c r="B155" s="345" t="n">
        <v>5</v>
      </c>
      <c r="C155" s="345">
        <f>IF($A155="","",28)</f>
        <v/>
      </c>
      <c r="D155" s="345">
        <f>IF($A155="","",WEEKDAY($A155,2))</f>
        <v/>
      </c>
      <c r="E155" s="345">
        <f>IF($A155="","",UPPER(TRIM('Feb 2027'!AF8)))</f>
        <v/>
      </c>
      <c r="F155" s="345">
        <f>IF($A155="","",IF(OR('Feb 2027'!AF10=TRUE,'Feb 2027'!AF10="x",'Feb 2027'!AF10="X"),1,0))</f>
        <v/>
      </c>
      <c r="G155" s="345">
        <f>IF($A155="","",IF(OR('Feb 2027'!AF11=TRUE,'Feb 2027'!AF11="x",'Feb 2027'!AF11="X"),1,0))</f>
        <v/>
      </c>
      <c r="H155" s="345">
        <f>IF($A155="","",IF(OR('Feb 2027'!AF12=TRUE,'Feb 2027'!AF12="x",'Feb 2027'!AF12="X"),1,0))</f>
        <v/>
      </c>
      <c r="I155" s="345">
        <f>IF($A155="","",IF(OR('Feb 2027'!AF13=TRUE,'Feb 2027'!AF13="x",'Feb 2027'!AF13="X"),1,0))</f>
        <v/>
      </c>
      <c r="J155" s="345">
        <f>IF($A155="","",IF(OR('Feb 2027'!AF14=TRUE,'Feb 2027'!AF14="x",'Feb 2027'!AF14="X"),1,0))</f>
        <v/>
      </c>
      <c r="K155" s="345">
        <f>IF($A155="","",IF(OR('Feb 2027'!AF15=TRUE,'Feb 2027'!AF15="x",'Feb 2027'!AF15="X"),1,0))</f>
        <v/>
      </c>
      <c r="L155" s="345">
        <f>IF($A155="","",IF(OR('Feb 2027'!AF16=TRUE,'Feb 2027'!AF16="x",'Feb 2027'!AF16="X"),1,0))</f>
        <v/>
      </c>
      <c r="M155" s="345">
        <f>IF($A155="","",IF(OR('Feb 2027'!AF17=TRUE,'Feb 2027'!AF17="x",'Feb 2027'!AF17="X"),1,0))</f>
        <v/>
      </c>
      <c r="N155" s="345">
        <f>IF($A155="","",IF(OR('Feb 2027'!AF18=TRUE,'Feb 2027'!AF18="x",'Feb 2027'!AF18="X"),1,0))</f>
        <v/>
      </c>
      <c r="O155" s="345">
        <f>IF($A155="","",IF(OR('Feb 2027'!AF20=TRUE,'Feb 2027'!AF20="x",'Feb 2027'!AF20="X"),1,0))</f>
        <v/>
      </c>
      <c r="P155" s="345">
        <f>IF($A155="","",IF(OR('Feb 2027'!AF21=TRUE,'Feb 2027'!AF21="x",'Feb 2027'!AF21="X"),1,0))</f>
        <v/>
      </c>
      <c r="Q155" s="345">
        <f>IF($A155="","",IF(OR('Feb 2027'!AF22=TRUE,'Feb 2027'!AF22="x",'Feb 2027'!AF22="X"),1,0))</f>
        <v/>
      </c>
      <c r="R155" s="345">
        <f>IF($A155="","",IF(OR('Feb 2027'!AF23=TRUE,'Feb 2027'!AF23="x",'Feb 2027'!AF23="X"),1,0))</f>
        <v/>
      </c>
      <c r="S155" s="345">
        <f>IF($A155="","",IF(OR('Feb 2027'!AF24=TRUE,'Feb 2027'!AF24="x",'Feb 2027'!AF24="X"),1,0))</f>
        <v/>
      </c>
      <c r="T155" s="345">
        <f>IF($A155="","",IF(OR('Feb 2027'!AF25=TRUE,'Feb 2027'!AF25="x",'Feb 2027'!AF25="X"),1,0))</f>
        <v/>
      </c>
      <c r="U155" s="345">
        <f>IF($A155="","",IF(OR('Feb 2027'!AF26=TRUE,'Feb 2027'!AF26="x",'Feb 2027'!AF26="X"),1,0))</f>
        <v/>
      </c>
      <c r="V155" s="345">
        <f>IF($A155="","",IF(OR('Feb 2027'!AF27=TRUE,'Feb 2027'!AF27="x",'Feb 2027'!AF27="X"),1,0))</f>
        <v/>
      </c>
      <c r="W155" s="345">
        <f>IF($A155="","",IF(OR('Feb 2027'!AF28=TRUE,'Feb 2027'!AF28="x",'Feb 2027'!AF28="X"),1,0))</f>
        <v/>
      </c>
      <c r="X155" s="345">
        <f>IF($A155="","",IF(OR('Feb 2027'!AF29=TRUE,'Feb 2027'!AF29="x",'Feb 2027'!AF29="X"),1,0))</f>
        <v/>
      </c>
      <c r="Y155" s="345">
        <f>IF($A155="","",IF(OR('Feb 2027'!AF30=TRUE,'Feb 2027'!AF30="x",'Feb 2027'!AF30="X"),1,0))</f>
        <v/>
      </c>
      <c r="Z155" s="345">
        <f>IF($A155="","",IF(OR('Feb 2027'!AF31=TRUE,'Feb 2027'!AF31="x",'Feb 2027'!AF31="X"),1,0))</f>
        <v/>
      </c>
      <c r="AA155" s="345">
        <f>IF($A155="","",IF(OR('Feb 2027'!AF32=TRUE,'Feb 2027'!AF32="x",'Feb 2027'!AF32="X"),1,0))</f>
        <v/>
      </c>
      <c r="AB155" s="345">
        <f>IF($A155="","",IF(OR('Feb 2027'!AF34=TRUE,'Feb 2027'!AF34="x",'Feb 2027'!AF34="X"),1,0))</f>
        <v/>
      </c>
      <c r="AC155" s="345">
        <f>IF($A155="","",IF(OR('Feb 2027'!AF35=TRUE,'Feb 2027'!AF35="x",'Feb 2027'!AF35="X"),1,0))</f>
        <v/>
      </c>
      <c r="AD155" s="345">
        <f>IF($A155="","",IF(OR('Feb 2027'!AF36=TRUE,'Feb 2027'!AF36="x",'Feb 2027'!AF36="X"),1,0))</f>
        <v/>
      </c>
      <c r="AE155" s="345">
        <f>IF($A155="","",IF(OR('Feb 2027'!AF37=TRUE,'Feb 2027'!AF37="x",'Feb 2027'!AF37="X"),1,0))</f>
        <v/>
      </c>
      <c r="AF155" s="345">
        <f>IF($A155="","",IF('Feb 2027'!AF59="","",'Feb 2027'!AF59))</f>
        <v/>
      </c>
      <c r="AG155" s="345">
        <f>IF($A155="","",IF('Feb 2027'!AF60="","",'Feb 2027'!AF60))</f>
        <v/>
      </c>
      <c r="AH155" s="345">
        <f>IF($A155="","",IF('Feb 2027'!AF61="","",'Feb 2027'!AF61))</f>
        <v/>
      </c>
      <c r="AI155" s="345">
        <f>IF($A155="","",IF('Feb 2027'!AF62="","",'Feb 2027'!AF62))</f>
        <v/>
      </c>
      <c r="AJ155" s="345">
        <f>IF($A155="","",IF('Feb 2027'!AF63="","",'Feb 2027'!AF63))</f>
        <v/>
      </c>
      <c r="AK155" s="345">
        <f>IF($A155="","",IF('Feb 2027'!AF64="","",'Feb 2027'!AF64))</f>
        <v/>
      </c>
      <c r="AL155" s="345">
        <f>IF($A155="","",IF('Feb 2027'!AF65="","",'Feb 2027'!AF65))</f>
        <v/>
      </c>
      <c r="AM155" s="345">
        <f>IF($A155="","",IF('Feb 2027'!AF66="","",'Feb 2027'!AF66))</f>
        <v/>
      </c>
      <c r="AN155" s="345">
        <f>IF($A155="","",IF('Feb 2027'!AF67="","",'Feb 2027'!AF67))</f>
        <v/>
      </c>
      <c r="AO155" s="345">
        <f>IF($A155="",0,IF(AND($A155&gt;=TrackStart,$A155&lt;=TODAY()),1,0))</f>
        <v/>
      </c>
      <c r="AP155" s="345">
        <f>IF($A155="",0,IF(SUM(F155:AE155)+COUNT(AF155:AN155)&gt;0,1,0))</f>
        <v/>
      </c>
      <c r="AQ155" s="345">
        <f>IF($A155="","",INT(($A155-TrackStart)/7)+1)</f>
        <v/>
      </c>
      <c r="AR155" s="345">
        <f>IF($A155="","",IF(AQ155&lt;=1,Steps1,IF(AQ155=2,Steps2,Steps3)))</f>
        <v/>
      </c>
      <c r="AS155" s="345">
        <f>IF($A155="",0,IF(ISNUMBER(SEARCH(TEXT(D155,"0"),WorkDays&amp;"")),1,0))</f>
        <v/>
      </c>
      <c r="AT155" s="345">
        <f>IF($A155="",0,IF(ISNUMBER(SEARCH(TEXT(D155,"0"),StrDays&amp;"")),1,0))</f>
        <v/>
      </c>
      <c r="AU155" s="345">
        <f>IF($A155="",0,IF(ISNUMBER(AK155),IF(AK155&gt;=SleepMin,1,0),N155))</f>
        <v/>
      </c>
      <c r="AV155" s="345">
        <f>IF($A155="",0,MAX(I155,O155,S155,AC155))</f>
        <v/>
      </c>
      <c r="AW155" s="345">
        <f>IF($A155="",0,IF(ISNUMBER(AH155),IF(AH155&gt;=ProtHit,1,0),0))</f>
        <v/>
      </c>
      <c r="AX155" s="345">
        <f>IF($A155="",0,IF(ISNUMBER(AI155),IF(AI155&gt;=WaterHit,1,0),0))</f>
        <v/>
      </c>
      <c r="AY155" s="345">
        <f>IF($A155="",0,IF(ISNUMBER(AG155),IF(AG155&gt;=AR155,1,0),0))</f>
        <v/>
      </c>
      <c r="AZ155" s="345">
        <f>IF($A155="",0,G155)</f>
        <v/>
      </c>
      <c r="BA155" s="345">
        <f>IF($A155="",0,J155)</f>
        <v/>
      </c>
      <c r="BB155" s="345">
        <f>IF($A155="",0,K155)</f>
        <v/>
      </c>
      <c r="BC155" s="345">
        <f>IF($A155="",0,MAX(L155,AE155))</f>
        <v/>
      </c>
      <c r="BD155" s="344">
        <f>IF($A155="","",(AU155+AV155+AW155+AX155+AY155+AZ155+BB155+BC155+IF(AS155=1,BA155,0))/(8+AS155))</f>
        <v/>
      </c>
      <c r="BE155" s="344">
        <f>IF($A155="","",(IF(ISNUMBER(AI155),IF(AI155&gt;=WaterMVD,1,0),0)+AV155+IF(ISNUMBER(AH155),IF(AH155&gt;=ProtMVD,1,0),0)+MAX(H155,AD155)+AZ155+BB155+AU155)/7)</f>
        <v/>
      </c>
      <c r="BF155" s="344">
        <f>IF(AO155=0,"",IF(E155="S","",IF(AND(AP155=0,$A155=TODAY()),"",IF(E155="M",BE155,BD155))))</f>
        <v/>
      </c>
      <c r="BG155" s="344">
        <f>IF(AO155=0,"",IFERROR(AVERAGEIFS(Data!$BF$4:$BF$375,Data!$A$4:$A$375,"&gt;"&amp;($A155-7),Data!$A$4:$A$375,"&lt;="&amp;$A155),""))</f>
        <v/>
      </c>
      <c r="BH155" s="344">
        <f>IF(AO155=0,"",IFERROR(AVERAGEIFS(Data!$BF$4:$BF$375,Data!$A$4:$A$375,"&gt;"&amp;($A155-30),Data!$A$4:$A$375,"&lt;="&amp;$A155),""))</f>
        <v/>
      </c>
      <c r="BI155" s="359">
        <f>IF($A155="","",IFERROR(AVERAGEIFS(Data!$AF$4:$AF$375,Data!$A$4:$A$375,"&gt;"&amp;($A155-7),Data!$A$4:$A$375,"&lt;="&amp;$A155,Data!$AF$4:$AF$375,"&gt;0"),""))</f>
        <v/>
      </c>
      <c r="BJ155" s="345">
        <f>IF($A155="","",F155+G155+H155+I155+J155+K155+L155+M155+N155-IF(AS155=1,0,J155))</f>
        <v/>
      </c>
      <c r="BK155" s="345">
        <f>IF($A155="","",8+AS155)</f>
        <v/>
      </c>
      <c r="BL155" s="345">
        <f>IF(ISNUMBER(BF155),BF155,NA())</f>
        <v/>
      </c>
      <c r="BM155" s="345">
        <f>IF(ISNUMBER(AF155),AF155,NA())</f>
        <v/>
      </c>
      <c r="BN155" s="345">
        <f>IF(ISNUMBER(BI155),BI155,NA())</f>
        <v/>
      </c>
      <c r="BO155" s="345">
        <f>IF(ISNUMBER(AL155),AL155,NA())</f>
        <v/>
      </c>
      <c r="BP155" s="345">
        <f>IF(ISNUMBER(AM155),AM155,NA())</f>
        <v/>
      </c>
      <c r="BQ155" s="345">
        <f>IF(ISNUMBER(AN155),AN155,NA())</f>
        <v/>
      </c>
    </row>
    <row r="156">
      <c r="A156" s="358">
        <f>IF('Feb 2027'!AG7="","",'Feb 2027'!AG7)</f>
        <v/>
      </c>
      <c r="B156" s="345" t="n">
        <v>5</v>
      </c>
      <c r="C156" s="345">
        <f>IF($A156="","",29)</f>
        <v/>
      </c>
      <c r="D156" s="345">
        <f>IF($A156="","",WEEKDAY($A156,2))</f>
        <v/>
      </c>
      <c r="E156" s="345">
        <f>IF($A156="","",UPPER(TRIM('Feb 2027'!AG8)))</f>
        <v/>
      </c>
      <c r="F156" s="345">
        <f>IF($A156="","",IF(OR('Feb 2027'!AG10=TRUE,'Feb 2027'!AG10="x",'Feb 2027'!AG10="X"),1,0))</f>
        <v/>
      </c>
      <c r="G156" s="345">
        <f>IF($A156="","",IF(OR('Feb 2027'!AG11=TRUE,'Feb 2027'!AG11="x",'Feb 2027'!AG11="X"),1,0))</f>
        <v/>
      </c>
      <c r="H156" s="345">
        <f>IF($A156="","",IF(OR('Feb 2027'!AG12=TRUE,'Feb 2027'!AG12="x",'Feb 2027'!AG12="X"),1,0))</f>
        <v/>
      </c>
      <c r="I156" s="345">
        <f>IF($A156="","",IF(OR('Feb 2027'!AG13=TRUE,'Feb 2027'!AG13="x",'Feb 2027'!AG13="X"),1,0))</f>
        <v/>
      </c>
      <c r="J156" s="345">
        <f>IF($A156="","",IF(OR('Feb 2027'!AG14=TRUE,'Feb 2027'!AG14="x",'Feb 2027'!AG14="X"),1,0))</f>
        <v/>
      </c>
      <c r="K156" s="345">
        <f>IF($A156="","",IF(OR('Feb 2027'!AG15=TRUE,'Feb 2027'!AG15="x",'Feb 2027'!AG15="X"),1,0))</f>
        <v/>
      </c>
      <c r="L156" s="345">
        <f>IF($A156="","",IF(OR('Feb 2027'!AG16=TRUE,'Feb 2027'!AG16="x",'Feb 2027'!AG16="X"),1,0))</f>
        <v/>
      </c>
      <c r="M156" s="345">
        <f>IF($A156="","",IF(OR('Feb 2027'!AG17=TRUE,'Feb 2027'!AG17="x",'Feb 2027'!AG17="X"),1,0))</f>
        <v/>
      </c>
      <c r="N156" s="345">
        <f>IF($A156="","",IF(OR('Feb 2027'!AG18=TRUE,'Feb 2027'!AG18="x",'Feb 2027'!AG18="X"),1,0))</f>
        <v/>
      </c>
      <c r="O156" s="345">
        <f>IF($A156="","",IF(OR('Feb 2027'!AG20=TRUE,'Feb 2027'!AG20="x",'Feb 2027'!AG20="X"),1,0))</f>
        <v/>
      </c>
      <c r="P156" s="345">
        <f>IF($A156="","",IF(OR('Feb 2027'!AG21=TRUE,'Feb 2027'!AG21="x",'Feb 2027'!AG21="X"),1,0))</f>
        <v/>
      </c>
      <c r="Q156" s="345">
        <f>IF($A156="","",IF(OR('Feb 2027'!AG22=TRUE,'Feb 2027'!AG22="x",'Feb 2027'!AG22="X"),1,0))</f>
        <v/>
      </c>
      <c r="R156" s="345">
        <f>IF($A156="","",IF(OR('Feb 2027'!AG23=TRUE,'Feb 2027'!AG23="x",'Feb 2027'!AG23="X"),1,0))</f>
        <v/>
      </c>
      <c r="S156" s="345">
        <f>IF($A156="","",IF(OR('Feb 2027'!AG24=TRUE,'Feb 2027'!AG24="x",'Feb 2027'!AG24="X"),1,0))</f>
        <v/>
      </c>
      <c r="T156" s="345">
        <f>IF($A156="","",IF(OR('Feb 2027'!AG25=TRUE,'Feb 2027'!AG25="x",'Feb 2027'!AG25="X"),1,0))</f>
        <v/>
      </c>
      <c r="U156" s="345">
        <f>IF($A156="","",IF(OR('Feb 2027'!AG26=TRUE,'Feb 2027'!AG26="x",'Feb 2027'!AG26="X"),1,0))</f>
        <v/>
      </c>
      <c r="V156" s="345">
        <f>IF($A156="","",IF(OR('Feb 2027'!AG27=TRUE,'Feb 2027'!AG27="x",'Feb 2027'!AG27="X"),1,0))</f>
        <v/>
      </c>
      <c r="W156" s="345">
        <f>IF($A156="","",IF(OR('Feb 2027'!AG28=TRUE,'Feb 2027'!AG28="x",'Feb 2027'!AG28="X"),1,0))</f>
        <v/>
      </c>
      <c r="X156" s="345">
        <f>IF($A156="","",IF(OR('Feb 2027'!AG29=TRUE,'Feb 2027'!AG29="x",'Feb 2027'!AG29="X"),1,0))</f>
        <v/>
      </c>
      <c r="Y156" s="345">
        <f>IF($A156="","",IF(OR('Feb 2027'!AG30=TRUE,'Feb 2027'!AG30="x",'Feb 2027'!AG30="X"),1,0))</f>
        <v/>
      </c>
      <c r="Z156" s="345">
        <f>IF($A156="","",IF(OR('Feb 2027'!AG31=TRUE,'Feb 2027'!AG31="x",'Feb 2027'!AG31="X"),1,0))</f>
        <v/>
      </c>
      <c r="AA156" s="345">
        <f>IF($A156="","",IF(OR('Feb 2027'!AG32=TRUE,'Feb 2027'!AG32="x",'Feb 2027'!AG32="X"),1,0))</f>
        <v/>
      </c>
      <c r="AB156" s="345">
        <f>IF($A156="","",IF(OR('Feb 2027'!AG34=TRUE,'Feb 2027'!AG34="x",'Feb 2027'!AG34="X"),1,0))</f>
        <v/>
      </c>
      <c r="AC156" s="345">
        <f>IF($A156="","",IF(OR('Feb 2027'!AG35=TRUE,'Feb 2027'!AG35="x",'Feb 2027'!AG35="X"),1,0))</f>
        <v/>
      </c>
      <c r="AD156" s="345">
        <f>IF($A156="","",IF(OR('Feb 2027'!AG36=TRUE,'Feb 2027'!AG36="x",'Feb 2027'!AG36="X"),1,0))</f>
        <v/>
      </c>
      <c r="AE156" s="345">
        <f>IF($A156="","",IF(OR('Feb 2027'!AG37=TRUE,'Feb 2027'!AG37="x",'Feb 2027'!AG37="X"),1,0))</f>
        <v/>
      </c>
      <c r="AF156" s="345">
        <f>IF($A156="","",IF('Feb 2027'!AG59="","",'Feb 2027'!AG59))</f>
        <v/>
      </c>
      <c r="AG156" s="345">
        <f>IF($A156="","",IF('Feb 2027'!AG60="","",'Feb 2027'!AG60))</f>
        <v/>
      </c>
      <c r="AH156" s="345">
        <f>IF($A156="","",IF('Feb 2027'!AG61="","",'Feb 2027'!AG61))</f>
        <v/>
      </c>
      <c r="AI156" s="345">
        <f>IF($A156="","",IF('Feb 2027'!AG62="","",'Feb 2027'!AG62))</f>
        <v/>
      </c>
      <c r="AJ156" s="345">
        <f>IF($A156="","",IF('Feb 2027'!AG63="","",'Feb 2027'!AG63))</f>
        <v/>
      </c>
      <c r="AK156" s="345">
        <f>IF($A156="","",IF('Feb 2027'!AG64="","",'Feb 2027'!AG64))</f>
        <v/>
      </c>
      <c r="AL156" s="345">
        <f>IF($A156="","",IF('Feb 2027'!AG65="","",'Feb 2027'!AG65))</f>
        <v/>
      </c>
      <c r="AM156" s="345">
        <f>IF($A156="","",IF('Feb 2027'!AG66="","",'Feb 2027'!AG66))</f>
        <v/>
      </c>
      <c r="AN156" s="345">
        <f>IF($A156="","",IF('Feb 2027'!AG67="","",'Feb 2027'!AG67))</f>
        <v/>
      </c>
      <c r="AO156" s="345">
        <f>IF($A156="",0,IF(AND($A156&gt;=TrackStart,$A156&lt;=TODAY()),1,0))</f>
        <v/>
      </c>
      <c r="AP156" s="345">
        <f>IF($A156="",0,IF(SUM(F156:AE156)+COUNT(AF156:AN156)&gt;0,1,0))</f>
        <v/>
      </c>
      <c r="AQ156" s="345">
        <f>IF($A156="","",INT(($A156-TrackStart)/7)+1)</f>
        <v/>
      </c>
      <c r="AR156" s="345">
        <f>IF($A156="","",IF(AQ156&lt;=1,Steps1,IF(AQ156=2,Steps2,Steps3)))</f>
        <v/>
      </c>
      <c r="AS156" s="345">
        <f>IF($A156="",0,IF(ISNUMBER(SEARCH(TEXT(D156,"0"),WorkDays&amp;"")),1,0))</f>
        <v/>
      </c>
      <c r="AT156" s="345">
        <f>IF($A156="",0,IF(ISNUMBER(SEARCH(TEXT(D156,"0"),StrDays&amp;"")),1,0))</f>
        <v/>
      </c>
      <c r="AU156" s="345">
        <f>IF($A156="",0,IF(ISNUMBER(AK156),IF(AK156&gt;=SleepMin,1,0),N156))</f>
        <v/>
      </c>
      <c r="AV156" s="345">
        <f>IF($A156="",0,MAX(I156,O156,S156,AC156))</f>
        <v/>
      </c>
      <c r="AW156" s="345">
        <f>IF($A156="",0,IF(ISNUMBER(AH156),IF(AH156&gt;=ProtHit,1,0),0))</f>
        <v/>
      </c>
      <c r="AX156" s="345">
        <f>IF($A156="",0,IF(ISNUMBER(AI156),IF(AI156&gt;=WaterHit,1,0),0))</f>
        <v/>
      </c>
      <c r="AY156" s="345">
        <f>IF($A156="",0,IF(ISNUMBER(AG156),IF(AG156&gt;=AR156,1,0),0))</f>
        <v/>
      </c>
      <c r="AZ156" s="345">
        <f>IF($A156="",0,G156)</f>
        <v/>
      </c>
      <c r="BA156" s="345">
        <f>IF($A156="",0,J156)</f>
        <v/>
      </c>
      <c r="BB156" s="345">
        <f>IF($A156="",0,K156)</f>
        <v/>
      </c>
      <c r="BC156" s="345">
        <f>IF($A156="",0,MAX(L156,AE156))</f>
        <v/>
      </c>
      <c r="BD156" s="344">
        <f>IF($A156="","",(AU156+AV156+AW156+AX156+AY156+AZ156+BB156+BC156+IF(AS156=1,BA156,0))/(8+AS156))</f>
        <v/>
      </c>
      <c r="BE156" s="344">
        <f>IF($A156="","",(IF(ISNUMBER(AI156),IF(AI156&gt;=WaterMVD,1,0),0)+AV156+IF(ISNUMBER(AH156),IF(AH156&gt;=ProtMVD,1,0),0)+MAX(H156,AD156)+AZ156+BB156+AU156)/7)</f>
        <v/>
      </c>
      <c r="BF156" s="344">
        <f>IF(AO156=0,"",IF(E156="S","",IF(AND(AP156=0,$A156=TODAY()),"",IF(E156="M",BE156,BD156))))</f>
        <v/>
      </c>
      <c r="BG156" s="344">
        <f>IF(AO156=0,"",IFERROR(AVERAGEIFS(Data!$BF$4:$BF$375,Data!$A$4:$A$375,"&gt;"&amp;($A156-7),Data!$A$4:$A$375,"&lt;="&amp;$A156),""))</f>
        <v/>
      </c>
      <c r="BH156" s="344">
        <f>IF(AO156=0,"",IFERROR(AVERAGEIFS(Data!$BF$4:$BF$375,Data!$A$4:$A$375,"&gt;"&amp;($A156-30),Data!$A$4:$A$375,"&lt;="&amp;$A156),""))</f>
        <v/>
      </c>
      <c r="BI156" s="359">
        <f>IF($A156="","",IFERROR(AVERAGEIFS(Data!$AF$4:$AF$375,Data!$A$4:$A$375,"&gt;"&amp;($A156-7),Data!$A$4:$A$375,"&lt;="&amp;$A156,Data!$AF$4:$AF$375,"&gt;0"),""))</f>
        <v/>
      </c>
      <c r="BJ156" s="345">
        <f>IF($A156="","",F156+G156+H156+I156+J156+K156+L156+M156+N156-IF(AS156=1,0,J156))</f>
        <v/>
      </c>
      <c r="BK156" s="345">
        <f>IF($A156="","",8+AS156)</f>
        <v/>
      </c>
      <c r="BL156" s="345">
        <f>IF(ISNUMBER(BF156),BF156,NA())</f>
        <v/>
      </c>
      <c r="BM156" s="345">
        <f>IF(ISNUMBER(AF156),AF156,NA())</f>
        <v/>
      </c>
      <c r="BN156" s="345">
        <f>IF(ISNUMBER(BI156),BI156,NA())</f>
        <v/>
      </c>
      <c r="BO156" s="345">
        <f>IF(ISNUMBER(AL156),AL156,NA())</f>
        <v/>
      </c>
      <c r="BP156" s="345">
        <f>IF(ISNUMBER(AM156),AM156,NA())</f>
        <v/>
      </c>
      <c r="BQ156" s="345">
        <f>IF(ISNUMBER(AN156),AN156,NA())</f>
        <v/>
      </c>
    </row>
    <row r="157">
      <c r="A157" s="358">
        <f>IF('Feb 2027'!AH7="","",'Feb 2027'!AH7)</f>
        <v/>
      </c>
      <c r="B157" s="345" t="n">
        <v>5</v>
      </c>
      <c r="C157" s="345">
        <f>IF($A157="","",30)</f>
        <v/>
      </c>
      <c r="D157" s="345">
        <f>IF($A157="","",WEEKDAY($A157,2))</f>
        <v/>
      </c>
      <c r="E157" s="345">
        <f>IF($A157="","",UPPER(TRIM('Feb 2027'!AH8)))</f>
        <v/>
      </c>
      <c r="F157" s="345">
        <f>IF($A157="","",IF(OR('Feb 2027'!AH10=TRUE,'Feb 2027'!AH10="x",'Feb 2027'!AH10="X"),1,0))</f>
        <v/>
      </c>
      <c r="G157" s="345">
        <f>IF($A157="","",IF(OR('Feb 2027'!AH11=TRUE,'Feb 2027'!AH11="x",'Feb 2027'!AH11="X"),1,0))</f>
        <v/>
      </c>
      <c r="H157" s="345">
        <f>IF($A157="","",IF(OR('Feb 2027'!AH12=TRUE,'Feb 2027'!AH12="x",'Feb 2027'!AH12="X"),1,0))</f>
        <v/>
      </c>
      <c r="I157" s="345">
        <f>IF($A157="","",IF(OR('Feb 2027'!AH13=TRUE,'Feb 2027'!AH13="x",'Feb 2027'!AH13="X"),1,0))</f>
        <v/>
      </c>
      <c r="J157" s="345">
        <f>IF($A157="","",IF(OR('Feb 2027'!AH14=TRUE,'Feb 2027'!AH14="x",'Feb 2027'!AH14="X"),1,0))</f>
        <v/>
      </c>
      <c r="K157" s="345">
        <f>IF($A157="","",IF(OR('Feb 2027'!AH15=TRUE,'Feb 2027'!AH15="x",'Feb 2027'!AH15="X"),1,0))</f>
        <v/>
      </c>
      <c r="L157" s="345">
        <f>IF($A157="","",IF(OR('Feb 2027'!AH16=TRUE,'Feb 2027'!AH16="x",'Feb 2027'!AH16="X"),1,0))</f>
        <v/>
      </c>
      <c r="M157" s="345">
        <f>IF($A157="","",IF(OR('Feb 2027'!AH17=TRUE,'Feb 2027'!AH17="x",'Feb 2027'!AH17="X"),1,0))</f>
        <v/>
      </c>
      <c r="N157" s="345">
        <f>IF($A157="","",IF(OR('Feb 2027'!AH18=TRUE,'Feb 2027'!AH18="x",'Feb 2027'!AH18="X"),1,0))</f>
        <v/>
      </c>
      <c r="O157" s="345">
        <f>IF($A157="","",IF(OR('Feb 2027'!AH20=TRUE,'Feb 2027'!AH20="x",'Feb 2027'!AH20="X"),1,0))</f>
        <v/>
      </c>
      <c r="P157" s="345">
        <f>IF($A157="","",IF(OR('Feb 2027'!AH21=TRUE,'Feb 2027'!AH21="x",'Feb 2027'!AH21="X"),1,0))</f>
        <v/>
      </c>
      <c r="Q157" s="345">
        <f>IF($A157="","",IF(OR('Feb 2027'!AH22=TRUE,'Feb 2027'!AH22="x",'Feb 2027'!AH22="X"),1,0))</f>
        <v/>
      </c>
      <c r="R157" s="345">
        <f>IF($A157="","",IF(OR('Feb 2027'!AH23=TRUE,'Feb 2027'!AH23="x",'Feb 2027'!AH23="X"),1,0))</f>
        <v/>
      </c>
      <c r="S157" s="345">
        <f>IF($A157="","",IF(OR('Feb 2027'!AH24=TRUE,'Feb 2027'!AH24="x",'Feb 2027'!AH24="X"),1,0))</f>
        <v/>
      </c>
      <c r="T157" s="345">
        <f>IF($A157="","",IF(OR('Feb 2027'!AH25=TRUE,'Feb 2027'!AH25="x",'Feb 2027'!AH25="X"),1,0))</f>
        <v/>
      </c>
      <c r="U157" s="345">
        <f>IF($A157="","",IF(OR('Feb 2027'!AH26=TRUE,'Feb 2027'!AH26="x",'Feb 2027'!AH26="X"),1,0))</f>
        <v/>
      </c>
      <c r="V157" s="345">
        <f>IF($A157="","",IF(OR('Feb 2027'!AH27=TRUE,'Feb 2027'!AH27="x",'Feb 2027'!AH27="X"),1,0))</f>
        <v/>
      </c>
      <c r="W157" s="345">
        <f>IF($A157="","",IF(OR('Feb 2027'!AH28=TRUE,'Feb 2027'!AH28="x",'Feb 2027'!AH28="X"),1,0))</f>
        <v/>
      </c>
      <c r="X157" s="345">
        <f>IF($A157="","",IF(OR('Feb 2027'!AH29=TRUE,'Feb 2027'!AH29="x",'Feb 2027'!AH29="X"),1,0))</f>
        <v/>
      </c>
      <c r="Y157" s="345">
        <f>IF($A157="","",IF(OR('Feb 2027'!AH30=TRUE,'Feb 2027'!AH30="x",'Feb 2027'!AH30="X"),1,0))</f>
        <v/>
      </c>
      <c r="Z157" s="345">
        <f>IF($A157="","",IF(OR('Feb 2027'!AH31=TRUE,'Feb 2027'!AH31="x",'Feb 2027'!AH31="X"),1,0))</f>
        <v/>
      </c>
      <c r="AA157" s="345">
        <f>IF($A157="","",IF(OR('Feb 2027'!AH32=TRUE,'Feb 2027'!AH32="x",'Feb 2027'!AH32="X"),1,0))</f>
        <v/>
      </c>
      <c r="AB157" s="345">
        <f>IF($A157="","",IF(OR('Feb 2027'!AH34=TRUE,'Feb 2027'!AH34="x",'Feb 2027'!AH34="X"),1,0))</f>
        <v/>
      </c>
      <c r="AC157" s="345">
        <f>IF($A157="","",IF(OR('Feb 2027'!AH35=TRUE,'Feb 2027'!AH35="x",'Feb 2027'!AH35="X"),1,0))</f>
        <v/>
      </c>
      <c r="AD157" s="345">
        <f>IF($A157="","",IF(OR('Feb 2027'!AH36=TRUE,'Feb 2027'!AH36="x",'Feb 2027'!AH36="X"),1,0))</f>
        <v/>
      </c>
      <c r="AE157" s="345">
        <f>IF($A157="","",IF(OR('Feb 2027'!AH37=TRUE,'Feb 2027'!AH37="x",'Feb 2027'!AH37="X"),1,0))</f>
        <v/>
      </c>
      <c r="AF157" s="345">
        <f>IF($A157="","",IF('Feb 2027'!AH59="","",'Feb 2027'!AH59))</f>
        <v/>
      </c>
      <c r="AG157" s="345">
        <f>IF($A157="","",IF('Feb 2027'!AH60="","",'Feb 2027'!AH60))</f>
        <v/>
      </c>
      <c r="AH157" s="345">
        <f>IF($A157="","",IF('Feb 2027'!AH61="","",'Feb 2027'!AH61))</f>
        <v/>
      </c>
      <c r="AI157" s="345">
        <f>IF($A157="","",IF('Feb 2027'!AH62="","",'Feb 2027'!AH62))</f>
        <v/>
      </c>
      <c r="AJ157" s="345">
        <f>IF($A157="","",IF('Feb 2027'!AH63="","",'Feb 2027'!AH63))</f>
        <v/>
      </c>
      <c r="AK157" s="345">
        <f>IF($A157="","",IF('Feb 2027'!AH64="","",'Feb 2027'!AH64))</f>
        <v/>
      </c>
      <c r="AL157" s="345">
        <f>IF($A157="","",IF('Feb 2027'!AH65="","",'Feb 2027'!AH65))</f>
        <v/>
      </c>
      <c r="AM157" s="345">
        <f>IF($A157="","",IF('Feb 2027'!AH66="","",'Feb 2027'!AH66))</f>
        <v/>
      </c>
      <c r="AN157" s="345">
        <f>IF($A157="","",IF('Feb 2027'!AH67="","",'Feb 2027'!AH67))</f>
        <v/>
      </c>
      <c r="AO157" s="345">
        <f>IF($A157="",0,IF(AND($A157&gt;=TrackStart,$A157&lt;=TODAY()),1,0))</f>
        <v/>
      </c>
      <c r="AP157" s="345">
        <f>IF($A157="",0,IF(SUM(F157:AE157)+COUNT(AF157:AN157)&gt;0,1,0))</f>
        <v/>
      </c>
      <c r="AQ157" s="345">
        <f>IF($A157="","",INT(($A157-TrackStart)/7)+1)</f>
        <v/>
      </c>
      <c r="AR157" s="345">
        <f>IF($A157="","",IF(AQ157&lt;=1,Steps1,IF(AQ157=2,Steps2,Steps3)))</f>
        <v/>
      </c>
      <c r="AS157" s="345">
        <f>IF($A157="",0,IF(ISNUMBER(SEARCH(TEXT(D157,"0"),WorkDays&amp;"")),1,0))</f>
        <v/>
      </c>
      <c r="AT157" s="345">
        <f>IF($A157="",0,IF(ISNUMBER(SEARCH(TEXT(D157,"0"),StrDays&amp;"")),1,0))</f>
        <v/>
      </c>
      <c r="AU157" s="345">
        <f>IF($A157="",0,IF(ISNUMBER(AK157),IF(AK157&gt;=SleepMin,1,0),N157))</f>
        <v/>
      </c>
      <c r="AV157" s="345">
        <f>IF($A157="",0,MAX(I157,O157,S157,AC157))</f>
        <v/>
      </c>
      <c r="AW157" s="345">
        <f>IF($A157="",0,IF(ISNUMBER(AH157),IF(AH157&gt;=ProtHit,1,0),0))</f>
        <v/>
      </c>
      <c r="AX157" s="345">
        <f>IF($A157="",0,IF(ISNUMBER(AI157),IF(AI157&gt;=WaterHit,1,0),0))</f>
        <v/>
      </c>
      <c r="AY157" s="345">
        <f>IF($A157="",0,IF(ISNUMBER(AG157),IF(AG157&gt;=AR157,1,0),0))</f>
        <v/>
      </c>
      <c r="AZ157" s="345">
        <f>IF($A157="",0,G157)</f>
        <v/>
      </c>
      <c r="BA157" s="345">
        <f>IF($A157="",0,J157)</f>
        <v/>
      </c>
      <c r="BB157" s="345">
        <f>IF($A157="",0,K157)</f>
        <v/>
      </c>
      <c r="BC157" s="345">
        <f>IF($A157="",0,MAX(L157,AE157))</f>
        <v/>
      </c>
      <c r="BD157" s="344">
        <f>IF($A157="","",(AU157+AV157+AW157+AX157+AY157+AZ157+BB157+BC157+IF(AS157=1,BA157,0))/(8+AS157))</f>
        <v/>
      </c>
      <c r="BE157" s="344">
        <f>IF($A157="","",(IF(ISNUMBER(AI157),IF(AI157&gt;=WaterMVD,1,0),0)+AV157+IF(ISNUMBER(AH157),IF(AH157&gt;=ProtMVD,1,0),0)+MAX(H157,AD157)+AZ157+BB157+AU157)/7)</f>
        <v/>
      </c>
      <c r="BF157" s="344">
        <f>IF(AO157=0,"",IF(E157="S","",IF(AND(AP157=0,$A157=TODAY()),"",IF(E157="M",BE157,BD157))))</f>
        <v/>
      </c>
      <c r="BG157" s="344">
        <f>IF(AO157=0,"",IFERROR(AVERAGEIFS(Data!$BF$4:$BF$375,Data!$A$4:$A$375,"&gt;"&amp;($A157-7),Data!$A$4:$A$375,"&lt;="&amp;$A157),""))</f>
        <v/>
      </c>
      <c r="BH157" s="344">
        <f>IF(AO157=0,"",IFERROR(AVERAGEIFS(Data!$BF$4:$BF$375,Data!$A$4:$A$375,"&gt;"&amp;($A157-30),Data!$A$4:$A$375,"&lt;="&amp;$A157),""))</f>
        <v/>
      </c>
      <c r="BI157" s="359">
        <f>IF($A157="","",IFERROR(AVERAGEIFS(Data!$AF$4:$AF$375,Data!$A$4:$A$375,"&gt;"&amp;($A157-7),Data!$A$4:$A$375,"&lt;="&amp;$A157,Data!$AF$4:$AF$375,"&gt;0"),""))</f>
        <v/>
      </c>
      <c r="BJ157" s="345">
        <f>IF($A157="","",F157+G157+H157+I157+J157+K157+L157+M157+N157-IF(AS157=1,0,J157))</f>
        <v/>
      </c>
      <c r="BK157" s="345">
        <f>IF($A157="","",8+AS157)</f>
        <v/>
      </c>
      <c r="BL157" s="345">
        <f>IF(ISNUMBER(BF157),BF157,NA())</f>
        <v/>
      </c>
      <c r="BM157" s="345">
        <f>IF(ISNUMBER(AF157),AF157,NA())</f>
        <v/>
      </c>
      <c r="BN157" s="345">
        <f>IF(ISNUMBER(BI157),BI157,NA())</f>
        <v/>
      </c>
      <c r="BO157" s="345">
        <f>IF(ISNUMBER(AL157),AL157,NA())</f>
        <v/>
      </c>
      <c r="BP157" s="345">
        <f>IF(ISNUMBER(AM157),AM157,NA())</f>
        <v/>
      </c>
      <c r="BQ157" s="345">
        <f>IF(ISNUMBER(AN157),AN157,NA())</f>
        <v/>
      </c>
    </row>
    <row r="158">
      <c r="A158" s="358">
        <f>IF('Feb 2027'!AI7="","",'Feb 2027'!AI7)</f>
        <v/>
      </c>
      <c r="B158" s="345" t="n">
        <v>5</v>
      </c>
      <c r="C158" s="345">
        <f>IF($A158="","",31)</f>
        <v/>
      </c>
      <c r="D158" s="345">
        <f>IF($A158="","",WEEKDAY($A158,2))</f>
        <v/>
      </c>
      <c r="E158" s="345">
        <f>IF($A158="","",UPPER(TRIM('Feb 2027'!AI8)))</f>
        <v/>
      </c>
      <c r="F158" s="345">
        <f>IF($A158="","",IF(OR('Feb 2027'!AI10=TRUE,'Feb 2027'!AI10="x",'Feb 2027'!AI10="X"),1,0))</f>
        <v/>
      </c>
      <c r="G158" s="345">
        <f>IF($A158="","",IF(OR('Feb 2027'!AI11=TRUE,'Feb 2027'!AI11="x",'Feb 2027'!AI11="X"),1,0))</f>
        <v/>
      </c>
      <c r="H158" s="345">
        <f>IF($A158="","",IF(OR('Feb 2027'!AI12=TRUE,'Feb 2027'!AI12="x",'Feb 2027'!AI12="X"),1,0))</f>
        <v/>
      </c>
      <c r="I158" s="345">
        <f>IF($A158="","",IF(OR('Feb 2027'!AI13=TRUE,'Feb 2027'!AI13="x",'Feb 2027'!AI13="X"),1,0))</f>
        <v/>
      </c>
      <c r="J158" s="345">
        <f>IF($A158="","",IF(OR('Feb 2027'!AI14=TRUE,'Feb 2027'!AI14="x",'Feb 2027'!AI14="X"),1,0))</f>
        <v/>
      </c>
      <c r="K158" s="345">
        <f>IF($A158="","",IF(OR('Feb 2027'!AI15=TRUE,'Feb 2027'!AI15="x",'Feb 2027'!AI15="X"),1,0))</f>
        <v/>
      </c>
      <c r="L158" s="345">
        <f>IF($A158="","",IF(OR('Feb 2027'!AI16=TRUE,'Feb 2027'!AI16="x",'Feb 2027'!AI16="X"),1,0))</f>
        <v/>
      </c>
      <c r="M158" s="345">
        <f>IF($A158="","",IF(OR('Feb 2027'!AI17=TRUE,'Feb 2027'!AI17="x",'Feb 2027'!AI17="X"),1,0))</f>
        <v/>
      </c>
      <c r="N158" s="345">
        <f>IF($A158="","",IF(OR('Feb 2027'!AI18=TRUE,'Feb 2027'!AI18="x",'Feb 2027'!AI18="X"),1,0))</f>
        <v/>
      </c>
      <c r="O158" s="345">
        <f>IF($A158="","",IF(OR('Feb 2027'!AI20=TRUE,'Feb 2027'!AI20="x",'Feb 2027'!AI20="X"),1,0))</f>
        <v/>
      </c>
      <c r="P158" s="345">
        <f>IF($A158="","",IF(OR('Feb 2027'!AI21=TRUE,'Feb 2027'!AI21="x",'Feb 2027'!AI21="X"),1,0))</f>
        <v/>
      </c>
      <c r="Q158" s="345">
        <f>IF($A158="","",IF(OR('Feb 2027'!AI22=TRUE,'Feb 2027'!AI22="x",'Feb 2027'!AI22="X"),1,0))</f>
        <v/>
      </c>
      <c r="R158" s="345">
        <f>IF($A158="","",IF(OR('Feb 2027'!AI23=TRUE,'Feb 2027'!AI23="x",'Feb 2027'!AI23="X"),1,0))</f>
        <v/>
      </c>
      <c r="S158" s="345">
        <f>IF($A158="","",IF(OR('Feb 2027'!AI24=TRUE,'Feb 2027'!AI24="x",'Feb 2027'!AI24="X"),1,0))</f>
        <v/>
      </c>
      <c r="T158" s="345">
        <f>IF($A158="","",IF(OR('Feb 2027'!AI25=TRUE,'Feb 2027'!AI25="x",'Feb 2027'!AI25="X"),1,0))</f>
        <v/>
      </c>
      <c r="U158" s="345">
        <f>IF($A158="","",IF(OR('Feb 2027'!AI26=TRUE,'Feb 2027'!AI26="x",'Feb 2027'!AI26="X"),1,0))</f>
        <v/>
      </c>
      <c r="V158" s="345">
        <f>IF($A158="","",IF(OR('Feb 2027'!AI27=TRUE,'Feb 2027'!AI27="x",'Feb 2027'!AI27="X"),1,0))</f>
        <v/>
      </c>
      <c r="W158" s="345">
        <f>IF($A158="","",IF(OR('Feb 2027'!AI28=TRUE,'Feb 2027'!AI28="x",'Feb 2027'!AI28="X"),1,0))</f>
        <v/>
      </c>
      <c r="X158" s="345">
        <f>IF($A158="","",IF(OR('Feb 2027'!AI29=TRUE,'Feb 2027'!AI29="x",'Feb 2027'!AI29="X"),1,0))</f>
        <v/>
      </c>
      <c r="Y158" s="345">
        <f>IF($A158="","",IF(OR('Feb 2027'!AI30=TRUE,'Feb 2027'!AI30="x",'Feb 2027'!AI30="X"),1,0))</f>
        <v/>
      </c>
      <c r="Z158" s="345">
        <f>IF($A158="","",IF(OR('Feb 2027'!AI31=TRUE,'Feb 2027'!AI31="x",'Feb 2027'!AI31="X"),1,0))</f>
        <v/>
      </c>
      <c r="AA158" s="345">
        <f>IF($A158="","",IF(OR('Feb 2027'!AI32=TRUE,'Feb 2027'!AI32="x",'Feb 2027'!AI32="X"),1,0))</f>
        <v/>
      </c>
      <c r="AB158" s="345">
        <f>IF($A158="","",IF(OR('Feb 2027'!AI34=TRUE,'Feb 2027'!AI34="x",'Feb 2027'!AI34="X"),1,0))</f>
        <v/>
      </c>
      <c r="AC158" s="345">
        <f>IF($A158="","",IF(OR('Feb 2027'!AI35=TRUE,'Feb 2027'!AI35="x",'Feb 2027'!AI35="X"),1,0))</f>
        <v/>
      </c>
      <c r="AD158" s="345">
        <f>IF($A158="","",IF(OR('Feb 2027'!AI36=TRUE,'Feb 2027'!AI36="x",'Feb 2027'!AI36="X"),1,0))</f>
        <v/>
      </c>
      <c r="AE158" s="345">
        <f>IF($A158="","",IF(OR('Feb 2027'!AI37=TRUE,'Feb 2027'!AI37="x",'Feb 2027'!AI37="X"),1,0))</f>
        <v/>
      </c>
      <c r="AF158" s="345">
        <f>IF($A158="","",IF('Feb 2027'!AI59="","",'Feb 2027'!AI59))</f>
        <v/>
      </c>
      <c r="AG158" s="345">
        <f>IF($A158="","",IF('Feb 2027'!AI60="","",'Feb 2027'!AI60))</f>
        <v/>
      </c>
      <c r="AH158" s="345">
        <f>IF($A158="","",IF('Feb 2027'!AI61="","",'Feb 2027'!AI61))</f>
        <v/>
      </c>
      <c r="AI158" s="345">
        <f>IF($A158="","",IF('Feb 2027'!AI62="","",'Feb 2027'!AI62))</f>
        <v/>
      </c>
      <c r="AJ158" s="345">
        <f>IF($A158="","",IF('Feb 2027'!AI63="","",'Feb 2027'!AI63))</f>
        <v/>
      </c>
      <c r="AK158" s="345">
        <f>IF($A158="","",IF('Feb 2027'!AI64="","",'Feb 2027'!AI64))</f>
        <v/>
      </c>
      <c r="AL158" s="345">
        <f>IF($A158="","",IF('Feb 2027'!AI65="","",'Feb 2027'!AI65))</f>
        <v/>
      </c>
      <c r="AM158" s="345">
        <f>IF($A158="","",IF('Feb 2027'!AI66="","",'Feb 2027'!AI66))</f>
        <v/>
      </c>
      <c r="AN158" s="345">
        <f>IF($A158="","",IF('Feb 2027'!AI67="","",'Feb 2027'!AI67))</f>
        <v/>
      </c>
      <c r="AO158" s="345">
        <f>IF($A158="",0,IF(AND($A158&gt;=TrackStart,$A158&lt;=TODAY()),1,0))</f>
        <v/>
      </c>
      <c r="AP158" s="345">
        <f>IF($A158="",0,IF(SUM(F158:AE158)+COUNT(AF158:AN158)&gt;0,1,0))</f>
        <v/>
      </c>
      <c r="AQ158" s="345">
        <f>IF($A158="","",INT(($A158-TrackStart)/7)+1)</f>
        <v/>
      </c>
      <c r="AR158" s="345">
        <f>IF($A158="","",IF(AQ158&lt;=1,Steps1,IF(AQ158=2,Steps2,Steps3)))</f>
        <v/>
      </c>
      <c r="AS158" s="345">
        <f>IF($A158="",0,IF(ISNUMBER(SEARCH(TEXT(D158,"0"),WorkDays&amp;"")),1,0))</f>
        <v/>
      </c>
      <c r="AT158" s="345">
        <f>IF($A158="",0,IF(ISNUMBER(SEARCH(TEXT(D158,"0"),StrDays&amp;"")),1,0))</f>
        <v/>
      </c>
      <c r="AU158" s="345">
        <f>IF($A158="",0,IF(ISNUMBER(AK158),IF(AK158&gt;=SleepMin,1,0),N158))</f>
        <v/>
      </c>
      <c r="AV158" s="345">
        <f>IF($A158="",0,MAX(I158,O158,S158,AC158))</f>
        <v/>
      </c>
      <c r="AW158" s="345">
        <f>IF($A158="",0,IF(ISNUMBER(AH158),IF(AH158&gt;=ProtHit,1,0),0))</f>
        <v/>
      </c>
      <c r="AX158" s="345">
        <f>IF($A158="",0,IF(ISNUMBER(AI158),IF(AI158&gt;=WaterHit,1,0),0))</f>
        <v/>
      </c>
      <c r="AY158" s="345">
        <f>IF($A158="",0,IF(ISNUMBER(AG158),IF(AG158&gt;=AR158,1,0),0))</f>
        <v/>
      </c>
      <c r="AZ158" s="345">
        <f>IF($A158="",0,G158)</f>
        <v/>
      </c>
      <c r="BA158" s="345">
        <f>IF($A158="",0,J158)</f>
        <v/>
      </c>
      <c r="BB158" s="345">
        <f>IF($A158="",0,K158)</f>
        <v/>
      </c>
      <c r="BC158" s="345">
        <f>IF($A158="",0,MAX(L158,AE158))</f>
        <v/>
      </c>
      <c r="BD158" s="344">
        <f>IF($A158="","",(AU158+AV158+AW158+AX158+AY158+AZ158+BB158+BC158+IF(AS158=1,BA158,0))/(8+AS158))</f>
        <v/>
      </c>
      <c r="BE158" s="344">
        <f>IF($A158="","",(IF(ISNUMBER(AI158),IF(AI158&gt;=WaterMVD,1,0),0)+AV158+IF(ISNUMBER(AH158),IF(AH158&gt;=ProtMVD,1,0),0)+MAX(H158,AD158)+AZ158+BB158+AU158)/7)</f>
        <v/>
      </c>
      <c r="BF158" s="344">
        <f>IF(AO158=0,"",IF(E158="S","",IF(AND(AP158=0,$A158=TODAY()),"",IF(E158="M",BE158,BD158))))</f>
        <v/>
      </c>
      <c r="BG158" s="344">
        <f>IF(AO158=0,"",IFERROR(AVERAGEIFS(Data!$BF$4:$BF$375,Data!$A$4:$A$375,"&gt;"&amp;($A158-7),Data!$A$4:$A$375,"&lt;="&amp;$A158),""))</f>
        <v/>
      </c>
      <c r="BH158" s="344">
        <f>IF(AO158=0,"",IFERROR(AVERAGEIFS(Data!$BF$4:$BF$375,Data!$A$4:$A$375,"&gt;"&amp;($A158-30),Data!$A$4:$A$375,"&lt;="&amp;$A158),""))</f>
        <v/>
      </c>
      <c r="BI158" s="359">
        <f>IF($A158="","",IFERROR(AVERAGEIFS(Data!$AF$4:$AF$375,Data!$A$4:$A$375,"&gt;"&amp;($A158-7),Data!$A$4:$A$375,"&lt;="&amp;$A158,Data!$AF$4:$AF$375,"&gt;0"),""))</f>
        <v/>
      </c>
      <c r="BJ158" s="345">
        <f>IF($A158="","",F158+G158+H158+I158+J158+K158+L158+M158+N158-IF(AS158=1,0,J158))</f>
        <v/>
      </c>
      <c r="BK158" s="345">
        <f>IF($A158="","",8+AS158)</f>
        <v/>
      </c>
      <c r="BL158" s="345">
        <f>IF(ISNUMBER(BF158),BF158,NA())</f>
        <v/>
      </c>
      <c r="BM158" s="345">
        <f>IF(ISNUMBER(AF158),AF158,NA())</f>
        <v/>
      </c>
      <c r="BN158" s="345">
        <f>IF(ISNUMBER(BI158),BI158,NA())</f>
        <v/>
      </c>
      <c r="BO158" s="345">
        <f>IF(ISNUMBER(AL158),AL158,NA())</f>
        <v/>
      </c>
      <c r="BP158" s="345">
        <f>IF(ISNUMBER(AM158),AM158,NA())</f>
        <v/>
      </c>
      <c r="BQ158" s="345">
        <f>IF(ISNUMBER(AN158),AN158,NA())</f>
        <v/>
      </c>
    </row>
    <row r="159">
      <c r="A159" s="358">
        <f>IF('Mar 2027'!E7="","",'Mar 2027'!E7)</f>
        <v/>
      </c>
      <c r="B159" s="345" t="n">
        <v>6</v>
      </c>
      <c r="C159" s="345">
        <f>IF($A159="","",1)</f>
        <v/>
      </c>
      <c r="D159" s="345">
        <f>IF($A159="","",WEEKDAY($A159,2))</f>
        <v/>
      </c>
      <c r="E159" s="345">
        <f>IF($A159="","",UPPER(TRIM('Mar 2027'!E8)))</f>
        <v/>
      </c>
      <c r="F159" s="345">
        <f>IF($A159="","",IF(OR('Mar 2027'!E10=TRUE,'Mar 2027'!E10="x",'Mar 2027'!E10="X"),1,0))</f>
        <v/>
      </c>
      <c r="G159" s="345">
        <f>IF($A159="","",IF(OR('Mar 2027'!E11=TRUE,'Mar 2027'!E11="x",'Mar 2027'!E11="X"),1,0))</f>
        <v/>
      </c>
      <c r="H159" s="345">
        <f>IF($A159="","",IF(OR('Mar 2027'!E12=TRUE,'Mar 2027'!E12="x",'Mar 2027'!E12="X"),1,0))</f>
        <v/>
      </c>
      <c r="I159" s="345">
        <f>IF($A159="","",IF(OR('Mar 2027'!E13=TRUE,'Mar 2027'!E13="x",'Mar 2027'!E13="X"),1,0))</f>
        <v/>
      </c>
      <c r="J159" s="345">
        <f>IF($A159="","",IF(OR('Mar 2027'!E14=TRUE,'Mar 2027'!E14="x",'Mar 2027'!E14="X"),1,0))</f>
        <v/>
      </c>
      <c r="K159" s="345">
        <f>IF($A159="","",IF(OR('Mar 2027'!E15=TRUE,'Mar 2027'!E15="x",'Mar 2027'!E15="X"),1,0))</f>
        <v/>
      </c>
      <c r="L159" s="345">
        <f>IF($A159="","",IF(OR('Mar 2027'!E16=TRUE,'Mar 2027'!E16="x",'Mar 2027'!E16="X"),1,0))</f>
        <v/>
      </c>
      <c r="M159" s="345">
        <f>IF($A159="","",IF(OR('Mar 2027'!E17=TRUE,'Mar 2027'!E17="x",'Mar 2027'!E17="X"),1,0))</f>
        <v/>
      </c>
      <c r="N159" s="345">
        <f>IF($A159="","",IF(OR('Mar 2027'!E18=TRUE,'Mar 2027'!E18="x",'Mar 2027'!E18="X"),1,0))</f>
        <v/>
      </c>
      <c r="O159" s="345">
        <f>IF($A159="","",IF(OR('Mar 2027'!E20=TRUE,'Mar 2027'!E20="x",'Mar 2027'!E20="X"),1,0))</f>
        <v/>
      </c>
      <c r="P159" s="345">
        <f>IF($A159="","",IF(OR('Mar 2027'!E21=TRUE,'Mar 2027'!E21="x",'Mar 2027'!E21="X"),1,0))</f>
        <v/>
      </c>
      <c r="Q159" s="345">
        <f>IF($A159="","",IF(OR('Mar 2027'!E22=TRUE,'Mar 2027'!E22="x",'Mar 2027'!E22="X"),1,0))</f>
        <v/>
      </c>
      <c r="R159" s="345">
        <f>IF($A159="","",IF(OR('Mar 2027'!E23=TRUE,'Mar 2027'!E23="x",'Mar 2027'!E23="X"),1,0))</f>
        <v/>
      </c>
      <c r="S159" s="345">
        <f>IF($A159="","",IF(OR('Mar 2027'!E24=TRUE,'Mar 2027'!E24="x",'Mar 2027'!E24="X"),1,0))</f>
        <v/>
      </c>
      <c r="T159" s="345">
        <f>IF($A159="","",IF(OR('Mar 2027'!E25=TRUE,'Mar 2027'!E25="x",'Mar 2027'!E25="X"),1,0))</f>
        <v/>
      </c>
      <c r="U159" s="345">
        <f>IF($A159="","",IF(OR('Mar 2027'!E26=TRUE,'Mar 2027'!E26="x",'Mar 2027'!E26="X"),1,0))</f>
        <v/>
      </c>
      <c r="V159" s="345">
        <f>IF($A159="","",IF(OR('Mar 2027'!E27=TRUE,'Mar 2027'!E27="x",'Mar 2027'!E27="X"),1,0))</f>
        <v/>
      </c>
      <c r="W159" s="345">
        <f>IF($A159="","",IF(OR('Mar 2027'!E28=TRUE,'Mar 2027'!E28="x",'Mar 2027'!E28="X"),1,0))</f>
        <v/>
      </c>
      <c r="X159" s="345">
        <f>IF($A159="","",IF(OR('Mar 2027'!E29=TRUE,'Mar 2027'!E29="x",'Mar 2027'!E29="X"),1,0))</f>
        <v/>
      </c>
      <c r="Y159" s="345">
        <f>IF($A159="","",IF(OR('Mar 2027'!E30=TRUE,'Mar 2027'!E30="x",'Mar 2027'!E30="X"),1,0))</f>
        <v/>
      </c>
      <c r="Z159" s="345">
        <f>IF($A159="","",IF(OR('Mar 2027'!E31=TRUE,'Mar 2027'!E31="x",'Mar 2027'!E31="X"),1,0))</f>
        <v/>
      </c>
      <c r="AA159" s="345">
        <f>IF($A159="","",IF(OR('Mar 2027'!E32=TRUE,'Mar 2027'!E32="x",'Mar 2027'!E32="X"),1,0))</f>
        <v/>
      </c>
      <c r="AB159" s="345">
        <f>IF($A159="","",IF(OR('Mar 2027'!E34=TRUE,'Mar 2027'!E34="x",'Mar 2027'!E34="X"),1,0))</f>
        <v/>
      </c>
      <c r="AC159" s="345">
        <f>IF($A159="","",IF(OR('Mar 2027'!E35=TRUE,'Mar 2027'!E35="x",'Mar 2027'!E35="X"),1,0))</f>
        <v/>
      </c>
      <c r="AD159" s="345">
        <f>IF($A159="","",IF(OR('Mar 2027'!E36=TRUE,'Mar 2027'!E36="x",'Mar 2027'!E36="X"),1,0))</f>
        <v/>
      </c>
      <c r="AE159" s="345">
        <f>IF($A159="","",IF(OR('Mar 2027'!E37=TRUE,'Mar 2027'!E37="x",'Mar 2027'!E37="X"),1,0))</f>
        <v/>
      </c>
      <c r="AF159" s="345">
        <f>IF($A159="","",IF('Mar 2027'!E59="","",'Mar 2027'!E59))</f>
        <v/>
      </c>
      <c r="AG159" s="345">
        <f>IF($A159="","",IF('Mar 2027'!E60="","",'Mar 2027'!E60))</f>
        <v/>
      </c>
      <c r="AH159" s="345">
        <f>IF($A159="","",IF('Mar 2027'!E61="","",'Mar 2027'!E61))</f>
        <v/>
      </c>
      <c r="AI159" s="345">
        <f>IF($A159="","",IF('Mar 2027'!E62="","",'Mar 2027'!E62))</f>
        <v/>
      </c>
      <c r="AJ159" s="345">
        <f>IF($A159="","",IF('Mar 2027'!E63="","",'Mar 2027'!E63))</f>
        <v/>
      </c>
      <c r="AK159" s="345">
        <f>IF($A159="","",IF('Mar 2027'!E64="","",'Mar 2027'!E64))</f>
        <v/>
      </c>
      <c r="AL159" s="345">
        <f>IF($A159="","",IF('Mar 2027'!E65="","",'Mar 2027'!E65))</f>
        <v/>
      </c>
      <c r="AM159" s="345">
        <f>IF($A159="","",IF('Mar 2027'!E66="","",'Mar 2027'!E66))</f>
        <v/>
      </c>
      <c r="AN159" s="345">
        <f>IF($A159="","",IF('Mar 2027'!E67="","",'Mar 2027'!E67))</f>
        <v/>
      </c>
      <c r="AO159" s="345">
        <f>IF($A159="",0,IF(AND($A159&gt;=TrackStart,$A159&lt;=TODAY()),1,0))</f>
        <v/>
      </c>
      <c r="AP159" s="345">
        <f>IF($A159="",0,IF(SUM(F159:AE159)+COUNT(AF159:AN159)&gt;0,1,0))</f>
        <v/>
      </c>
      <c r="AQ159" s="345">
        <f>IF($A159="","",INT(($A159-TrackStart)/7)+1)</f>
        <v/>
      </c>
      <c r="AR159" s="345">
        <f>IF($A159="","",IF(AQ159&lt;=1,Steps1,IF(AQ159=2,Steps2,Steps3)))</f>
        <v/>
      </c>
      <c r="AS159" s="345">
        <f>IF($A159="",0,IF(ISNUMBER(SEARCH(TEXT(D159,"0"),WorkDays&amp;"")),1,0))</f>
        <v/>
      </c>
      <c r="AT159" s="345">
        <f>IF($A159="",0,IF(ISNUMBER(SEARCH(TEXT(D159,"0"),StrDays&amp;"")),1,0))</f>
        <v/>
      </c>
      <c r="AU159" s="345">
        <f>IF($A159="",0,IF(ISNUMBER(AK159),IF(AK159&gt;=SleepMin,1,0),N159))</f>
        <v/>
      </c>
      <c r="AV159" s="345">
        <f>IF($A159="",0,MAX(I159,O159,S159,AC159))</f>
        <v/>
      </c>
      <c r="AW159" s="345">
        <f>IF($A159="",0,IF(ISNUMBER(AH159),IF(AH159&gt;=ProtHit,1,0),0))</f>
        <v/>
      </c>
      <c r="AX159" s="345">
        <f>IF($A159="",0,IF(ISNUMBER(AI159),IF(AI159&gt;=WaterHit,1,0),0))</f>
        <v/>
      </c>
      <c r="AY159" s="345">
        <f>IF($A159="",0,IF(ISNUMBER(AG159),IF(AG159&gt;=AR159,1,0),0))</f>
        <v/>
      </c>
      <c r="AZ159" s="345">
        <f>IF($A159="",0,G159)</f>
        <v/>
      </c>
      <c r="BA159" s="345">
        <f>IF($A159="",0,J159)</f>
        <v/>
      </c>
      <c r="BB159" s="345">
        <f>IF($A159="",0,K159)</f>
        <v/>
      </c>
      <c r="BC159" s="345">
        <f>IF($A159="",0,MAX(L159,AE159))</f>
        <v/>
      </c>
      <c r="BD159" s="344">
        <f>IF($A159="","",(AU159+AV159+AW159+AX159+AY159+AZ159+BB159+BC159+IF(AS159=1,BA159,0))/(8+AS159))</f>
        <v/>
      </c>
      <c r="BE159" s="344">
        <f>IF($A159="","",(IF(ISNUMBER(AI159),IF(AI159&gt;=WaterMVD,1,0),0)+AV159+IF(ISNUMBER(AH159),IF(AH159&gt;=ProtMVD,1,0),0)+MAX(H159,AD159)+AZ159+BB159+AU159)/7)</f>
        <v/>
      </c>
      <c r="BF159" s="344">
        <f>IF(AO159=0,"",IF(E159="S","",IF(AND(AP159=0,$A159=TODAY()),"",IF(E159="M",BE159,BD159))))</f>
        <v/>
      </c>
      <c r="BG159" s="344">
        <f>IF(AO159=0,"",IFERROR(AVERAGEIFS(Data!$BF$4:$BF$375,Data!$A$4:$A$375,"&gt;"&amp;($A159-7),Data!$A$4:$A$375,"&lt;="&amp;$A159),""))</f>
        <v/>
      </c>
      <c r="BH159" s="344">
        <f>IF(AO159=0,"",IFERROR(AVERAGEIFS(Data!$BF$4:$BF$375,Data!$A$4:$A$375,"&gt;"&amp;($A159-30),Data!$A$4:$A$375,"&lt;="&amp;$A159),""))</f>
        <v/>
      </c>
      <c r="BI159" s="359">
        <f>IF($A159="","",IFERROR(AVERAGEIFS(Data!$AF$4:$AF$375,Data!$A$4:$A$375,"&gt;"&amp;($A159-7),Data!$A$4:$A$375,"&lt;="&amp;$A159,Data!$AF$4:$AF$375,"&gt;0"),""))</f>
        <v/>
      </c>
      <c r="BJ159" s="345">
        <f>IF($A159="","",F159+G159+H159+I159+J159+K159+L159+M159+N159-IF(AS159=1,0,J159))</f>
        <v/>
      </c>
      <c r="BK159" s="345">
        <f>IF($A159="","",8+AS159)</f>
        <v/>
      </c>
      <c r="BL159" s="345">
        <f>IF(ISNUMBER(BF159),BF159,NA())</f>
        <v/>
      </c>
      <c r="BM159" s="345">
        <f>IF(ISNUMBER(AF159),AF159,NA())</f>
        <v/>
      </c>
      <c r="BN159" s="345">
        <f>IF(ISNUMBER(BI159),BI159,NA())</f>
        <v/>
      </c>
      <c r="BO159" s="345">
        <f>IF(ISNUMBER(AL159),AL159,NA())</f>
        <v/>
      </c>
      <c r="BP159" s="345">
        <f>IF(ISNUMBER(AM159),AM159,NA())</f>
        <v/>
      </c>
      <c r="BQ159" s="345">
        <f>IF(ISNUMBER(AN159),AN159,NA())</f>
        <v/>
      </c>
    </row>
    <row r="160">
      <c r="A160" s="358">
        <f>IF('Mar 2027'!F7="","",'Mar 2027'!F7)</f>
        <v/>
      </c>
      <c r="B160" s="345" t="n">
        <v>6</v>
      </c>
      <c r="C160" s="345">
        <f>IF($A160="","",2)</f>
        <v/>
      </c>
      <c r="D160" s="345">
        <f>IF($A160="","",WEEKDAY($A160,2))</f>
        <v/>
      </c>
      <c r="E160" s="345">
        <f>IF($A160="","",UPPER(TRIM('Mar 2027'!F8)))</f>
        <v/>
      </c>
      <c r="F160" s="345">
        <f>IF($A160="","",IF(OR('Mar 2027'!F10=TRUE,'Mar 2027'!F10="x",'Mar 2027'!F10="X"),1,0))</f>
        <v/>
      </c>
      <c r="G160" s="345">
        <f>IF($A160="","",IF(OR('Mar 2027'!F11=TRUE,'Mar 2027'!F11="x",'Mar 2027'!F11="X"),1,0))</f>
        <v/>
      </c>
      <c r="H160" s="345">
        <f>IF($A160="","",IF(OR('Mar 2027'!F12=TRUE,'Mar 2027'!F12="x",'Mar 2027'!F12="X"),1,0))</f>
        <v/>
      </c>
      <c r="I160" s="345">
        <f>IF($A160="","",IF(OR('Mar 2027'!F13=TRUE,'Mar 2027'!F13="x",'Mar 2027'!F13="X"),1,0))</f>
        <v/>
      </c>
      <c r="J160" s="345">
        <f>IF($A160="","",IF(OR('Mar 2027'!F14=TRUE,'Mar 2027'!F14="x",'Mar 2027'!F14="X"),1,0))</f>
        <v/>
      </c>
      <c r="K160" s="345">
        <f>IF($A160="","",IF(OR('Mar 2027'!F15=TRUE,'Mar 2027'!F15="x",'Mar 2027'!F15="X"),1,0))</f>
        <v/>
      </c>
      <c r="L160" s="345">
        <f>IF($A160="","",IF(OR('Mar 2027'!F16=TRUE,'Mar 2027'!F16="x",'Mar 2027'!F16="X"),1,0))</f>
        <v/>
      </c>
      <c r="M160" s="345">
        <f>IF($A160="","",IF(OR('Mar 2027'!F17=TRUE,'Mar 2027'!F17="x",'Mar 2027'!F17="X"),1,0))</f>
        <v/>
      </c>
      <c r="N160" s="345">
        <f>IF($A160="","",IF(OR('Mar 2027'!F18=TRUE,'Mar 2027'!F18="x",'Mar 2027'!F18="X"),1,0))</f>
        <v/>
      </c>
      <c r="O160" s="345">
        <f>IF($A160="","",IF(OR('Mar 2027'!F20=TRUE,'Mar 2027'!F20="x",'Mar 2027'!F20="X"),1,0))</f>
        <v/>
      </c>
      <c r="P160" s="345">
        <f>IF($A160="","",IF(OR('Mar 2027'!F21=TRUE,'Mar 2027'!F21="x",'Mar 2027'!F21="X"),1,0))</f>
        <v/>
      </c>
      <c r="Q160" s="345">
        <f>IF($A160="","",IF(OR('Mar 2027'!F22=TRUE,'Mar 2027'!F22="x",'Mar 2027'!F22="X"),1,0))</f>
        <v/>
      </c>
      <c r="R160" s="345">
        <f>IF($A160="","",IF(OR('Mar 2027'!F23=TRUE,'Mar 2027'!F23="x",'Mar 2027'!F23="X"),1,0))</f>
        <v/>
      </c>
      <c r="S160" s="345">
        <f>IF($A160="","",IF(OR('Mar 2027'!F24=TRUE,'Mar 2027'!F24="x",'Mar 2027'!F24="X"),1,0))</f>
        <v/>
      </c>
      <c r="T160" s="345">
        <f>IF($A160="","",IF(OR('Mar 2027'!F25=TRUE,'Mar 2027'!F25="x",'Mar 2027'!F25="X"),1,0))</f>
        <v/>
      </c>
      <c r="U160" s="345">
        <f>IF($A160="","",IF(OR('Mar 2027'!F26=TRUE,'Mar 2027'!F26="x",'Mar 2027'!F26="X"),1,0))</f>
        <v/>
      </c>
      <c r="V160" s="345">
        <f>IF($A160="","",IF(OR('Mar 2027'!F27=TRUE,'Mar 2027'!F27="x",'Mar 2027'!F27="X"),1,0))</f>
        <v/>
      </c>
      <c r="W160" s="345">
        <f>IF($A160="","",IF(OR('Mar 2027'!F28=TRUE,'Mar 2027'!F28="x",'Mar 2027'!F28="X"),1,0))</f>
        <v/>
      </c>
      <c r="X160" s="345">
        <f>IF($A160="","",IF(OR('Mar 2027'!F29=TRUE,'Mar 2027'!F29="x",'Mar 2027'!F29="X"),1,0))</f>
        <v/>
      </c>
      <c r="Y160" s="345">
        <f>IF($A160="","",IF(OR('Mar 2027'!F30=TRUE,'Mar 2027'!F30="x",'Mar 2027'!F30="X"),1,0))</f>
        <v/>
      </c>
      <c r="Z160" s="345">
        <f>IF($A160="","",IF(OR('Mar 2027'!F31=TRUE,'Mar 2027'!F31="x",'Mar 2027'!F31="X"),1,0))</f>
        <v/>
      </c>
      <c r="AA160" s="345">
        <f>IF($A160="","",IF(OR('Mar 2027'!F32=TRUE,'Mar 2027'!F32="x",'Mar 2027'!F32="X"),1,0))</f>
        <v/>
      </c>
      <c r="AB160" s="345">
        <f>IF($A160="","",IF(OR('Mar 2027'!F34=TRUE,'Mar 2027'!F34="x",'Mar 2027'!F34="X"),1,0))</f>
        <v/>
      </c>
      <c r="AC160" s="345">
        <f>IF($A160="","",IF(OR('Mar 2027'!F35=TRUE,'Mar 2027'!F35="x",'Mar 2027'!F35="X"),1,0))</f>
        <v/>
      </c>
      <c r="AD160" s="345">
        <f>IF($A160="","",IF(OR('Mar 2027'!F36=TRUE,'Mar 2027'!F36="x",'Mar 2027'!F36="X"),1,0))</f>
        <v/>
      </c>
      <c r="AE160" s="345">
        <f>IF($A160="","",IF(OR('Mar 2027'!F37=TRUE,'Mar 2027'!F37="x",'Mar 2027'!F37="X"),1,0))</f>
        <v/>
      </c>
      <c r="AF160" s="345">
        <f>IF($A160="","",IF('Mar 2027'!F59="","",'Mar 2027'!F59))</f>
        <v/>
      </c>
      <c r="AG160" s="345">
        <f>IF($A160="","",IF('Mar 2027'!F60="","",'Mar 2027'!F60))</f>
        <v/>
      </c>
      <c r="AH160" s="345">
        <f>IF($A160="","",IF('Mar 2027'!F61="","",'Mar 2027'!F61))</f>
        <v/>
      </c>
      <c r="AI160" s="345">
        <f>IF($A160="","",IF('Mar 2027'!F62="","",'Mar 2027'!F62))</f>
        <v/>
      </c>
      <c r="AJ160" s="345">
        <f>IF($A160="","",IF('Mar 2027'!F63="","",'Mar 2027'!F63))</f>
        <v/>
      </c>
      <c r="AK160" s="345">
        <f>IF($A160="","",IF('Mar 2027'!F64="","",'Mar 2027'!F64))</f>
        <v/>
      </c>
      <c r="AL160" s="345">
        <f>IF($A160="","",IF('Mar 2027'!F65="","",'Mar 2027'!F65))</f>
        <v/>
      </c>
      <c r="AM160" s="345">
        <f>IF($A160="","",IF('Mar 2027'!F66="","",'Mar 2027'!F66))</f>
        <v/>
      </c>
      <c r="AN160" s="345">
        <f>IF($A160="","",IF('Mar 2027'!F67="","",'Mar 2027'!F67))</f>
        <v/>
      </c>
      <c r="AO160" s="345">
        <f>IF($A160="",0,IF(AND($A160&gt;=TrackStart,$A160&lt;=TODAY()),1,0))</f>
        <v/>
      </c>
      <c r="AP160" s="345">
        <f>IF($A160="",0,IF(SUM(F160:AE160)+COUNT(AF160:AN160)&gt;0,1,0))</f>
        <v/>
      </c>
      <c r="AQ160" s="345">
        <f>IF($A160="","",INT(($A160-TrackStart)/7)+1)</f>
        <v/>
      </c>
      <c r="AR160" s="345">
        <f>IF($A160="","",IF(AQ160&lt;=1,Steps1,IF(AQ160=2,Steps2,Steps3)))</f>
        <v/>
      </c>
      <c r="AS160" s="345">
        <f>IF($A160="",0,IF(ISNUMBER(SEARCH(TEXT(D160,"0"),WorkDays&amp;"")),1,0))</f>
        <v/>
      </c>
      <c r="AT160" s="345">
        <f>IF($A160="",0,IF(ISNUMBER(SEARCH(TEXT(D160,"0"),StrDays&amp;"")),1,0))</f>
        <v/>
      </c>
      <c r="AU160" s="345">
        <f>IF($A160="",0,IF(ISNUMBER(AK160),IF(AK160&gt;=SleepMin,1,0),N160))</f>
        <v/>
      </c>
      <c r="AV160" s="345">
        <f>IF($A160="",0,MAX(I160,O160,S160,AC160))</f>
        <v/>
      </c>
      <c r="AW160" s="345">
        <f>IF($A160="",0,IF(ISNUMBER(AH160),IF(AH160&gt;=ProtHit,1,0),0))</f>
        <v/>
      </c>
      <c r="AX160" s="345">
        <f>IF($A160="",0,IF(ISNUMBER(AI160),IF(AI160&gt;=WaterHit,1,0),0))</f>
        <v/>
      </c>
      <c r="AY160" s="345">
        <f>IF($A160="",0,IF(ISNUMBER(AG160),IF(AG160&gt;=AR160,1,0),0))</f>
        <v/>
      </c>
      <c r="AZ160" s="345">
        <f>IF($A160="",0,G160)</f>
        <v/>
      </c>
      <c r="BA160" s="345">
        <f>IF($A160="",0,J160)</f>
        <v/>
      </c>
      <c r="BB160" s="345">
        <f>IF($A160="",0,K160)</f>
        <v/>
      </c>
      <c r="BC160" s="345">
        <f>IF($A160="",0,MAX(L160,AE160))</f>
        <v/>
      </c>
      <c r="BD160" s="344">
        <f>IF($A160="","",(AU160+AV160+AW160+AX160+AY160+AZ160+BB160+BC160+IF(AS160=1,BA160,0))/(8+AS160))</f>
        <v/>
      </c>
      <c r="BE160" s="344">
        <f>IF($A160="","",(IF(ISNUMBER(AI160),IF(AI160&gt;=WaterMVD,1,0),0)+AV160+IF(ISNUMBER(AH160),IF(AH160&gt;=ProtMVD,1,0),0)+MAX(H160,AD160)+AZ160+BB160+AU160)/7)</f>
        <v/>
      </c>
      <c r="BF160" s="344">
        <f>IF(AO160=0,"",IF(E160="S","",IF(AND(AP160=0,$A160=TODAY()),"",IF(E160="M",BE160,BD160))))</f>
        <v/>
      </c>
      <c r="BG160" s="344">
        <f>IF(AO160=0,"",IFERROR(AVERAGEIFS(Data!$BF$4:$BF$375,Data!$A$4:$A$375,"&gt;"&amp;($A160-7),Data!$A$4:$A$375,"&lt;="&amp;$A160),""))</f>
        <v/>
      </c>
      <c r="BH160" s="344">
        <f>IF(AO160=0,"",IFERROR(AVERAGEIFS(Data!$BF$4:$BF$375,Data!$A$4:$A$375,"&gt;"&amp;($A160-30),Data!$A$4:$A$375,"&lt;="&amp;$A160),""))</f>
        <v/>
      </c>
      <c r="BI160" s="359">
        <f>IF($A160="","",IFERROR(AVERAGEIFS(Data!$AF$4:$AF$375,Data!$A$4:$A$375,"&gt;"&amp;($A160-7),Data!$A$4:$A$375,"&lt;="&amp;$A160,Data!$AF$4:$AF$375,"&gt;0"),""))</f>
        <v/>
      </c>
      <c r="BJ160" s="345">
        <f>IF($A160="","",F160+G160+H160+I160+J160+K160+L160+M160+N160-IF(AS160=1,0,J160))</f>
        <v/>
      </c>
      <c r="BK160" s="345">
        <f>IF($A160="","",8+AS160)</f>
        <v/>
      </c>
      <c r="BL160" s="345">
        <f>IF(ISNUMBER(BF160),BF160,NA())</f>
        <v/>
      </c>
      <c r="BM160" s="345">
        <f>IF(ISNUMBER(AF160),AF160,NA())</f>
        <v/>
      </c>
      <c r="BN160" s="345">
        <f>IF(ISNUMBER(BI160),BI160,NA())</f>
        <v/>
      </c>
      <c r="BO160" s="345">
        <f>IF(ISNUMBER(AL160),AL160,NA())</f>
        <v/>
      </c>
      <c r="BP160" s="345">
        <f>IF(ISNUMBER(AM160),AM160,NA())</f>
        <v/>
      </c>
      <c r="BQ160" s="345">
        <f>IF(ISNUMBER(AN160),AN160,NA())</f>
        <v/>
      </c>
    </row>
    <row r="161">
      <c r="A161" s="358">
        <f>IF('Mar 2027'!G7="","",'Mar 2027'!G7)</f>
        <v/>
      </c>
      <c r="B161" s="345" t="n">
        <v>6</v>
      </c>
      <c r="C161" s="345">
        <f>IF($A161="","",3)</f>
        <v/>
      </c>
      <c r="D161" s="345">
        <f>IF($A161="","",WEEKDAY($A161,2))</f>
        <v/>
      </c>
      <c r="E161" s="345">
        <f>IF($A161="","",UPPER(TRIM('Mar 2027'!G8)))</f>
        <v/>
      </c>
      <c r="F161" s="345">
        <f>IF($A161="","",IF(OR('Mar 2027'!G10=TRUE,'Mar 2027'!G10="x",'Mar 2027'!G10="X"),1,0))</f>
        <v/>
      </c>
      <c r="G161" s="345">
        <f>IF($A161="","",IF(OR('Mar 2027'!G11=TRUE,'Mar 2027'!G11="x",'Mar 2027'!G11="X"),1,0))</f>
        <v/>
      </c>
      <c r="H161" s="345">
        <f>IF($A161="","",IF(OR('Mar 2027'!G12=TRUE,'Mar 2027'!G12="x",'Mar 2027'!G12="X"),1,0))</f>
        <v/>
      </c>
      <c r="I161" s="345">
        <f>IF($A161="","",IF(OR('Mar 2027'!G13=TRUE,'Mar 2027'!G13="x",'Mar 2027'!G13="X"),1,0))</f>
        <v/>
      </c>
      <c r="J161" s="345">
        <f>IF($A161="","",IF(OR('Mar 2027'!G14=TRUE,'Mar 2027'!G14="x",'Mar 2027'!G14="X"),1,0))</f>
        <v/>
      </c>
      <c r="K161" s="345">
        <f>IF($A161="","",IF(OR('Mar 2027'!G15=TRUE,'Mar 2027'!G15="x",'Mar 2027'!G15="X"),1,0))</f>
        <v/>
      </c>
      <c r="L161" s="345">
        <f>IF($A161="","",IF(OR('Mar 2027'!G16=TRUE,'Mar 2027'!G16="x",'Mar 2027'!G16="X"),1,0))</f>
        <v/>
      </c>
      <c r="M161" s="345">
        <f>IF($A161="","",IF(OR('Mar 2027'!G17=TRUE,'Mar 2027'!G17="x",'Mar 2027'!G17="X"),1,0))</f>
        <v/>
      </c>
      <c r="N161" s="345">
        <f>IF($A161="","",IF(OR('Mar 2027'!G18=TRUE,'Mar 2027'!G18="x",'Mar 2027'!G18="X"),1,0))</f>
        <v/>
      </c>
      <c r="O161" s="345">
        <f>IF($A161="","",IF(OR('Mar 2027'!G20=TRUE,'Mar 2027'!G20="x",'Mar 2027'!G20="X"),1,0))</f>
        <v/>
      </c>
      <c r="P161" s="345">
        <f>IF($A161="","",IF(OR('Mar 2027'!G21=TRUE,'Mar 2027'!G21="x",'Mar 2027'!G21="X"),1,0))</f>
        <v/>
      </c>
      <c r="Q161" s="345">
        <f>IF($A161="","",IF(OR('Mar 2027'!G22=TRUE,'Mar 2027'!G22="x",'Mar 2027'!G22="X"),1,0))</f>
        <v/>
      </c>
      <c r="R161" s="345">
        <f>IF($A161="","",IF(OR('Mar 2027'!G23=TRUE,'Mar 2027'!G23="x",'Mar 2027'!G23="X"),1,0))</f>
        <v/>
      </c>
      <c r="S161" s="345">
        <f>IF($A161="","",IF(OR('Mar 2027'!G24=TRUE,'Mar 2027'!G24="x",'Mar 2027'!G24="X"),1,0))</f>
        <v/>
      </c>
      <c r="T161" s="345">
        <f>IF($A161="","",IF(OR('Mar 2027'!G25=TRUE,'Mar 2027'!G25="x",'Mar 2027'!G25="X"),1,0))</f>
        <v/>
      </c>
      <c r="U161" s="345">
        <f>IF($A161="","",IF(OR('Mar 2027'!G26=TRUE,'Mar 2027'!G26="x",'Mar 2027'!G26="X"),1,0))</f>
        <v/>
      </c>
      <c r="V161" s="345">
        <f>IF($A161="","",IF(OR('Mar 2027'!G27=TRUE,'Mar 2027'!G27="x",'Mar 2027'!G27="X"),1,0))</f>
        <v/>
      </c>
      <c r="W161" s="345">
        <f>IF($A161="","",IF(OR('Mar 2027'!G28=TRUE,'Mar 2027'!G28="x",'Mar 2027'!G28="X"),1,0))</f>
        <v/>
      </c>
      <c r="X161" s="345">
        <f>IF($A161="","",IF(OR('Mar 2027'!G29=TRUE,'Mar 2027'!G29="x",'Mar 2027'!G29="X"),1,0))</f>
        <v/>
      </c>
      <c r="Y161" s="345">
        <f>IF($A161="","",IF(OR('Mar 2027'!G30=TRUE,'Mar 2027'!G30="x",'Mar 2027'!G30="X"),1,0))</f>
        <v/>
      </c>
      <c r="Z161" s="345">
        <f>IF($A161="","",IF(OR('Mar 2027'!G31=TRUE,'Mar 2027'!G31="x",'Mar 2027'!G31="X"),1,0))</f>
        <v/>
      </c>
      <c r="AA161" s="345">
        <f>IF($A161="","",IF(OR('Mar 2027'!G32=TRUE,'Mar 2027'!G32="x",'Mar 2027'!G32="X"),1,0))</f>
        <v/>
      </c>
      <c r="AB161" s="345">
        <f>IF($A161="","",IF(OR('Mar 2027'!G34=TRUE,'Mar 2027'!G34="x",'Mar 2027'!G34="X"),1,0))</f>
        <v/>
      </c>
      <c r="AC161" s="345">
        <f>IF($A161="","",IF(OR('Mar 2027'!G35=TRUE,'Mar 2027'!G35="x",'Mar 2027'!G35="X"),1,0))</f>
        <v/>
      </c>
      <c r="AD161" s="345">
        <f>IF($A161="","",IF(OR('Mar 2027'!G36=TRUE,'Mar 2027'!G36="x",'Mar 2027'!G36="X"),1,0))</f>
        <v/>
      </c>
      <c r="AE161" s="345">
        <f>IF($A161="","",IF(OR('Mar 2027'!G37=TRUE,'Mar 2027'!G37="x",'Mar 2027'!G37="X"),1,0))</f>
        <v/>
      </c>
      <c r="AF161" s="345">
        <f>IF($A161="","",IF('Mar 2027'!G59="","",'Mar 2027'!G59))</f>
        <v/>
      </c>
      <c r="AG161" s="345">
        <f>IF($A161="","",IF('Mar 2027'!G60="","",'Mar 2027'!G60))</f>
        <v/>
      </c>
      <c r="AH161" s="345">
        <f>IF($A161="","",IF('Mar 2027'!G61="","",'Mar 2027'!G61))</f>
        <v/>
      </c>
      <c r="AI161" s="345">
        <f>IF($A161="","",IF('Mar 2027'!G62="","",'Mar 2027'!G62))</f>
        <v/>
      </c>
      <c r="AJ161" s="345">
        <f>IF($A161="","",IF('Mar 2027'!G63="","",'Mar 2027'!G63))</f>
        <v/>
      </c>
      <c r="AK161" s="345">
        <f>IF($A161="","",IF('Mar 2027'!G64="","",'Mar 2027'!G64))</f>
        <v/>
      </c>
      <c r="AL161" s="345">
        <f>IF($A161="","",IF('Mar 2027'!G65="","",'Mar 2027'!G65))</f>
        <v/>
      </c>
      <c r="AM161" s="345">
        <f>IF($A161="","",IF('Mar 2027'!G66="","",'Mar 2027'!G66))</f>
        <v/>
      </c>
      <c r="AN161" s="345">
        <f>IF($A161="","",IF('Mar 2027'!G67="","",'Mar 2027'!G67))</f>
        <v/>
      </c>
      <c r="AO161" s="345">
        <f>IF($A161="",0,IF(AND($A161&gt;=TrackStart,$A161&lt;=TODAY()),1,0))</f>
        <v/>
      </c>
      <c r="AP161" s="345">
        <f>IF($A161="",0,IF(SUM(F161:AE161)+COUNT(AF161:AN161)&gt;0,1,0))</f>
        <v/>
      </c>
      <c r="AQ161" s="345">
        <f>IF($A161="","",INT(($A161-TrackStart)/7)+1)</f>
        <v/>
      </c>
      <c r="AR161" s="345">
        <f>IF($A161="","",IF(AQ161&lt;=1,Steps1,IF(AQ161=2,Steps2,Steps3)))</f>
        <v/>
      </c>
      <c r="AS161" s="345">
        <f>IF($A161="",0,IF(ISNUMBER(SEARCH(TEXT(D161,"0"),WorkDays&amp;"")),1,0))</f>
        <v/>
      </c>
      <c r="AT161" s="345">
        <f>IF($A161="",0,IF(ISNUMBER(SEARCH(TEXT(D161,"0"),StrDays&amp;"")),1,0))</f>
        <v/>
      </c>
      <c r="AU161" s="345">
        <f>IF($A161="",0,IF(ISNUMBER(AK161),IF(AK161&gt;=SleepMin,1,0),N161))</f>
        <v/>
      </c>
      <c r="AV161" s="345">
        <f>IF($A161="",0,MAX(I161,O161,S161,AC161))</f>
        <v/>
      </c>
      <c r="AW161" s="345">
        <f>IF($A161="",0,IF(ISNUMBER(AH161),IF(AH161&gt;=ProtHit,1,0),0))</f>
        <v/>
      </c>
      <c r="AX161" s="345">
        <f>IF($A161="",0,IF(ISNUMBER(AI161),IF(AI161&gt;=WaterHit,1,0),0))</f>
        <v/>
      </c>
      <c r="AY161" s="345">
        <f>IF($A161="",0,IF(ISNUMBER(AG161),IF(AG161&gt;=AR161,1,0),0))</f>
        <v/>
      </c>
      <c r="AZ161" s="345">
        <f>IF($A161="",0,G161)</f>
        <v/>
      </c>
      <c r="BA161" s="345">
        <f>IF($A161="",0,J161)</f>
        <v/>
      </c>
      <c r="BB161" s="345">
        <f>IF($A161="",0,K161)</f>
        <v/>
      </c>
      <c r="BC161" s="345">
        <f>IF($A161="",0,MAX(L161,AE161))</f>
        <v/>
      </c>
      <c r="BD161" s="344">
        <f>IF($A161="","",(AU161+AV161+AW161+AX161+AY161+AZ161+BB161+BC161+IF(AS161=1,BA161,0))/(8+AS161))</f>
        <v/>
      </c>
      <c r="BE161" s="344">
        <f>IF($A161="","",(IF(ISNUMBER(AI161),IF(AI161&gt;=WaterMVD,1,0),0)+AV161+IF(ISNUMBER(AH161),IF(AH161&gt;=ProtMVD,1,0),0)+MAX(H161,AD161)+AZ161+BB161+AU161)/7)</f>
        <v/>
      </c>
      <c r="BF161" s="344">
        <f>IF(AO161=0,"",IF(E161="S","",IF(AND(AP161=0,$A161=TODAY()),"",IF(E161="M",BE161,BD161))))</f>
        <v/>
      </c>
      <c r="BG161" s="344">
        <f>IF(AO161=0,"",IFERROR(AVERAGEIFS(Data!$BF$4:$BF$375,Data!$A$4:$A$375,"&gt;"&amp;($A161-7),Data!$A$4:$A$375,"&lt;="&amp;$A161),""))</f>
        <v/>
      </c>
      <c r="BH161" s="344">
        <f>IF(AO161=0,"",IFERROR(AVERAGEIFS(Data!$BF$4:$BF$375,Data!$A$4:$A$375,"&gt;"&amp;($A161-30),Data!$A$4:$A$375,"&lt;="&amp;$A161),""))</f>
        <v/>
      </c>
      <c r="BI161" s="359">
        <f>IF($A161="","",IFERROR(AVERAGEIFS(Data!$AF$4:$AF$375,Data!$A$4:$A$375,"&gt;"&amp;($A161-7),Data!$A$4:$A$375,"&lt;="&amp;$A161,Data!$AF$4:$AF$375,"&gt;0"),""))</f>
        <v/>
      </c>
      <c r="BJ161" s="345">
        <f>IF($A161="","",F161+G161+H161+I161+J161+K161+L161+M161+N161-IF(AS161=1,0,J161))</f>
        <v/>
      </c>
      <c r="BK161" s="345">
        <f>IF($A161="","",8+AS161)</f>
        <v/>
      </c>
      <c r="BL161" s="345">
        <f>IF(ISNUMBER(BF161),BF161,NA())</f>
        <v/>
      </c>
      <c r="BM161" s="345">
        <f>IF(ISNUMBER(AF161),AF161,NA())</f>
        <v/>
      </c>
      <c r="BN161" s="345">
        <f>IF(ISNUMBER(BI161),BI161,NA())</f>
        <v/>
      </c>
      <c r="BO161" s="345">
        <f>IF(ISNUMBER(AL161),AL161,NA())</f>
        <v/>
      </c>
      <c r="BP161" s="345">
        <f>IF(ISNUMBER(AM161),AM161,NA())</f>
        <v/>
      </c>
      <c r="BQ161" s="345">
        <f>IF(ISNUMBER(AN161),AN161,NA())</f>
        <v/>
      </c>
    </row>
    <row r="162">
      <c r="A162" s="358">
        <f>IF('Mar 2027'!H7="","",'Mar 2027'!H7)</f>
        <v/>
      </c>
      <c r="B162" s="345" t="n">
        <v>6</v>
      </c>
      <c r="C162" s="345">
        <f>IF($A162="","",4)</f>
        <v/>
      </c>
      <c r="D162" s="345">
        <f>IF($A162="","",WEEKDAY($A162,2))</f>
        <v/>
      </c>
      <c r="E162" s="345">
        <f>IF($A162="","",UPPER(TRIM('Mar 2027'!H8)))</f>
        <v/>
      </c>
      <c r="F162" s="345">
        <f>IF($A162="","",IF(OR('Mar 2027'!H10=TRUE,'Mar 2027'!H10="x",'Mar 2027'!H10="X"),1,0))</f>
        <v/>
      </c>
      <c r="G162" s="345">
        <f>IF($A162="","",IF(OR('Mar 2027'!H11=TRUE,'Mar 2027'!H11="x",'Mar 2027'!H11="X"),1,0))</f>
        <v/>
      </c>
      <c r="H162" s="345">
        <f>IF($A162="","",IF(OR('Mar 2027'!H12=TRUE,'Mar 2027'!H12="x",'Mar 2027'!H12="X"),1,0))</f>
        <v/>
      </c>
      <c r="I162" s="345">
        <f>IF($A162="","",IF(OR('Mar 2027'!H13=TRUE,'Mar 2027'!H13="x",'Mar 2027'!H13="X"),1,0))</f>
        <v/>
      </c>
      <c r="J162" s="345">
        <f>IF($A162="","",IF(OR('Mar 2027'!H14=TRUE,'Mar 2027'!H14="x",'Mar 2027'!H14="X"),1,0))</f>
        <v/>
      </c>
      <c r="K162" s="345">
        <f>IF($A162="","",IF(OR('Mar 2027'!H15=TRUE,'Mar 2027'!H15="x",'Mar 2027'!H15="X"),1,0))</f>
        <v/>
      </c>
      <c r="L162" s="345">
        <f>IF($A162="","",IF(OR('Mar 2027'!H16=TRUE,'Mar 2027'!H16="x",'Mar 2027'!H16="X"),1,0))</f>
        <v/>
      </c>
      <c r="M162" s="345">
        <f>IF($A162="","",IF(OR('Mar 2027'!H17=TRUE,'Mar 2027'!H17="x",'Mar 2027'!H17="X"),1,0))</f>
        <v/>
      </c>
      <c r="N162" s="345">
        <f>IF($A162="","",IF(OR('Mar 2027'!H18=TRUE,'Mar 2027'!H18="x",'Mar 2027'!H18="X"),1,0))</f>
        <v/>
      </c>
      <c r="O162" s="345">
        <f>IF($A162="","",IF(OR('Mar 2027'!H20=TRUE,'Mar 2027'!H20="x",'Mar 2027'!H20="X"),1,0))</f>
        <v/>
      </c>
      <c r="P162" s="345">
        <f>IF($A162="","",IF(OR('Mar 2027'!H21=TRUE,'Mar 2027'!H21="x",'Mar 2027'!H21="X"),1,0))</f>
        <v/>
      </c>
      <c r="Q162" s="345">
        <f>IF($A162="","",IF(OR('Mar 2027'!H22=TRUE,'Mar 2027'!H22="x",'Mar 2027'!H22="X"),1,0))</f>
        <v/>
      </c>
      <c r="R162" s="345">
        <f>IF($A162="","",IF(OR('Mar 2027'!H23=TRUE,'Mar 2027'!H23="x",'Mar 2027'!H23="X"),1,0))</f>
        <v/>
      </c>
      <c r="S162" s="345">
        <f>IF($A162="","",IF(OR('Mar 2027'!H24=TRUE,'Mar 2027'!H24="x",'Mar 2027'!H24="X"),1,0))</f>
        <v/>
      </c>
      <c r="T162" s="345">
        <f>IF($A162="","",IF(OR('Mar 2027'!H25=TRUE,'Mar 2027'!H25="x",'Mar 2027'!H25="X"),1,0))</f>
        <v/>
      </c>
      <c r="U162" s="345">
        <f>IF($A162="","",IF(OR('Mar 2027'!H26=TRUE,'Mar 2027'!H26="x",'Mar 2027'!H26="X"),1,0))</f>
        <v/>
      </c>
      <c r="V162" s="345">
        <f>IF($A162="","",IF(OR('Mar 2027'!H27=TRUE,'Mar 2027'!H27="x",'Mar 2027'!H27="X"),1,0))</f>
        <v/>
      </c>
      <c r="W162" s="345">
        <f>IF($A162="","",IF(OR('Mar 2027'!H28=TRUE,'Mar 2027'!H28="x",'Mar 2027'!H28="X"),1,0))</f>
        <v/>
      </c>
      <c r="X162" s="345">
        <f>IF($A162="","",IF(OR('Mar 2027'!H29=TRUE,'Mar 2027'!H29="x",'Mar 2027'!H29="X"),1,0))</f>
        <v/>
      </c>
      <c r="Y162" s="345">
        <f>IF($A162="","",IF(OR('Mar 2027'!H30=TRUE,'Mar 2027'!H30="x",'Mar 2027'!H30="X"),1,0))</f>
        <v/>
      </c>
      <c r="Z162" s="345">
        <f>IF($A162="","",IF(OR('Mar 2027'!H31=TRUE,'Mar 2027'!H31="x",'Mar 2027'!H31="X"),1,0))</f>
        <v/>
      </c>
      <c r="AA162" s="345">
        <f>IF($A162="","",IF(OR('Mar 2027'!H32=TRUE,'Mar 2027'!H32="x",'Mar 2027'!H32="X"),1,0))</f>
        <v/>
      </c>
      <c r="AB162" s="345">
        <f>IF($A162="","",IF(OR('Mar 2027'!H34=TRUE,'Mar 2027'!H34="x",'Mar 2027'!H34="X"),1,0))</f>
        <v/>
      </c>
      <c r="AC162" s="345">
        <f>IF($A162="","",IF(OR('Mar 2027'!H35=TRUE,'Mar 2027'!H35="x",'Mar 2027'!H35="X"),1,0))</f>
        <v/>
      </c>
      <c r="AD162" s="345">
        <f>IF($A162="","",IF(OR('Mar 2027'!H36=TRUE,'Mar 2027'!H36="x",'Mar 2027'!H36="X"),1,0))</f>
        <v/>
      </c>
      <c r="AE162" s="345">
        <f>IF($A162="","",IF(OR('Mar 2027'!H37=TRUE,'Mar 2027'!H37="x",'Mar 2027'!H37="X"),1,0))</f>
        <v/>
      </c>
      <c r="AF162" s="345">
        <f>IF($A162="","",IF('Mar 2027'!H59="","",'Mar 2027'!H59))</f>
        <v/>
      </c>
      <c r="AG162" s="345">
        <f>IF($A162="","",IF('Mar 2027'!H60="","",'Mar 2027'!H60))</f>
        <v/>
      </c>
      <c r="AH162" s="345">
        <f>IF($A162="","",IF('Mar 2027'!H61="","",'Mar 2027'!H61))</f>
        <v/>
      </c>
      <c r="AI162" s="345">
        <f>IF($A162="","",IF('Mar 2027'!H62="","",'Mar 2027'!H62))</f>
        <v/>
      </c>
      <c r="AJ162" s="345">
        <f>IF($A162="","",IF('Mar 2027'!H63="","",'Mar 2027'!H63))</f>
        <v/>
      </c>
      <c r="AK162" s="345">
        <f>IF($A162="","",IF('Mar 2027'!H64="","",'Mar 2027'!H64))</f>
        <v/>
      </c>
      <c r="AL162" s="345">
        <f>IF($A162="","",IF('Mar 2027'!H65="","",'Mar 2027'!H65))</f>
        <v/>
      </c>
      <c r="AM162" s="345">
        <f>IF($A162="","",IF('Mar 2027'!H66="","",'Mar 2027'!H66))</f>
        <v/>
      </c>
      <c r="AN162" s="345">
        <f>IF($A162="","",IF('Mar 2027'!H67="","",'Mar 2027'!H67))</f>
        <v/>
      </c>
      <c r="AO162" s="345">
        <f>IF($A162="",0,IF(AND($A162&gt;=TrackStart,$A162&lt;=TODAY()),1,0))</f>
        <v/>
      </c>
      <c r="AP162" s="345">
        <f>IF($A162="",0,IF(SUM(F162:AE162)+COUNT(AF162:AN162)&gt;0,1,0))</f>
        <v/>
      </c>
      <c r="AQ162" s="345">
        <f>IF($A162="","",INT(($A162-TrackStart)/7)+1)</f>
        <v/>
      </c>
      <c r="AR162" s="345">
        <f>IF($A162="","",IF(AQ162&lt;=1,Steps1,IF(AQ162=2,Steps2,Steps3)))</f>
        <v/>
      </c>
      <c r="AS162" s="345">
        <f>IF($A162="",0,IF(ISNUMBER(SEARCH(TEXT(D162,"0"),WorkDays&amp;"")),1,0))</f>
        <v/>
      </c>
      <c r="AT162" s="345">
        <f>IF($A162="",0,IF(ISNUMBER(SEARCH(TEXT(D162,"0"),StrDays&amp;"")),1,0))</f>
        <v/>
      </c>
      <c r="AU162" s="345">
        <f>IF($A162="",0,IF(ISNUMBER(AK162),IF(AK162&gt;=SleepMin,1,0),N162))</f>
        <v/>
      </c>
      <c r="AV162" s="345">
        <f>IF($A162="",0,MAX(I162,O162,S162,AC162))</f>
        <v/>
      </c>
      <c r="AW162" s="345">
        <f>IF($A162="",0,IF(ISNUMBER(AH162),IF(AH162&gt;=ProtHit,1,0),0))</f>
        <v/>
      </c>
      <c r="AX162" s="345">
        <f>IF($A162="",0,IF(ISNUMBER(AI162),IF(AI162&gt;=WaterHit,1,0),0))</f>
        <v/>
      </c>
      <c r="AY162" s="345">
        <f>IF($A162="",0,IF(ISNUMBER(AG162),IF(AG162&gt;=AR162,1,0),0))</f>
        <v/>
      </c>
      <c r="AZ162" s="345">
        <f>IF($A162="",0,G162)</f>
        <v/>
      </c>
      <c r="BA162" s="345">
        <f>IF($A162="",0,J162)</f>
        <v/>
      </c>
      <c r="BB162" s="345">
        <f>IF($A162="",0,K162)</f>
        <v/>
      </c>
      <c r="BC162" s="345">
        <f>IF($A162="",0,MAX(L162,AE162))</f>
        <v/>
      </c>
      <c r="BD162" s="344">
        <f>IF($A162="","",(AU162+AV162+AW162+AX162+AY162+AZ162+BB162+BC162+IF(AS162=1,BA162,0))/(8+AS162))</f>
        <v/>
      </c>
      <c r="BE162" s="344">
        <f>IF($A162="","",(IF(ISNUMBER(AI162),IF(AI162&gt;=WaterMVD,1,0),0)+AV162+IF(ISNUMBER(AH162),IF(AH162&gt;=ProtMVD,1,0),0)+MAX(H162,AD162)+AZ162+BB162+AU162)/7)</f>
        <v/>
      </c>
      <c r="BF162" s="344">
        <f>IF(AO162=0,"",IF(E162="S","",IF(AND(AP162=0,$A162=TODAY()),"",IF(E162="M",BE162,BD162))))</f>
        <v/>
      </c>
      <c r="BG162" s="344">
        <f>IF(AO162=0,"",IFERROR(AVERAGEIFS(Data!$BF$4:$BF$375,Data!$A$4:$A$375,"&gt;"&amp;($A162-7),Data!$A$4:$A$375,"&lt;="&amp;$A162),""))</f>
        <v/>
      </c>
      <c r="BH162" s="344">
        <f>IF(AO162=0,"",IFERROR(AVERAGEIFS(Data!$BF$4:$BF$375,Data!$A$4:$A$375,"&gt;"&amp;($A162-30),Data!$A$4:$A$375,"&lt;="&amp;$A162),""))</f>
        <v/>
      </c>
      <c r="BI162" s="359">
        <f>IF($A162="","",IFERROR(AVERAGEIFS(Data!$AF$4:$AF$375,Data!$A$4:$A$375,"&gt;"&amp;($A162-7),Data!$A$4:$A$375,"&lt;="&amp;$A162,Data!$AF$4:$AF$375,"&gt;0"),""))</f>
        <v/>
      </c>
      <c r="BJ162" s="345">
        <f>IF($A162="","",F162+G162+H162+I162+J162+K162+L162+M162+N162-IF(AS162=1,0,J162))</f>
        <v/>
      </c>
      <c r="BK162" s="345">
        <f>IF($A162="","",8+AS162)</f>
        <v/>
      </c>
      <c r="BL162" s="345">
        <f>IF(ISNUMBER(BF162),BF162,NA())</f>
        <v/>
      </c>
      <c r="BM162" s="345">
        <f>IF(ISNUMBER(AF162),AF162,NA())</f>
        <v/>
      </c>
      <c r="BN162" s="345">
        <f>IF(ISNUMBER(BI162),BI162,NA())</f>
        <v/>
      </c>
      <c r="BO162" s="345">
        <f>IF(ISNUMBER(AL162),AL162,NA())</f>
        <v/>
      </c>
      <c r="BP162" s="345">
        <f>IF(ISNUMBER(AM162),AM162,NA())</f>
        <v/>
      </c>
      <c r="BQ162" s="345">
        <f>IF(ISNUMBER(AN162),AN162,NA())</f>
        <v/>
      </c>
    </row>
    <row r="163">
      <c r="A163" s="358">
        <f>IF('Mar 2027'!I7="","",'Mar 2027'!I7)</f>
        <v/>
      </c>
      <c r="B163" s="345" t="n">
        <v>6</v>
      </c>
      <c r="C163" s="345">
        <f>IF($A163="","",5)</f>
        <v/>
      </c>
      <c r="D163" s="345">
        <f>IF($A163="","",WEEKDAY($A163,2))</f>
        <v/>
      </c>
      <c r="E163" s="345">
        <f>IF($A163="","",UPPER(TRIM('Mar 2027'!I8)))</f>
        <v/>
      </c>
      <c r="F163" s="345">
        <f>IF($A163="","",IF(OR('Mar 2027'!I10=TRUE,'Mar 2027'!I10="x",'Mar 2027'!I10="X"),1,0))</f>
        <v/>
      </c>
      <c r="G163" s="345">
        <f>IF($A163="","",IF(OR('Mar 2027'!I11=TRUE,'Mar 2027'!I11="x",'Mar 2027'!I11="X"),1,0))</f>
        <v/>
      </c>
      <c r="H163" s="345">
        <f>IF($A163="","",IF(OR('Mar 2027'!I12=TRUE,'Mar 2027'!I12="x",'Mar 2027'!I12="X"),1,0))</f>
        <v/>
      </c>
      <c r="I163" s="345">
        <f>IF($A163="","",IF(OR('Mar 2027'!I13=TRUE,'Mar 2027'!I13="x",'Mar 2027'!I13="X"),1,0))</f>
        <v/>
      </c>
      <c r="J163" s="345">
        <f>IF($A163="","",IF(OR('Mar 2027'!I14=TRUE,'Mar 2027'!I14="x",'Mar 2027'!I14="X"),1,0))</f>
        <v/>
      </c>
      <c r="K163" s="345">
        <f>IF($A163="","",IF(OR('Mar 2027'!I15=TRUE,'Mar 2027'!I15="x",'Mar 2027'!I15="X"),1,0))</f>
        <v/>
      </c>
      <c r="L163" s="345">
        <f>IF($A163="","",IF(OR('Mar 2027'!I16=TRUE,'Mar 2027'!I16="x",'Mar 2027'!I16="X"),1,0))</f>
        <v/>
      </c>
      <c r="M163" s="345">
        <f>IF($A163="","",IF(OR('Mar 2027'!I17=TRUE,'Mar 2027'!I17="x",'Mar 2027'!I17="X"),1,0))</f>
        <v/>
      </c>
      <c r="N163" s="345">
        <f>IF($A163="","",IF(OR('Mar 2027'!I18=TRUE,'Mar 2027'!I18="x",'Mar 2027'!I18="X"),1,0))</f>
        <v/>
      </c>
      <c r="O163" s="345">
        <f>IF($A163="","",IF(OR('Mar 2027'!I20=TRUE,'Mar 2027'!I20="x",'Mar 2027'!I20="X"),1,0))</f>
        <v/>
      </c>
      <c r="P163" s="345">
        <f>IF($A163="","",IF(OR('Mar 2027'!I21=TRUE,'Mar 2027'!I21="x",'Mar 2027'!I21="X"),1,0))</f>
        <v/>
      </c>
      <c r="Q163" s="345">
        <f>IF($A163="","",IF(OR('Mar 2027'!I22=TRUE,'Mar 2027'!I22="x",'Mar 2027'!I22="X"),1,0))</f>
        <v/>
      </c>
      <c r="R163" s="345">
        <f>IF($A163="","",IF(OR('Mar 2027'!I23=TRUE,'Mar 2027'!I23="x",'Mar 2027'!I23="X"),1,0))</f>
        <v/>
      </c>
      <c r="S163" s="345">
        <f>IF($A163="","",IF(OR('Mar 2027'!I24=TRUE,'Mar 2027'!I24="x",'Mar 2027'!I24="X"),1,0))</f>
        <v/>
      </c>
      <c r="T163" s="345">
        <f>IF($A163="","",IF(OR('Mar 2027'!I25=TRUE,'Mar 2027'!I25="x",'Mar 2027'!I25="X"),1,0))</f>
        <v/>
      </c>
      <c r="U163" s="345">
        <f>IF($A163="","",IF(OR('Mar 2027'!I26=TRUE,'Mar 2027'!I26="x",'Mar 2027'!I26="X"),1,0))</f>
        <v/>
      </c>
      <c r="V163" s="345">
        <f>IF($A163="","",IF(OR('Mar 2027'!I27=TRUE,'Mar 2027'!I27="x",'Mar 2027'!I27="X"),1,0))</f>
        <v/>
      </c>
      <c r="W163" s="345">
        <f>IF($A163="","",IF(OR('Mar 2027'!I28=TRUE,'Mar 2027'!I28="x",'Mar 2027'!I28="X"),1,0))</f>
        <v/>
      </c>
      <c r="X163" s="345">
        <f>IF($A163="","",IF(OR('Mar 2027'!I29=TRUE,'Mar 2027'!I29="x",'Mar 2027'!I29="X"),1,0))</f>
        <v/>
      </c>
      <c r="Y163" s="345">
        <f>IF($A163="","",IF(OR('Mar 2027'!I30=TRUE,'Mar 2027'!I30="x",'Mar 2027'!I30="X"),1,0))</f>
        <v/>
      </c>
      <c r="Z163" s="345">
        <f>IF($A163="","",IF(OR('Mar 2027'!I31=TRUE,'Mar 2027'!I31="x",'Mar 2027'!I31="X"),1,0))</f>
        <v/>
      </c>
      <c r="AA163" s="345">
        <f>IF($A163="","",IF(OR('Mar 2027'!I32=TRUE,'Mar 2027'!I32="x",'Mar 2027'!I32="X"),1,0))</f>
        <v/>
      </c>
      <c r="AB163" s="345">
        <f>IF($A163="","",IF(OR('Mar 2027'!I34=TRUE,'Mar 2027'!I34="x",'Mar 2027'!I34="X"),1,0))</f>
        <v/>
      </c>
      <c r="AC163" s="345">
        <f>IF($A163="","",IF(OR('Mar 2027'!I35=TRUE,'Mar 2027'!I35="x",'Mar 2027'!I35="X"),1,0))</f>
        <v/>
      </c>
      <c r="AD163" s="345">
        <f>IF($A163="","",IF(OR('Mar 2027'!I36=TRUE,'Mar 2027'!I36="x",'Mar 2027'!I36="X"),1,0))</f>
        <v/>
      </c>
      <c r="AE163" s="345">
        <f>IF($A163="","",IF(OR('Mar 2027'!I37=TRUE,'Mar 2027'!I37="x",'Mar 2027'!I37="X"),1,0))</f>
        <v/>
      </c>
      <c r="AF163" s="345">
        <f>IF($A163="","",IF('Mar 2027'!I59="","",'Mar 2027'!I59))</f>
        <v/>
      </c>
      <c r="AG163" s="345">
        <f>IF($A163="","",IF('Mar 2027'!I60="","",'Mar 2027'!I60))</f>
        <v/>
      </c>
      <c r="AH163" s="345">
        <f>IF($A163="","",IF('Mar 2027'!I61="","",'Mar 2027'!I61))</f>
        <v/>
      </c>
      <c r="AI163" s="345">
        <f>IF($A163="","",IF('Mar 2027'!I62="","",'Mar 2027'!I62))</f>
        <v/>
      </c>
      <c r="AJ163" s="345">
        <f>IF($A163="","",IF('Mar 2027'!I63="","",'Mar 2027'!I63))</f>
        <v/>
      </c>
      <c r="AK163" s="345">
        <f>IF($A163="","",IF('Mar 2027'!I64="","",'Mar 2027'!I64))</f>
        <v/>
      </c>
      <c r="AL163" s="345">
        <f>IF($A163="","",IF('Mar 2027'!I65="","",'Mar 2027'!I65))</f>
        <v/>
      </c>
      <c r="AM163" s="345">
        <f>IF($A163="","",IF('Mar 2027'!I66="","",'Mar 2027'!I66))</f>
        <v/>
      </c>
      <c r="AN163" s="345">
        <f>IF($A163="","",IF('Mar 2027'!I67="","",'Mar 2027'!I67))</f>
        <v/>
      </c>
      <c r="AO163" s="345">
        <f>IF($A163="",0,IF(AND($A163&gt;=TrackStart,$A163&lt;=TODAY()),1,0))</f>
        <v/>
      </c>
      <c r="AP163" s="345">
        <f>IF($A163="",0,IF(SUM(F163:AE163)+COUNT(AF163:AN163)&gt;0,1,0))</f>
        <v/>
      </c>
      <c r="AQ163" s="345">
        <f>IF($A163="","",INT(($A163-TrackStart)/7)+1)</f>
        <v/>
      </c>
      <c r="AR163" s="345">
        <f>IF($A163="","",IF(AQ163&lt;=1,Steps1,IF(AQ163=2,Steps2,Steps3)))</f>
        <v/>
      </c>
      <c r="AS163" s="345">
        <f>IF($A163="",0,IF(ISNUMBER(SEARCH(TEXT(D163,"0"),WorkDays&amp;"")),1,0))</f>
        <v/>
      </c>
      <c r="AT163" s="345">
        <f>IF($A163="",0,IF(ISNUMBER(SEARCH(TEXT(D163,"0"),StrDays&amp;"")),1,0))</f>
        <v/>
      </c>
      <c r="AU163" s="345">
        <f>IF($A163="",0,IF(ISNUMBER(AK163),IF(AK163&gt;=SleepMin,1,0),N163))</f>
        <v/>
      </c>
      <c r="AV163" s="345">
        <f>IF($A163="",0,MAX(I163,O163,S163,AC163))</f>
        <v/>
      </c>
      <c r="AW163" s="345">
        <f>IF($A163="",0,IF(ISNUMBER(AH163),IF(AH163&gt;=ProtHit,1,0),0))</f>
        <v/>
      </c>
      <c r="AX163" s="345">
        <f>IF($A163="",0,IF(ISNUMBER(AI163),IF(AI163&gt;=WaterHit,1,0),0))</f>
        <v/>
      </c>
      <c r="AY163" s="345">
        <f>IF($A163="",0,IF(ISNUMBER(AG163),IF(AG163&gt;=AR163,1,0),0))</f>
        <v/>
      </c>
      <c r="AZ163" s="345">
        <f>IF($A163="",0,G163)</f>
        <v/>
      </c>
      <c r="BA163" s="345">
        <f>IF($A163="",0,J163)</f>
        <v/>
      </c>
      <c r="BB163" s="345">
        <f>IF($A163="",0,K163)</f>
        <v/>
      </c>
      <c r="BC163" s="345">
        <f>IF($A163="",0,MAX(L163,AE163))</f>
        <v/>
      </c>
      <c r="BD163" s="344">
        <f>IF($A163="","",(AU163+AV163+AW163+AX163+AY163+AZ163+BB163+BC163+IF(AS163=1,BA163,0))/(8+AS163))</f>
        <v/>
      </c>
      <c r="BE163" s="344">
        <f>IF($A163="","",(IF(ISNUMBER(AI163),IF(AI163&gt;=WaterMVD,1,0),0)+AV163+IF(ISNUMBER(AH163),IF(AH163&gt;=ProtMVD,1,0),0)+MAX(H163,AD163)+AZ163+BB163+AU163)/7)</f>
        <v/>
      </c>
      <c r="BF163" s="344">
        <f>IF(AO163=0,"",IF(E163="S","",IF(AND(AP163=0,$A163=TODAY()),"",IF(E163="M",BE163,BD163))))</f>
        <v/>
      </c>
      <c r="BG163" s="344">
        <f>IF(AO163=0,"",IFERROR(AVERAGEIFS(Data!$BF$4:$BF$375,Data!$A$4:$A$375,"&gt;"&amp;($A163-7),Data!$A$4:$A$375,"&lt;="&amp;$A163),""))</f>
        <v/>
      </c>
      <c r="BH163" s="344">
        <f>IF(AO163=0,"",IFERROR(AVERAGEIFS(Data!$BF$4:$BF$375,Data!$A$4:$A$375,"&gt;"&amp;($A163-30),Data!$A$4:$A$375,"&lt;="&amp;$A163),""))</f>
        <v/>
      </c>
      <c r="BI163" s="359">
        <f>IF($A163="","",IFERROR(AVERAGEIFS(Data!$AF$4:$AF$375,Data!$A$4:$A$375,"&gt;"&amp;($A163-7),Data!$A$4:$A$375,"&lt;="&amp;$A163,Data!$AF$4:$AF$375,"&gt;0"),""))</f>
        <v/>
      </c>
      <c r="BJ163" s="345">
        <f>IF($A163="","",F163+G163+H163+I163+J163+K163+L163+M163+N163-IF(AS163=1,0,J163))</f>
        <v/>
      </c>
      <c r="BK163" s="345">
        <f>IF($A163="","",8+AS163)</f>
        <v/>
      </c>
      <c r="BL163" s="345">
        <f>IF(ISNUMBER(BF163),BF163,NA())</f>
        <v/>
      </c>
      <c r="BM163" s="345">
        <f>IF(ISNUMBER(AF163),AF163,NA())</f>
        <v/>
      </c>
      <c r="BN163" s="345">
        <f>IF(ISNUMBER(BI163),BI163,NA())</f>
        <v/>
      </c>
      <c r="BO163" s="345">
        <f>IF(ISNUMBER(AL163),AL163,NA())</f>
        <v/>
      </c>
      <c r="BP163" s="345">
        <f>IF(ISNUMBER(AM163),AM163,NA())</f>
        <v/>
      </c>
      <c r="BQ163" s="345">
        <f>IF(ISNUMBER(AN163),AN163,NA())</f>
        <v/>
      </c>
    </row>
    <row r="164">
      <c r="A164" s="358">
        <f>IF('Mar 2027'!J7="","",'Mar 2027'!J7)</f>
        <v/>
      </c>
      <c r="B164" s="345" t="n">
        <v>6</v>
      </c>
      <c r="C164" s="345">
        <f>IF($A164="","",6)</f>
        <v/>
      </c>
      <c r="D164" s="345">
        <f>IF($A164="","",WEEKDAY($A164,2))</f>
        <v/>
      </c>
      <c r="E164" s="345">
        <f>IF($A164="","",UPPER(TRIM('Mar 2027'!J8)))</f>
        <v/>
      </c>
      <c r="F164" s="345">
        <f>IF($A164="","",IF(OR('Mar 2027'!J10=TRUE,'Mar 2027'!J10="x",'Mar 2027'!J10="X"),1,0))</f>
        <v/>
      </c>
      <c r="G164" s="345">
        <f>IF($A164="","",IF(OR('Mar 2027'!J11=TRUE,'Mar 2027'!J11="x",'Mar 2027'!J11="X"),1,0))</f>
        <v/>
      </c>
      <c r="H164" s="345">
        <f>IF($A164="","",IF(OR('Mar 2027'!J12=TRUE,'Mar 2027'!J12="x",'Mar 2027'!J12="X"),1,0))</f>
        <v/>
      </c>
      <c r="I164" s="345">
        <f>IF($A164="","",IF(OR('Mar 2027'!J13=TRUE,'Mar 2027'!J13="x",'Mar 2027'!J13="X"),1,0))</f>
        <v/>
      </c>
      <c r="J164" s="345">
        <f>IF($A164="","",IF(OR('Mar 2027'!J14=TRUE,'Mar 2027'!J14="x",'Mar 2027'!J14="X"),1,0))</f>
        <v/>
      </c>
      <c r="K164" s="345">
        <f>IF($A164="","",IF(OR('Mar 2027'!J15=TRUE,'Mar 2027'!J15="x",'Mar 2027'!J15="X"),1,0))</f>
        <v/>
      </c>
      <c r="L164" s="345">
        <f>IF($A164="","",IF(OR('Mar 2027'!J16=TRUE,'Mar 2027'!J16="x",'Mar 2027'!J16="X"),1,0))</f>
        <v/>
      </c>
      <c r="M164" s="345">
        <f>IF($A164="","",IF(OR('Mar 2027'!J17=TRUE,'Mar 2027'!J17="x",'Mar 2027'!J17="X"),1,0))</f>
        <v/>
      </c>
      <c r="N164" s="345">
        <f>IF($A164="","",IF(OR('Mar 2027'!J18=TRUE,'Mar 2027'!J18="x",'Mar 2027'!J18="X"),1,0))</f>
        <v/>
      </c>
      <c r="O164" s="345">
        <f>IF($A164="","",IF(OR('Mar 2027'!J20=TRUE,'Mar 2027'!J20="x",'Mar 2027'!J20="X"),1,0))</f>
        <v/>
      </c>
      <c r="P164" s="345">
        <f>IF($A164="","",IF(OR('Mar 2027'!J21=TRUE,'Mar 2027'!J21="x",'Mar 2027'!J21="X"),1,0))</f>
        <v/>
      </c>
      <c r="Q164" s="345">
        <f>IF($A164="","",IF(OR('Mar 2027'!J22=TRUE,'Mar 2027'!J22="x",'Mar 2027'!J22="X"),1,0))</f>
        <v/>
      </c>
      <c r="R164" s="345">
        <f>IF($A164="","",IF(OR('Mar 2027'!J23=TRUE,'Mar 2027'!J23="x",'Mar 2027'!J23="X"),1,0))</f>
        <v/>
      </c>
      <c r="S164" s="345">
        <f>IF($A164="","",IF(OR('Mar 2027'!J24=TRUE,'Mar 2027'!J24="x",'Mar 2027'!J24="X"),1,0))</f>
        <v/>
      </c>
      <c r="T164" s="345">
        <f>IF($A164="","",IF(OR('Mar 2027'!J25=TRUE,'Mar 2027'!J25="x",'Mar 2027'!J25="X"),1,0))</f>
        <v/>
      </c>
      <c r="U164" s="345">
        <f>IF($A164="","",IF(OR('Mar 2027'!J26=TRUE,'Mar 2027'!J26="x",'Mar 2027'!J26="X"),1,0))</f>
        <v/>
      </c>
      <c r="V164" s="345">
        <f>IF($A164="","",IF(OR('Mar 2027'!J27=TRUE,'Mar 2027'!J27="x",'Mar 2027'!J27="X"),1,0))</f>
        <v/>
      </c>
      <c r="W164" s="345">
        <f>IF($A164="","",IF(OR('Mar 2027'!J28=TRUE,'Mar 2027'!J28="x",'Mar 2027'!J28="X"),1,0))</f>
        <v/>
      </c>
      <c r="X164" s="345">
        <f>IF($A164="","",IF(OR('Mar 2027'!J29=TRUE,'Mar 2027'!J29="x",'Mar 2027'!J29="X"),1,0))</f>
        <v/>
      </c>
      <c r="Y164" s="345">
        <f>IF($A164="","",IF(OR('Mar 2027'!J30=TRUE,'Mar 2027'!J30="x",'Mar 2027'!J30="X"),1,0))</f>
        <v/>
      </c>
      <c r="Z164" s="345">
        <f>IF($A164="","",IF(OR('Mar 2027'!J31=TRUE,'Mar 2027'!J31="x",'Mar 2027'!J31="X"),1,0))</f>
        <v/>
      </c>
      <c r="AA164" s="345">
        <f>IF($A164="","",IF(OR('Mar 2027'!J32=TRUE,'Mar 2027'!J32="x",'Mar 2027'!J32="X"),1,0))</f>
        <v/>
      </c>
      <c r="AB164" s="345">
        <f>IF($A164="","",IF(OR('Mar 2027'!J34=TRUE,'Mar 2027'!J34="x",'Mar 2027'!J34="X"),1,0))</f>
        <v/>
      </c>
      <c r="AC164" s="345">
        <f>IF($A164="","",IF(OR('Mar 2027'!J35=TRUE,'Mar 2027'!J35="x",'Mar 2027'!J35="X"),1,0))</f>
        <v/>
      </c>
      <c r="AD164" s="345">
        <f>IF($A164="","",IF(OR('Mar 2027'!J36=TRUE,'Mar 2027'!J36="x",'Mar 2027'!J36="X"),1,0))</f>
        <v/>
      </c>
      <c r="AE164" s="345">
        <f>IF($A164="","",IF(OR('Mar 2027'!J37=TRUE,'Mar 2027'!J37="x",'Mar 2027'!J37="X"),1,0))</f>
        <v/>
      </c>
      <c r="AF164" s="345">
        <f>IF($A164="","",IF('Mar 2027'!J59="","",'Mar 2027'!J59))</f>
        <v/>
      </c>
      <c r="AG164" s="345">
        <f>IF($A164="","",IF('Mar 2027'!J60="","",'Mar 2027'!J60))</f>
        <v/>
      </c>
      <c r="AH164" s="345">
        <f>IF($A164="","",IF('Mar 2027'!J61="","",'Mar 2027'!J61))</f>
        <v/>
      </c>
      <c r="AI164" s="345">
        <f>IF($A164="","",IF('Mar 2027'!J62="","",'Mar 2027'!J62))</f>
        <v/>
      </c>
      <c r="AJ164" s="345">
        <f>IF($A164="","",IF('Mar 2027'!J63="","",'Mar 2027'!J63))</f>
        <v/>
      </c>
      <c r="AK164" s="345">
        <f>IF($A164="","",IF('Mar 2027'!J64="","",'Mar 2027'!J64))</f>
        <v/>
      </c>
      <c r="AL164" s="345">
        <f>IF($A164="","",IF('Mar 2027'!J65="","",'Mar 2027'!J65))</f>
        <v/>
      </c>
      <c r="AM164" s="345">
        <f>IF($A164="","",IF('Mar 2027'!J66="","",'Mar 2027'!J66))</f>
        <v/>
      </c>
      <c r="AN164" s="345">
        <f>IF($A164="","",IF('Mar 2027'!J67="","",'Mar 2027'!J67))</f>
        <v/>
      </c>
      <c r="AO164" s="345">
        <f>IF($A164="",0,IF(AND($A164&gt;=TrackStart,$A164&lt;=TODAY()),1,0))</f>
        <v/>
      </c>
      <c r="AP164" s="345">
        <f>IF($A164="",0,IF(SUM(F164:AE164)+COUNT(AF164:AN164)&gt;0,1,0))</f>
        <v/>
      </c>
      <c r="AQ164" s="345">
        <f>IF($A164="","",INT(($A164-TrackStart)/7)+1)</f>
        <v/>
      </c>
      <c r="AR164" s="345">
        <f>IF($A164="","",IF(AQ164&lt;=1,Steps1,IF(AQ164=2,Steps2,Steps3)))</f>
        <v/>
      </c>
      <c r="AS164" s="345">
        <f>IF($A164="",0,IF(ISNUMBER(SEARCH(TEXT(D164,"0"),WorkDays&amp;"")),1,0))</f>
        <v/>
      </c>
      <c r="AT164" s="345">
        <f>IF($A164="",0,IF(ISNUMBER(SEARCH(TEXT(D164,"0"),StrDays&amp;"")),1,0))</f>
        <v/>
      </c>
      <c r="AU164" s="345">
        <f>IF($A164="",0,IF(ISNUMBER(AK164),IF(AK164&gt;=SleepMin,1,0),N164))</f>
        <v/>
      </c>
      <c r="AV164" s="345">
        <f>IF($A164="",0,MAX(I164,O164,S164,AC164))</f>
        <v/>
      </c>
      <c r="AW164" s="345">
        <f>IF($A164="",0,IF(ISNUMBER(AH164),IF(AH164&gt;=ProtHit,1,0),0))</f>
        <v/>
      </c>
      <c r="AX164" s="345">
        <f>IF($A164="",0,IF(ISNUMBER(AI164),IF(AI164&gt;=WaterHit,1,0),0))</f>
        <v/>
      </c>
      <c r="AY164" s="345">
        <f>IF($A164="",0,IF(ISNUMBER(AG164),IF(AG164&gt;=AR164,1,0),0))</f>
        <v/>
      </c>
      <c r="AZ164" s="345">
        <f>IF($A164="",0,G164)</f>
        <v/>
      </c>
      <c r="BA164" s="345">
        <f>IF($A164="",0,J164)</f>
        <v/>
      </c>
      <c r="BB164" s="345">
        <f>IF($A164="",0,K164)</f>
        <v/>
      </c>
      <c r="BC164" s="345">
        <f>IF($A164="",0,MAX(L164,AE164))</f>
        <v/>
      </c>
      <c r="BD164" s="344">
        <f>IF($A164="","",(AU164+AV164+AW164+AX164+AY164+AZ164+BB164+BC164+IF(AS164=1,BA164,0))/(8+AS164))</f>
        <v/>
      </c>
      <c r="BE164" s="344">
        <f>IF($A164="","",(IF(ISNUMBER(AI164),IF(AI164&gt;=WaterMVD,1,0),0)+AV164+IF(ISNUMBER(AH164),IF(AH164&gt;=ProtMVD,1,0),0)+MAX(H164,AD164)+AZ164+BB164+AU164)/7)</f>
        <v/>
      </c>
      <c r="BF164" s="344">
        <f>IF(AO164=0,"",IF(E164="S","",IF(AND(AP164=0,$A164=TODAY()),"",IF(E164="M",BE164,BD164))))</f>
        <v/>
      </c>
      <c r="BG164" s="344">
        <f>IF(AO164=0,"",IFERROR(AVERAGEIFS(Data!$BF$4:$BF$375,Data!$A$4:$A$375,"&gt;"&amp;($A164-7),Data!$A$4:$A$375,"&lt;="&amp;$A164),""))</f>
        <v/>
      </c>
      <c r="BH164" s="344">
        <f>IF(AO164=0,"",IFERROR(AVERAGEIFS(Data!$BF$4:$BF$375,Data!$A$4:$A$375,"&gt;"&amp;($A164-30),Data!$A$4:$A$375,"&lt;="&amp;$A164),""))</f>
        <v/>
      </c>
      <c r="BI164" s="359">
        <f>IF($A164="","",IFERROR(AVERAGEIFS(Data!$AF$4:$AF$375,Data!$A$4:$A$375,"&gt;"&amp;($A164-7),Data!$A$4:$A$375,"&lt;="&amp;$A164,Data!$AF$4:$AF$375,"&gt;0"),""))</f>
        <v/>
      </c>
      <c r="BJ164" s="345">
        <f>IF($A164="","",F164+G164+H164+I164+J164+K164+L164+M164+N164-IF(AS164=1,0,J164))</f>
        <v/>
      </c>
      <c r="BK164" s="345">
        <f>IF($A164="","",8+AS164)</f>
        <v/>
      </c>
      <c r="BL164" s="345">
        <f>IF(ISNUMBER(BF164),BF164,NA())</f>
        <v/>
      </c>
      <c r="BM164" s="345">
        <f>IF(ISNUMBER(AF164),AF164,NA())</f>
        <v/>
      </c>
      <c r="BN164" s="345">
        <f>IF(ISNUMBER(BI164),BI164,NA())</f>
        <v/>
      </c>
      <c r="BO164" s="345">
        <f>IF(ISNUMBER(AL164),AL164,NA())</f>
        <v/>
      </c>
      <c r="BP164" s="345">
        <f>IF(ISNUMBER(AM164),AM164,NA())</f>
        <v/>
      </c>
      <c r="BQ164" s="345">
        <f>IF(ISNUMBER(AN164),AN164,NA())</f>
        <v/>
      </c>
    </row>
    <row r="165">
      <c r="A165" s="358">
        <f>IF('Mar 2027'!K7="","",'Mar 2027'!K7)</f>
        <v/>
      </c>
      <c r="B165" s="345" t="n">
        <v>6</v>
      </c>
      <c r="C165" s="345">
        <f>IF($A165="","",7)</f>
        <v/>
      </c>
      <c r="D165" s="345">
        <f>IF($A165="","",WEEKDAY($A165,2))</f>
        <v/>
      </c>
      <c r="E165" s="345">
        <f>IF($A165="","",UPPER(TRIM('Mar 2027'!K8)))</f>
        <v/>
      </c>
      <c r="F165" s="345">
        <f>IF($A165="","",IF(OR('Mar 2027'!K10=TRUE,'Mar 2027'!K10="x",'Mar 2027'!K10="X"),1,0))</f>
        <v/>
      </c>
      <c r="G165" s="345">
        <f>IF($A165="","",IF(OR('Mar 2027'!K11=TRUE,'Mar 2027'!K11="x",'Mar 2027'!K11="X"),1,0))</f>
        <v/>
      </c>
      <c r="H165" s="345">
        <f>IF($A165="","",IF(OR('Mar 2027'!K12=TRUE,'Mar 2027'!K12="x",'Mar 2027'!K12="X"),1,0))</f>
        <v/>
      </c>
      <c r="I165" s="345">
        <f>IF($A165="","",IF(OR('Mar 2027'!K13=TRUE,'Mar 2027'!K13="x",'Mar 2027'!K13="X"),1,0))</f>
        <v/>
      </c>
      <c r="J165" s="345">
        <f>IF($A165="","",IF(OR('Mar 2027'!K14=TRUE,'Mar 2027'!K14="x",'Mar 2027'!K14="X"),1,0))</f>
        <v/>
      </c>
      <c r="K165" s="345">
        <f>IF($A165="","",IF(OR('Mar 2027'!K15=TRUE,'Mar 2027'!K15="x",'Mar 2027'!K15="X"),1,0))</f>
        <v/>
      </c>
      <c r="L165" s="345">
        <f>IF($A165="","",IF(OR('Mar 2027'!K16=TRUE,'Mar 2027'!K16="x",'Mar 2027'!K16="X"),1,0))</f>
        <v/>
      </c>
      <c r="M165" s="345">
        <f>IF($A165="","",IF(OR('Mar 2027'!K17=TRUE,'Mar 2027'!K17="x",'Mar 2027'!K17="X"),1,0))</f>
        <v/>
      </c>
      <c r="N165" s="345">
        <f>IF($A165="","",IF(OR('Mar 2027'!K18=TRUE,'Mar 2027'!K18="x",'Mar 2027'!K18="X"),1,0))</f>
        <v/>
      </c>
      <c r="O165" s="345">
        <f>IF($A165="","",IF(OR('Mar 2027'!K20=TRUE,'Mar 2027'!K20="x",'Mar 2027'!K20="X"),1,0))</f>
        <v/>
      </c>
      <c r="P165" s="345">
        <f>IF($A165="","",IF(OR('Mar 2027'!K21=TRUE,'Mar 2027'!K21="x",'Mar 2027'!K21="X"),1,0))</f>
        <v/>
      </c>
      <c r="Q165" s="345">
        <f>IF($A165="","",IF(OR('Mar 2027'!K22=TRUE,'Mar 2027'!K22="x",'Mar 2027'!K22="X"),1,0))</f>
        <v/>
      </c>
      <c r="R165" s="345">
        <f>IF($A165="","",IF(OR('Mar 2027'!K23=TRUE,'Mar 2027'!K23="x",'Mar 2027'!K23="X"),1,0))</f>
        <v/>
      </c>
      <c r="S165" s="345">
        <f>IF($A165="","",IF(OR('Mar 2027'!K24=TRUE,'Mar 2027'!K24="x",'Mar 2027'!K24="X"),1,0))</f>
        <v/>
      </c>
      <c r="T165" s="345">
        <f>IF($A165="","",IF(OR('Mar 2027'!K25=TRUE,'Mar 2027'!K25="x",'Mar 2027'!K25="X"),1,0))</f>
        <v/>
      </c>
      <c r="U165" s="345">
        <f>IF($A165="","",IF(OR('Mar 2027'!K26=TRUE,'Mar 2027'!K26="x",'Mar 2027'!K26="X"),1,0))</f>
        <v/>
      </c>
      <c r="V165" s="345">
        <f>IF($A165="","",IF(OR('Mar 2027'!K27=TRUE,'Mar 2027'!K27="x",'Mar 2027'!K27="X"),1,0))</f>
        <v/>
      </c>
      <c r="W165" s="345">
        <f>IF($A165="","",IF(OR('Mar 2027'!K28=TRUE,'Mar 2027'!K28="x",'Mar 2027'!K28="X"),1,0))</f>
        <v/>
      </c>
      <c r="X165" s="345">
        <f>IF($A165="","",IF(OR('Mar 2027'!K29=TRUE,'Mar 2027'!K29="x",'Mar 2027'!K29="X"),1,0))</f>
        <v/>
      </c>
      <c r="Y165" s="345">
        <f>IF($A165="","",IF(OR('Mar 2027'!K30=TRUE,'Mar 2027'!K30="x",'Mar 2027'!K30="X"),1,0))</f>
        <v/>
      </c>
      <c r="Z165" s="345">
        <f>IF($A165="","",IF(OR('Mar 2027'!K31=TRUE,'Mar 2027'!K31="x",'Mar 2027'!K31="X"),1,0))</f>
        <v/>
      </c>
      <c r="AA165" s="345">
        <f>IF($A165="","",IF(OR('Mar 2027'!K32=TRUE,'Mar 2027'!K32="x",'Mar 2027'!K32="X"),1,0))</f>
        <v/>
      </c>
      <c r="AB165" s="345">
        <f>IF($A165="","",IF(OR('Mar 2027'!K34=TRUE,'Mar 2027'!K34="x",'Mar 2027'!K34="X"),1,0))</f>
        <v/>
      </c>
      <c r="AC165" s="345">
        <f>IF($A165="","",IF(OR('Mar 2027'!K35=TRUE,'Mar 2027'!K35="x",'Mar 2027'!K35="X"),1,0))</f>
        <v/>
      </c>
      <c r="AD165" s="345">
        <f>IF($A165="","",IF(OR('Mar 2027'!K36=TRUE,'Mar 2027'!K36="x",'Mar 2027'!K36="X"),1,0))</f>
        <v/>
      </c>
      <c r="AE165" s="345">
        <f>IF($A165="","",IF(OR('Mar 2027'!K37=TRUE,'Mar 2027'!K37="x",'Mar 2027'!K37="X"),1,0))</f>
        <v/>
      </c>
      <c r="AF165" s="345">
        <f>IF($A165="","",IF('Mar 2027'!K59="","",'Mar 2027'!K59))</f>
        <v/>
      </c>
      <c r="AG165" s="345">
        <f>IF($A165="","",IF('Mar 2027'!K60="","",'Mar 2027'!K60))</f>
        <v/>
      </c>
      <c r="AH165" s="345">
        <f>IF($A165="","",IF('Mar 2027'!K61="","",'Mar 2027'!K61))</f>
        <v/>
      </c>
      <c r="AI165" s="345">
        <f>IF($A165="","",IF('Mar 2027'!K62="","",'Mar 2027'!K62))</f>
        <v/>
      </c>
      <c r="AJ165" s="345">
        <f>IF($A165="","",IF('Mar 2027'!K63="","",'Mar 2027'!K63))</f>
        <v/>
      </c>
      <c r="AK165" s="345">
        <f>IF($A165="","",IF('Mar 2027'!K64="","",'Mar 2027'!K64))</f>
        <v/>
      </c>
      <c r="AL165" s="345">
        <f>IF($A165="","",IF('Mar 2027'!K65="","",'Mar 2027'!K65))</f>
        <v/>
      </c>
      <c r="AM165" s="345">
        <f>IF($A165="","",IF('Mar 2027'!K66="","",'Mar 2027'!K66))</f>
        <v/>
      </c>
      <c r="AN165" s="345">
        <f>IF($A165="","",IF('Mar 2027'!K67="","",'Mar 2027'!K67))</f>
        <v/>
      </c>
      <c r="AO165" s="345">
        <f>IF($A165="",0,IF(AND($A165&gt;=TrackStart,$A165&lt;=TODAY()),1,0))</f>
        <v/>
      </c>
      <c r="AP165" s="345">
        <f>IF($A165="",0,IF(SUM(F165:AE165)+COUNT(AF165:AN165)&gt;0,1,0))</f>
        <v/>
      </c>
      <c r="AQ165" s="345">
        <f>IF($A165="","",INT(($A165-TrackStart)/7)+1)</f>
        <v/>
      </c>
      <c r="AR165" s="345">
        <f>IF($A165="","",IF(AQ165&lt;=1,Steps1,IF(AQ165=2,Steps2,Steps3)))</f>
        <v/>
      </c>
      <c r="AS165" s="345">
        <f>IF($A165="",0,IF(ISNUMBER(SEARCH(TEXT(D165,"0"),WorkDays&amp;"")),1,0))</f>
        <v/>
      </c>
      <c r="AT165" s="345">
        <f>IF($A165="",0,IF(ISNUMBER(SEARCH(TEXT(D165,"0"),StrDays&amp;"")),1,0))</f>
        <v/>
      </c>
      <c r="AU165" s="345">
        <f>IF($A165="",0,IF(ISNUMBER(AK165),IF(AK165&gt;=SleepMin,1,0),N165))</f>
        <v/>
      </c>
      <c r="AV165" s="345">
        <f>IF($A165="",0,MAX(I165,O165,S165,AC165))</f>
        <v/>
      </c>
      <c r="AW165" s="345">
        <f>IF($A165="",0,IF(ISNUMBER(AH165),IF(AH165&gt;=ProtHit,1,0),0))</f>
        <v/>
      </c>
      <c r="AX165" s="345">
        <f>IF($A165="",0,IF(ISNUMBER(AI165),IF(AI165&gt;=WaterHit,1,0),0))</f>
        <v/>
      </c>
      <c r="AY165" s="345">
        <f>IF($A165="",0,IF(ISNUMBER(AG165),IF(AG165&gt;=AR165,1,0),0))</f>
        <v/>
      </c>
      <c r="AZ165" s="345">
        <f>IF($A165="",0,G165)</f>
        <v/>
      </c>
      <c r="BA165" s="345">
        <f>IF($A165="",0,J165)</f>
        <v/>
      </c>
      <c r="BB165" s="345">
        <f>IF($A165="",0,K165)</f>
        <v/>
      </c>
      <c r="BC165" s="345">
        <f>IF($A165="",0,MAX(L165,AE165))</f>
        <v/>
      </c>
      <c r="BD165" s="344">
        <f>IF($A165="","",(AU165+AV165+AW165+AX165+AY165+AZ165+BB165+BC165+IF(AS165=1,BA165,0))/(8+AS165))</f>
        <v/>
      </c>
      <c r="BE165" s="344">
        <f>IF($A165="","",(IF(ISNUMBER(AI165),IF(AI165&gt;=WaterMVD,1,0),0)+AV165+IF(ISNUMBER(AH165),IF(AH165&gt;=ProtMVD,1,0),0)+MAX(H165,AD165)+AZ165+BB165+AU165)/7)</f>
        <v/>
      </c>
      <c r="BF165" s="344">
        <f>IF(AO165=0,"",IF(E165="S","",IF(AND(AP165=0,$A165=TODAY()),"",IF(E165="M",BE165,BD165))))</f>
        <v/>
      </c>
      <c r="BG165" s="344">
        <f>IF(AO165=0,"",IFERROR(AVERAGEIFS(Data!$BF$4:$BF$375,Data!$A$4:$A$375,"&gt;"&amp;($A165-7),Data!$A$4:$A$375,"&lt;="&amp;$A165),""))</f>
        <v/>
      </c>
      <c r="BH165" s="344">
        <f>IF(AO165=0,"",IFERROR(AVERAGEIFS(Data!$BF$4:$BF$375,Data!$A$4:$A$375,"&gt;"&amp;($A165-30),Data!$A$4:$A$375,"&lt;="&amp;$A165),""))</f>
        <v/>
      </c>
      <c r="BI165" s="359">
        <f>IF($A165="","",IFERROR(AVERAGEIFS(Data!$AF$4:$AF$375,Data!$A$4:$A$375,"&gt;"&amp;($A165-7),Data!$A$4:$A$375,"&lt;="&amp;$A165,Data!$AF$4:$AF$375,"&gt;0"),""))</f>
        <v/>
      </c>
      <c r="BJ165" s="345">
        <f>IF($A165="","",F165+G165+H165+I165+J165+K165+L165+M165+N165-IF(AS165=1,0,J165))</f>
        <v/>
      </c>
      <c r="BK165" s="345">
        <f>IF($A165="","",8+AS165)</f>
        <v/>
      </c>
      <c r="BL165" s="345">
        <f>IF(ISNUMBER(BF165),BF165,NA())</f>
        <v/>
      </c>
      <c r="BM165" s="345">
        <f>IF(ISNUMBER(AF165),AF165,NA())</f>
        <v/>
      </c>
      <c r="BN165" s="345">
        <f>IF(ISNUMBER(BI165),BI165,NA())</f>
        <v/>
      </c>
      <c r="BO165" s="345">
        <f>IF(ISNUMBER(AL165),AL165,NA())</f>
        <v/>
      </c>
      <c r="BP165" s="345">
        <f>IF(ISNUMBER(AM165),AM165,NA())</f>
        <v/>
      </c>
      <c r="BQ165" s="345">
        <f>IF(ISNUMBER(AN165),AN165,NA())</f>
        <v/>
      </c>
    </row>
    <row r="166">
      <c r="A166" s="358">
        <f>IF('Mar 2027'!L7="","",'Mar 2027'!L7)</f>
        <v/>
      </c>
      <c r="B166" s="345" t="n">
        <v>6</v>
      </c>
      <c r="C166" s="345">
        <f>IF($A166="","",8)</f>
        <v/>
      </c>
      <c r="D166" s="345">
        <f>IF($A166="","",WEEKDAY($A166,2))</f>
        <v/>
      </c>
      <c r="E166" s="345">
        <f>IF($A166="","",UPPER(TRIM('Mar 2027'!L8)))</f>
        <v/>
      </c>
      <c r="F166" s="345">
        <f>IF($A166="","",IF(OR('Mar 2027'!L10=TRUE,'Mar 2027'!L10="x",'Mar 2027'!L10="X"),1,0))</f>
        <v/>
      </c>
      <c r="G166" s="345">
        <f>IF($A166="","",IF(OR('Mar 2027'!L11=TRUE,'Mar 2027'!L11="x",'Mar 2027'!L11="X"),1,0))</f>
        <v/>
      </c>
      <c r="H166" s="345">
        <f>IF($A166="","",IF(OR('Mar 2027'!L12=TRUE,'Mar 2027'!L12="x",'Mar 2027'!L12="X"),1,0))</f>
        <v/>
      </c>
      <c r="I166" s="345">
        <f>IF($A166="","",IF(OR('Mar 2027'!L13=TRUE,'Mar 2027'!L13="x",'Mar 2027'!L13="X"),1,0))</f>
        <v/>
      </c>
      <c r="J166" s="345">
        <f>IF($A166="","",IF(OR('Mar 2027'!L14=TRUE,'Mar 2027'!L14="x",'Mar 2027'!L14="X"),1,0))</f>
        <v/>
      </c>
      <c r="K166" s="345">
        <f>IF($A166="","",IF(OR('Mar 2027'!L15=TRUE,'Mar 2027'!L15="x",'Mar 2027'!L15="X"),1,0))</f>
        <v/>
      </c>
      <c r="L166" s="345">
        <f>IF($A166="","",IF(OR('Mar 2027'!L16=TRUE,'Mar 2027'!L16="x",'Mar 2027'!L16="X"),1,0))</f>
        <v/>
      </c>
      <c r="M166" s="345">
        <f>IF($A166="","",IF(OR('Mar 2027'!L17=TRUE,'Mar 2027'!L17="x",'Mar 2027'!L17="X"),1,0))</f>
        <v/>
      </c>
      <c r="N166" s="345">
        <f>IF($A166="","",IF(OR('Mar 2027'!L18=TRUE,'Mar 2027'!L18="x",'Mar 2027'!L18="X"),1,0))</f>
        <v/>
      </c>
      <c r="O166" s="345">
        <f>IF($A166="","",IF(OR('Mar 2027'!L20=TRUE,'Mar 2027'!L20="x",'Mar 2027'!L20="X"),1,0))</f>
        <v/>
      </c>
      <c r="P166" s="345">
        <f>IF($A166="","",IF(OR('Mar 2027'!L21=TRUE,'Mar 2027'!L21="x",'Mar 2027'!L21="X"),1,0))</f>
        <v/>
      </c>
      <c r="Q166" s="345">
        <f>IF($A166="","",IF(OR('Mar 2027'!L22=TRUE,'Mar 2027'!L22="x",'Mar 2027'!L22="X"),1,0))</f>
        <v/>
      </c>
      <c r="R166" s="345">
        <f>IF($A166="","",IF(OR('Mar 2027'!L23=TRUE,'Mar 2027'!L23="x",'Mar 2027'!L23="X"),1,0))</f>
        <v/>
      </c>
      <c r="S166" s="345">
        <f>IF($A166="","",IF(OR('Mar 2027'!L24=TRUE,'Mar 2027'!L24="x",'Mar 2027'!L24="X"),1,0))</f>
        <v/>
      </c>
      <c r="T166" s="345">
        <f>IF($A166="","",IF(OR('Mar 2027'!L25=TRUE,'Mar 2027'!L25="x",'Mar 2027'!L25="X"),1,0))</f>
        <v/>
      </c>
      <c r="U166" s="345">
        <f>IF($A166="","",IF(OR('Mar 2027'!L26=TRUE,'Mar 2027'!L26="x",'Mar 2027'!L26="X"),1,0))</f>
        <v/>
      </c>
      <c r="V166" s="345">
        <f>IF($A166="","",IF(OR('Mar 2027'!L27=TRUE,'Mar 2027'!L27="x",'Mar 2027'!L27="X"),1,0))</f>
        <v/>
      </c>
      <c r="W166" s="345">
        <f>IF($A166="","",IF(OR('Mar 2027'!L28=TRUE,'Mar 2027'!L28="x",'Mar 2027'!L28="X"),1,0))</f>
        <v/>
      </c>
      <c r="X166" s="345">
        <f>IF($A166="","",IF(OR('Mar 2027'!L29=TRUE,'Mar 2027'!L29="x",'Mar 2027'!L29="X"),1,0))</f>
        <v/>
      </c>
      <c r="Y166" s="345">
        <f>IF($A166="","",IF(OR('Mar 2027'!L30=TRUE,'Mar 2027'!L30="x",'Mar 2027'!L30="X"),1,0))</f>
        <v/>
      </c>
      <c r="Z166" s="345">
        <f>IF($A166="","",IF(OR('Mar 2027'!L31=TRUE,'Mar 2027'!L31="x",'Mar 2027'!L31="X"),1,0))</f>
        <v/>
      </c>
      <c r="AA166" s="345">
        <f>IF($A166="","",IF(OR('Mar 2027'!L32=TRUE,'Mar 2027'!L32="x",'Mar 2027'!L32="X"),1,0))</f>
        <v/>
      </c>
      <c r="AB166" s="345">
        <f>IF($A166="","",IF(OR('Mar 2027'!L34=TRUE,'Mar 2027'!L34="x",'Mar 2027'!L34="X"),1,0))</f>
        <v/>
      </c>
      <c r="AC166" s="345">
        <f>IF($A166="","",IF(OR('Mar 2027'!L35=TRUE,'Mar 2027'!L35="x",'Mar 2027'!L35="X"),1,0))</f>
        <v/>
      </c>
      <c r="AD166" s="345">
        <f>IF($A166="","",IF(OR('Mar 2027'!L36=TRUE,'Mar 2027'!L36="x",'Mar 2027'!L36="X"),1,0))</f>
        <v/>
      </c>
      <c r="AE166" s="345">
        <f>IF($A166="","",IF(OR('Mar 2027'!L37=TRUE,'Mar 2027'!L37="x",'Mar 2027'!L37="X"),1,0))</f>
        <v/>
      </c>
      <c r="AF166" s="345">
        <f>IF($A166="","",IF('Mar 2027'!L59="","",'Mar 2027'!L59))</f>
        <v/>
      </c>
      <c r="AG166" s="345">
        <f>IF($A166="","",IF('Mar 2027'!L60="","",'Mar 2027'!L60))</f>
        <v/>
      </c>
      <c r="AH166" s="345">
        <f>IF($A166="","",IF('Mar 2027'!L61="","",'Mar 2027'!L61))</f>
        <v/>
      </c>
      <c r="AI166" s="345">
        <f>IF($A166="","",IF('Mar 2027'!L62="","",'Mar 2027'!L62))</f>
        <v/>
      </c>
      <c r="AJ166" s="345">
        <f>IF($A166="","",IF('Mar 2027'!L63="","",'Mar 2027'!L63))</f>
        <v/>
      </c>
      <c r="AK166" s="345">
        <f>IF($A166="","",IF('Mar 2027'!L64="","",'Mar 2027'!L64))</f>
        <v/>
      </c>
      <c r="AL166" s="345">
        <f>IF($A166="","",IF('Mar 2027'!L65="","",'Mar 2027'!L65))</f>
        <v/>
      </c>
      <c r="AM166" s="345">
        <f>IF($A166="","",IF('Mar 2027'!L66="","",'Mar 2027'!L66))</f>
        <v/>
      </c>
      <c r="AN166" s="345">
        <f>IF($A166="","",IF('Mar 2027'!L67="","",'Mar 2027'!L67))</f>
        <v/>
      </c>
      <c r="AO166" s="345">
        <f>IF($A166="",0,IF(AND($A166&gt;=TrackStart,$A166&lt;=TODAY()),1,0))</f>
        <v/>
      </c>
      <c r="AP166" s="345">
        <f>IF($A166="",0,IF(SUM(F166:AE166)+COUNT(AF166:AN166)&gt;0,1,0))</f>
        <v/>
      </c>
      <c r="AQ166" s="345">
        <f>IF($A166="","",INT(($A166-TrackStart)/7)+1)</f>
        <v/>
      </c>
      <c r="AR166" s="345">
        <f>IF($A166="","",IF(AQ166&lt;=1,Steps1,IF(AQ166=2,Steps2,Steps3)))</f>
        <v/>
      </c>
      <c r="AS166" s="345">
        <f>IF($A166="",0,IF(ISNUMBER(SEARCH(TEXT(D166,"0"),WorkDays&amp;"")),1,0))</f>
        <v/>
      </c>
      <c r="AT166" s="345">
        <f>IF($A166="",0,IF(ISNUMBER(SEARCH(TEXT(D166,"0"),StrDays&amp;"")),1,0))</f>
        <v/>
      </c>
      <c r="AU166" s="345">
        <f>IF($A166="",0,IF(ISNUMBER(AK166),IF(AK166&gt;=SleepMin,1,0),N166))</f>
        <v/>
      </c>
      <c r="AV166" s="345">
        <f>IF($A166="",0,MAX(I166,O166,S166,AC166))</f>
        <v/>
      </c>
      <c r="AW166" s="345">
        <f>IF($A166="",0,IF(ISNUMBER(AH166),IF(AH166&gt;=ProtHit,1,0),0))</f>
        <v/>
      </c>
      <c r="AX166" s="345">
        <f>IF($A166="",0,IF(ISNUMBER(AI166),IF(AI166&gt;=WaterHit,1,0),0))</f>
        <v/>
      </c>
      <c r="AY166" s="345">
        <f>IF($A166="",0,IF(ISNUMBER(AG166),IF(AG166&gt;=AR166,1,0),0))</f>
        <v/>
      </c>
      <c r="AZ166" s="345">
        <f>IF($A166="",0,G166)</f>
        <v/>
      </c>
      <c r="BA166" s="345">
        <f>IF($A166="",0,J166)</f>
        <v/>
      </c>
      <c r="BB166" s="345">
        <f>IF($A166="",0,K166)</f>
        <v/>
      </c>
      <c r="BC166" s="345">
        <f>IF($A166="",0,MAX(L166,AE166))</f>
        <v/>
      </c>
      <c r="BD166" s="344">
        <f>IF($A166="","",(AU166+AV166+AW166+AX166+AY166+AZ166+BB166+BC166+IF(AS166=1,BA166,0))/(8+AS166))</f>
        <v/>
      </c>
      <c r="BE166" s="344">
        <f>IF($A166="","",(IF(ISNUMBER(AI166),IF(AI166&gt;=WaterMVD,1,0),0)+AV166+IF(ISNUMBER(AH166),IF(AH166&gt;=ProtMVD,1,0),0)+MAX(H166,AD166)+AZ166+BB166+AU166)/7)</f>
        <v/>
      </c>
      <c r="BF166" s="344">
        <f>IF(AO166=0,"",IF(E166="S","",IF(AND(AP166=0,$A166=TODAY()),"",IF(E166="M",BE166,BD166))))</f>
        <v/>
      </c>
      <c r="BG166" s="344">
        <f>IF(AO166=0,"",IFERROR(AVERAGEIFS(Data!$BF$4:$BF$375,Data!$A$4:$A$375,"&gt;"&amp;($A166-7),Data!$A$4:$A$375,"&lt;="&amp;$A166),""))</f>
        <v/>
      </c>
      <c r="BH166" s="344">
        <f>IF(AO166=0,"",IFERROR(AVERAGEIFS(Data!$BF$4:$BF$375,Data!$A$4:$A$375,"&gt;"&amp;($A166-30),Data!$A$4:$A$375,"&lt;="&amp;$A166),""))</f>
        <v/>
      </c>
      <c r="BI166" s="359">
        <f>IF($A166="","",IFERROR(AVERAGEIFS(Data!$AF$4:$AF$375,Data!$A$4:$A$375,"&gt;"&amp;($A166-7),Data!$A$4:$A$375,"&lt;="&amp;$A166,Data!$AF$4:$AF$375,"&gt;0"),""))</f>
        <v/>
      </c>
      <c r="BJ166" s="345">
        <f>IF($A166="","",F166+G166+H166+I166+J166+K166+L166+M166+N166-IF(AS166=1,0,J166))</f>
        <v/>
      </c>
      <c r="BK166" s="345">
        <f>IF($A166="","",8+AS166)</f>
        <v/>
      </c>
      <c r="BL166" s="345">
        <f>IF(ISNUMBER(BF166),BF166,NA())</f>
        <v/>
      </c>
      <c r="BM166" s="345">
        <f>IF(ISNUMBER(AF166),AF166,NA())</f>
        <v/>
      </c>
      <c r="BN166" s="345">
        <f>IF(ISNUMBER(BI166),BI166,NA())</f>
        <v/>
      </c>
      <c r="BO166" s="345">
        <f>IF(ISNUMBER(AL166),AL166,NA())</f>
        <v/>
      </c>
      <c r="BP166" s="345">
        <f>IF(ISNUMBER(AM166),AM166,NA())</f>
        <v/>
      </c>
      <c r="BQ166" s="345">
        <f>IF(ISNUMBER(AN166),AN166,NA())</f>
        <v/>
      </c>
    </row>
    <row r="167">
      <c r="A167" s="358">
        <f>IF('Mar 2027'!M7="","",'Mar 2027'!M7)</f>
        <v/>
      </c>
      <c r="B167" s="345" t="n">
        <v>6</v>
      </c>
      <c r="C167" s="345">
        <f>IF($A167="","",9)</f>
        <v/>
      </c>
      <c r="D167" s="345">
        <f>IF($A167="","",WEEKDAY($A167,2))</f>
        <v/>
      </c>
      <c r="E167" s="345">
        <f>IF($A167="","",UPPER(TRIM('Mar 2027'!M8)))</f>
        <v/>
      </c>
      <c r="F167" s="345">
        <f>IF($A167="","",IF(OR('Mar 2027'!M10=TRUE,'Mar 2027'!M10="x",'Mar 2027'!M10="X"),1,0))</f>
        <v/>
      </c>
      <c r="G167" s="345">
        <f>IF($A167="","",IF(OR('Mar 2027'!M11=TRUE,'Mar 2027'!M11="x",'Mar 2027'!M11="X"),1,0))</f>
        <v/>
      </c>
      <c r="H167" s="345">
        <f>IF($A167="","",IF(OR('Mar 2027'!M12=TRUE,'Mar 2027'!M12="x",'Mar 2027'!M12="X"),1,0))</f>
        <v/>
      </c>
      <c r="I167" s="345">
        <f>IF($A167="","",IF(OR('Mar 2027'!M13=TRUE,'Mar 2027'!M13="x",'Mar 2027'!M13="X"),1,0))</f>
        <v/>
      </c>
      <c r="J167" s="345">
        <f>IF($A167="","",IF(OR('Mar 2027'!M14=TRUE,'Mar 2027'!M14="x",'Mar 2027'!M14="X"),1,0))</f>
        <v/>
      </c>
      <c r="K167" s="345">
        <f>IF($A167="","",IF(OR('Mar 2027'!M15=TRUE,'Mar 2027'!M15="x",'Mar 2027'!M15="X"),1,0))</f>
        <v/>
      </c>
      <c r="L167" s="345">
        <f>IF($A167="","",IF(OR('Mar 2027'!M16=TRUE,'Mar 2027'!M16="x",'Mar 2027'!M16="X"),1,0))</f>
        <v/>
      </c>
      <c r="M167" s="345">
        <f>IF($A167="","",IF(OR('Mar 2027'!M17=TRUE,'Mar 2027'!M17="x",'Mar 2027'!M17="X"),1,0))</f>
        <v/>
      </c>
      <c r="N167" s="345">
        <f>IF($A167="","",IF(OR('Mar 2027'!M18=TRUE,'Mar 2027'!M18="x",'Mar 2027'!M18="X"),1,0))</f>
        <v/>
      </c>
      <c r="O167" s="345">
        <f>IF($A167="","",IF(OR('Mar 2027'!M20=TRUE,'Mar 2027'!M20="x",'Mar 2027'!M20="X"),1,0))</f>
        <v/>
      </c>
      <c r="P167" s="345">
        <f>IF($A167="","",IF(OR('Mar 2027'!M21=TRUE,'Mar 2027'!M21="x",'Mar 2027'!M21="X"),1,0))</f>
        <v/>
      </c>
      <c r="Q167" s="345">
        <f>IF($A167="","",IF(OR('Mar 2027'!M22=TRUE,'Mar 2027'!M22="x",'Mar 2027'!M22="X"),1,0))</f>
        <v/>
      </c>
      <c r="R167" s="345">
        <f>IF($A167="","",IF(OR('Mar 2027'!M23=TRUE,'Mar 2027'!M23="x",'Mar 2027'!M23="X"),1,0))</f>
        <v/>
      </c>
      <c r="S167" s="345">
        <f>IF($A167="","",IF(OR('Mar 2027'!M24=TRUE,'Mar 2027'!M24="x",'Mar 2027'!M24="X"),1,0))</f>
        <v/>
      </c>
      <c r="T167" s="345">
        <f>IF($A167="","",IF(OR('Mar 2027'!M25=TRUE,'Mar 2027'!M25="x",'Mar 2027'!M25="X"),1,0))</f>
        <v/>
      </c>
      <c r="U167" s="345">
        <f>IF($A167="","",IF(OR('Mar 2027'!M26=TRUE,'Mar 2027'!M26="x",'Mar 2027'!M26="X"),1,0))</f>
        <v/>
      </c>
      <c r="V167" s="345">
        <f>IF($A167="","",IF(OR('Mar 2027'!M27=TRUE,'Mar 2027'!M27="x",'Mar 2027'!M27="X"),1,0))</f>
        <v/>
      </c>
      <c r="W167" s="345">
        <f>IF($A167="","",IF(OR('Mar 2027'!M28=TRUE,'Mar 2027'!M28="x",'Mar 2027'!M28="X"),1,0))</f>
        <v/>
      </c>
      <c r="X167" s="345">
        <f>IF($A167="","",IF(OR('Mar 2027'!M29=TRUE,'Mar 2027'!M29="x",'Mar 2027'!M29="X"),1,0))</f>
        <v/>
      </c>
      <c r="Y167" s="345">
        <f>IF($A167="","",IF(OR('Mar 2027'!M30=TRUE,'Mar 2027'!M30="x",'Mar 2027'!M30="X"),1,0))</f>
        <v/>
      </c>
      <c r="Z167" s="345">
        <f>IF($A167="","",IF(OR('Mar 2027'!M31=TRUE,'Mar 2027'!M31="x",'Mar 2027'!M31="X"),1,0))</f>
        <v/>
      </c>
      <c r="AA167" s="345">
        <f>IF($A167="","",IF(OR('Mar 2027'!M32=TRUE,'Mar 2027'!M32="x",'Mar 2027'!M32="X"),1,0))</f>
        <v/>
      </c>
      <c r="AB167" s="345">
        <f>IF($A167="","",IF(OR('Mar 2027'!M34=TRUE,'Mar 2027'!M34="x",'Mar 2027'!M34="X"),1,0))</f>
        <v/>
      </c>
      <c r="AC167" s="345">
        <f>IF($A167="","",IF(OR('Mar 2027'!M35=TRUE,'Mar 2027'!M35="x",'Mar 2027'!M35="X"),1,0))</f>
        <v/>
      </c>
      <c r="AD167" s="345">
        <f>IF($A167="","",IF(OR('Mar 2027'!M36=TRUE,'Mar 2027'!M36="x",'Mar 2027'!M36="X"),1,0))</f>
        <v/>
      </c>
      <c r="AE167" s="345">
        <f>IF($A167="","",IF(OR('Mar 2027'!M37=TRUE,'Mar 2027'!M37="x",'Mar 2027'!M37="X"),1,0))</f>
        <v/>
      </c>
      <c r="AF167" s="345">
        <f>IF($A167="","",IF('Mar 2027'!M59="","",'Mar 2027'!M59))</f>
        <v/>
      </c>
      <c r="AG167" s="345">
        <f>IF($A167="","",IF('Mar 2027'!M60="","",'Mar 2027'!M60))</f>
        <v/>
      </c>
      <c r="AH167" s="345">
        <f>IF($A167="","",IF('Mar 2027'!M61="","",'Mar 2027'!M61))</f>
        <v/>
      </c>
      <c r="AI167" s="345">
        <f>IF($A167="","",IF('Mar 2027'!M62="","",'Mar 2027'!M62))</f>
        <v/>
      </c>
      <c r="AJ167" s="345">
        <f>IF($A167="","",IF('Mar 2027'!M63="","",'Mar 2027'!M63))</f>
        <v/>
      </c>
      <c r="AK167" s="345">
        <f>IF($A167="","",IF('Mar 2027'!M64="","",'Mar 2027'!M64))</f>
        <v/>
      </c>
      <c r="AL167" s="345">
        <f>IF($A167="","",IF('Mar 2027'!M65="","",'Mar 2027'!M65))</f>
        <v/>
      </c>
      <c r="AM167" s="345">
        <f>IF($A167="","",IF('Mar 2027'!M66="","",'Mar 2027'!M66))</f>
        <v/>
      </c>
      <c r="AN167" s="345">
        <f>IF($A167="","",IF('Mar 2027'!M67="","",'Mar 2027'!M67))</f>
        <v/>
      </c>
      <c r="AO167" s="345">
        <f>IF($A167="",0,IF(AND($A167&gt;=TrackStart,$A167&lt;=TODAY()),1,0))</f>
        <v/>
      </c>
      <c r="AP167" s="345">
        <f>IF($A167="",0,IF(SUM(F167:AE167)+COUNT(AF167:AN167)&gt;0,1,0))</f>
        <v/>
      </c>
      <c r="AQ167" s="345">
        <f>IF($A167="","",INT(($A167-TrackStart)/7)+1)</f>
        <v/>
      </c>
      <c r="AR167" s="345">
        <f>IF($A167="","",IF(AQ167&lt;=1,Steps1,IF(AQ167=2,Steps2,Steps3)))</f>
        <v/>
      </c>
      <c r="AS167" s="345">
        <f>IF($A167="",0,IF(ISNUMBER(SEARCH(TEXT(D167,"0"),WorkDays&amp;"")),1,0))</f>
        <v/>
      </c>
      <c r="AT167" s="345">
        <f>IF($A167="",0,IF(ISNUMBER(SEARCH(TEXT(D167,"0"),StrDays&amp;"")),1,0))</f>
        <v/>
      </c>
      <c r="AU167" s="345">
        <f>IF($A167="",0,IF(ISNUMBER(AK167),IF(AK167&gt;=SleepMin,1,0),N167))</f>
        <v/>
      </c>
      <c r="AV167" s="345">
        <f>IF($A167="",0,MAX(I167,O167,S167,AC167))</f>
        <v/>
      </c>
      <c r="AW167" s="345">
        <f>IF($A167="",0,IF(ISNUMBER(AH167),IF(AH167&gt;=ProtHit,1,0),0))</f>
        <v/>
      </c>
      <c r="AX167" s="345">
        <f>IF($A167="",0,IF(ISNUMBER(AI167),IF(AI167&gt;=WaterHit,1,0),0))</f>
        <v/>
      </c>
      <c r="AY167" s="345">
        <f>IF($A167="",0,IF(ISNUMBER(AG167),IF(AG167&gt;=AR167,1,0),0))</f>
        <v/>
      </c>
      <c r="AZ167" s="345">
        <f>IF($A167="",0,G167)</f>
        <v/>
      </c>
      <c r="BA167" s="345">
        <f>IF($A167="",0,J167)</f>
        <v/>
      </c>
      <c r="BB167" s="345">
        <f>IF($A167="",0,K167)</f>
        <v/>
      </c>
      <c r="BC167" s="345">
        <f>IF($A167="",0,MAX(L167,AE167))</f>
        <v/>
      </c>
      <c r="BD167" s="344">
        <f>IF($A167="","",(AU167+AV167+AW167+AX167+AY167+AZ167+BB167+BC167+IF(AS167=1,BA167,0))/(8+AS167))</f>
        <v/>
      </c>
      <c r="BE167" s="344">
        <f>IF($A167="","",(IF(ISNUMBER(AI167),IF(AI167&gt;=WaterMVD,1,0),0)+AV167+IF(ISNUMBER(AH167),IF(AH167&gt;=ProtMVD,1,0),0)+MAX(H167,AD167)+AZ167+BB167+AU167)/7)</f>
        <v/>
      </c>
      <c r="BF167" s="344">
        <f>IF(AO167=0,"",IF(E167="S","",IF(AND(AP167=0,$A167=TODAY()),"",IF(E167="M",BE167,BD167))))</f>
        <v/>
      </c>
      <c r="BG167" s="344">
        <f>IF(AO167=0,"",IFERROR(AVERAGEIFS(Data!$BF$4:$BF$375,Data!$A$4:$A$375,"&gt;"&amp;($A167-7),Data!$A$4:$A$375,"&lt;="&amp;$A167),""))</f>
        <v/>
      </c>
      <c r="BH167" s="344">
        <f>IF(AO167=0,"",IFERROR(AVERAGEIFS(Data!$BF$4:$BF$375,Data!$A$4:$A$375,"&gt;"&amp;($A167-30),Data!$A$4:$A$375,"&lt;="&amp;$A167),""))</f>
        <v/>
      </c>
      <c r="BI167" s="359">
        <f>IF($A167="","",IFERROR(AVERAGEIFS(Data!$AF$4:$AF$375,Data!$A$4:$A$375,"&gt;"&amp;($A167-7),Data!$A$4:$A$375,"&lt;="&amp;$A167,Data!$AF$4:$AF$375,"&gt;0"),""))</f>
        <v/>
      </c>
      <c r="BJ167" s="345">
        <f>IF($A167="","",F167+G167+H167+I167+J167+K167+L167+M167+N167-IF(AS167=1,0,J167))</f>
        <v/>
      </c>
      <c r="BK167" s="345">
        <f>IF($A167="","",8+AS167)</f>
        <v/>
      </c>
      <c r="BL167" s="345">
        <f>IF(ISNUMBER(BF167),BF167,NA())</f>
        <v/>
      </c>
      <c r="BM167" s="345">
        <f>IF(ISNUMBER(AF167),AF167,NA())</f>
        <v/>
      </c>
      <c r="BN167" s="345">
        <f>IF(ISNUMBER(BI167),BI167,NA())</f>
        <v/>
      </c>
      <c r="BO167" s="345">
        <f>IF(ISNUMBER(AL167),AL167,NA())</f>
        <v/>
      </c>
      <c r="BP167" s="345">
        <f>IF(ISNUMBER(AM167),AM167,NA())</f>
        <v/>
      </c>
      <c r="BQ167" s="345">
        <f>IF(ISNUMBER(AN167),AN167,NA())</f>
        <v/>
      </c>
    </row>
    <row r="168">
      <c r="A168" s="358">
        <f>IF('Mar 2027'!N7="","",'Mar 2027'!N7)</f>
        <v/>
      </c>
      <c r="B168" s="345" t="n">
        <v>6</v>
      </c>
      <c r="C168" s="345">
        <f>IF($A168="","",10)</f>
        <v/>
      </c>
      <c r="D168" s="345">
        <f>IF($A168="","",WEEKDAY($A168,2))</f>
        <v/>
      </c>
      <c r="E168" s="345">
        <f>IF($A168="","",UPPER(TRIM('Mar 2027'!N8)))</f>
        <v/>
      </c>
      <c r="F168" s="345">
        <f>IF($A168="","",IF(OR('Mar 2027'!N10=TRUE,'Mar 2027'!N10="x",'Mar 2027'!N10="X"),1,0))</f>
        <v/>
      </c>
      <c r="G168" s="345">
        <f>IF($A168="","",IF(OR('Mar 2027'!N11=TRUE,'Mar 2027'!N11="x",'Mar 2027'!N11="X"),1,0))</f>
        <v/>
      </c>
      <c r="H168" s="345">
        <f>IF($A168="","",IF(OR('Mar 2027'!N12=TRUE,'Mar 2027'!N12="x",'Mar 2027'!N12="X"),1,0))</f>
        <v/>
      </c>
      <c r="I168" s="345">
        <f>IF($A168="","",IF(OR('Mar 2027'!N13=TRUE,'Mar 2027'!N13="x",'Mar 2027'!N13="X"),1,0))</f>
        <v/>
      </c>
      <c r="J168" s="345">
        <f>IF($A168="","",IF(OR('Mar 2027'!N14=TRUE,'Mar 2027'!N14="x",'Mar 2027'!N14="X"),1,0))</f>
        <v/>
      </c>
      <c r="K168" s="345">
        <f>IF($A168="","",IF(OR('Mar 2027'!N15=TRUE,'Mar 2027'!N15="x",'Mar 2027'!N15="X"),1,0))</f>
        <v/>
      </c>
      <c r="L168" s="345">
        <f>IF($A168="","",IF(OR('Mar 2027'!N16=TRUE,'Mar 2027'!N16="x",'Mar 2027'!N16="X"),1,0))</f>
        <v/>
      </c>
      <c r="M168" s="345">
        <f>IF($A168="","",IF(OR('Mar 2027'!N17=TRUE,'Mar 2027'!N17="x",'Mar 2027'!N17="X"),1,0))</f>
        <v/>
      </c>
      <c r="N168" s="345">
        <f>IF($A168="","",IF(OR('Mar 2027'!N18=TRUE,'Mar 2027'!N18="x",'Mar 2027'!N18="X"),1,0))</f>
        <v/>
      </c>
      <c r="O168" s="345">
        <f>IF($A168="","",IF(OR('Mar 2027'!N20=TRUE,'Mar 2027'!N20="x",'Mar 2027'!N20="X"),1,0))</f>
        <v/>
      </c>
      <c r="P168" s="345">
        <f>IF($A168="","",IF(OR('Mar 2027'!N21=TRUE,'Mar 2027'!N21="x",'Mar 2027'!N21="X"),1,0))</f>
        <v/>
      </c>
      <c r="Q168" s="345">
        <f>IF($A168="","",IF(OR('Mar 2027'!N22=TRUE,'Mar 2027'!N22="x",'Mar 2027'!N22="X"),1,0))</f>
        <v/>
      </c>
      <c r="R168" s="345">
        <f>IF($A168="","",IF(OR('Mar 2027'!N23=TRUE,'Mar 2027'!N23="x",'Mar 2027'!N23="X"),1,0))</f>
        <v/>
      </c>
      <c r="S168" s="345">
        <f>IF($A168="","",IF(OR('Mar 2027'!N24=TRUE,'Mar 2027'!N24="x",'Mar 2027'!N24="X"),1,0))</f>
        <v/>
      </c>
      <c r="T168" s="345">
        <f>IF($A168="","",IF(OR('Mar 2027'!N25=TRUE,'Mar 2027'!N25="x",'Mar 2027'!N25="X"),1,0))</f>
        <v/>
      </c>
      <c r="U168" s="345">
        <f>IF($A168="","",IF(OR('Mar 2027'!N26=TRUE,'Mar 2027'!N26="x",'Mar 2027'!N26="X"),1,0))</f>
        <v/>
      </c>
      <c r="V168" s="345">
        <f>IF($A168="","",IF(OR('Mar 2027'!N27=TRUE,'Mar 2027'!N27="x",'Mar 2027'!N27="X"),1,0))</f>
        <v/>
      </c>
      <c r="W168" s="345">
        <f>IF($A168="","",IF(OR('Mar 2027'!N28=TRUE,'Mar 2027'!N28="x",'Mar 2027'!N28="X"),1,0))</f>
        <v/>
      </c>
      <c r="X168" s="345">
        <f>IF($A168="","",IF(OR('Mar 2027'!N29=TRUE,'Mar 2027'!N29="x",'Mar 2027'!N29="X"),1,0))</f>
        <v/>
      </c>
      <c r="Y168" s="345">
        <f>IF($A168="","",IF(OR('Mar 2027'!N30=TRUE,'Mar 2027'!N30="x",'Mar 2027'!N30="X"),1,0))</f>
        <v/>
      </c>
      <c r="Z168" s="345">
        <f>IF($A168="","",IF(OR('Mar 2027'!N31=TRUE,'Mar 2027'!N31="x",'Mar 2027'!N31="X"),1,0))</f>
        <v/>
      </c>
      <c r="AA168" s="345">
        <f>IF($A168="","",IF(OR('Mar 2027'!N32=TRUE,'Mar 2027'!N32="x",'Mar 2027'!N32="X"),1,0))</f>
        <v/>
      </c>
      <c r="AB168" s="345">
        <f>IF($A168="","",IF(OR('Mar 2027'!N34=TRUE,'Mar 2027'!N34="x",'Mar 2027'!N34="X"),1,0))</f>
        <v/>
      </c>
      <c r="AC168" s="345">
        <f>IF($A168="","",IF(OR('Mar 2027'!N35=TRUE,'Mar 2027'!N35="x",'Mar 2027'!N35="X"),1,0))</f>
        <v/>
      </c>
      <c r="AD168" s="345">
        <f>IF($A168="","",IF(OR('Mar 2027'!N36=TRUE,'Mar 2027'!N36="x",'Mar 2027'!N36="X"),1,0))</f>
        <v/>
      </c>
      <c r="AE168" s="345">
        <f>IF($A168="","",IF(OR('Mar 2027'!N37=TRUE,'Mar 2027'!N37="x",'Mar 2027'!N37="X"),1,0))</f>
        <v/>
      </c>
      <c r="AF168" s="345">
        <f>IF($A168="","",IF('Mar 2027'!N59="","",'Mar 2027'!N59))</f>
        <v/>
      </c>
      <c r="AG168" s="345">
        <f>IF($A168="","",IF('Mar 2027'!N60="","",'Mar 2027'!N60))</f>
        <v/>
      </c>
      <c r="AH168" s="345">
        <f>IF($A168="","",IF('Mar 2027'!N61="","",'Mar 2027'!N61))</f>
        <v/>
      </c>
      <c r="AI168" s="345">
        <f>IF($A168="","",IF('Mar 2027'!N62="","",'Mar 2027'!N62))</f>
        <v/>
      </c>
      <c r="AJ168" s="345">
        <f>IF($A168="","",IF('Mar 2027'!N63="","",'Mar 2027'!N63))</f>
        <v/>
      </c>
      <c r="AK168" s="345">
        <f>IF($A168="","",IF('Mar 2027'!N64="","",'Mar 2027'!N64))</f>
        <v/>
      </c>
      <c r="AL168" s="345">
        <f>IF($A168="","",IF('Mar 2027'!N65="","",'Mar 2027'!N65))</f>
        <v/>
      </c>
      <c r="AM168" s="345">
        <f>IF($A168="","",IF('Mar 2027'!N66="","",'Mar 2027'!N66))</f>
        <v/>
      </c>
      <c r="AN168" s="345">
        <f>IF($A168="","",IF('Mar 2027'!N67="","",'Mar 2027'!N67))</f>
        <v/>
      </c>
      <c r="AO168" s="345">
        <f>IF($A168="",0,IF(AND($A168&gt;=TrackStart,$A168&lt;=TODAY()),1,0))</f>
        <v/>
      </c>
      <c r="AP168" s="345">
        <f>IF($A168="",0,IF(SUM(F168:AE168)+COUNT(AF168:AN168)&gt;0,1,0))</f>
        <v/>
      </c>
      <c r="AQ168" s="345">
        <f>IF($A168="","",INT(($A168-TrackStart)/7)+1)</f>
        <v/>
      </c>
      <c r="AR168" s="345">
        <f>IF($A168="","",IF(AQ168&lt;=1,Steps1,IF(AQ168=2,Steps2,Steps3)))</f>
        <v/>
      </c>
      <c r="AS168" s="345">
        <f>IF($A168="",0,IF(ISNUMBER(SEARCH(TEXT(D168,"0"),WorkDays&amp;"")),1,0))</f>
        <v/>
      </c>
      <c r="AT168" s="345">
        <f>IF($A168="",0,IF(ISNUMBER(SEARCH(TEXT(D168,"0"),StrDays&amp;"")),1,0))</f>
        <v/>
      </c>
      <c r="AU168" s="345">
        <f>IF($A168="",0,IF(ISNUMBER(AK168),IF(AK168&gt;=SleepMin,1,0),N168))</f>
        <v/>
      </c>
      <c r="AV168" s="345">
        <f>IF($A168="",0,MAX(I168,O168,S168,AC168))</f>
        <v/>
      </c>
      <c r="AW168" s="345">
        <f>IF($A168="",0,IF(ISNUMBER(AH168),IF(AH168&gt;=ProtHit,1,0),0))</f>
        <v/>
      </c>
      <c r="AX168" s="345">
        <f>IF($A168="",0,IF(ISNUMBER(AI168),IF(AI168&gt;=WaterHit,1,0),0))</f>
        <v/>
      </c>
      <c r="AY168" s="345">
        <f>IF($A168="",0,IF(ISNUMBER(AG168),IF(AG168&gt;=AR168,1,0),0))</f>
        <v/>
      </c>
      <c r="AZ168" s="345">
        <f>IF($A168="",0,G168)</f>
        <v/>
      </c>
      <c r="BA168" s="345">
        <f>IF($A168="",0,J168)</f>
        <v/>
      </c>
      <c r="BB168" s="345">
        <f>IF($A168="",0,K168)</f>
        <v/>
      </c>
      <c r="BC168" s="345">
        <f>IF($A168="",0,MAX(L168,AE168))</f>
        <v/>
      </c>
      <c r="BD168" s="344">
        <f>IF($A168="","",(AU168+AV168+AW168+AX168+AY168+AZ168+BB168+BC168+IF(AS168=1,BA168,0))/(8+AS168))</f>
        <v/>
      </c>
      <c r="BE168" s="344">
        <f>IF($A168="","",(IF(ISNUMBER(AI168),IF(AI168&gt;=WaterMVD,1,0),0)+AV168+IF(ISNUMBER(AH168),IF(AH168&gt;=ProtMVD,1,0),0)+MAX(H168,AD168)+AZ168+BB168+AU168)/7)</f>
        <v/>
      </c>
      <c r="BF168" s="344">
        <f>IF(AO168=0,"",IF(E168="S","",IF(AND(AP168=0,$A168=TODAY()),"",IF(E168="M",BE168,BD168))))</f>
        <v/>
      </c>
      <c r="BG168" s="344">
        <f>IF(AO168=0,"",IFERROR(AVERAGEIFS(Data!$BF$4:$BF$375,Data!$A$4:$A$375,"&gt;"&amp;($A168-7),Data!$A$4:$A$375,"&lt;="&amp;$A168),""))</f>
        <v/>
      </c>
      <c r="BH168" s="344">
        <f>IF(AO168=0,"",IFERROR(AVERAGEIFS(Data!$BF$4:$BF$375,Data!$A$4:$A$375,"&gt;"&amp;($A168-30),Data!$A$4:$A$375,"&lt;="&amp;$A168),""))</f>
        <v/>
      </c>
      <c r="BI168" s="359">
        <f>IF($A168="","",IFERROR(AVERAGEIFS(Data!$AF$4:$AF$375,Data!$A$4:$A$375,"&gt;"&amp;($A168-7),Data!$A$4:$A$375,"&lt;="&amp;$A168,Data!$AF$4:$AF$375,"&gt;0"),""))</f>
        <v/>
      </c>
      <c r="BJ168" s="345">
        <f>IF($A168="","",F168+G168+H168+I168+J168+K168+L168+M168+N168-IF(AS168=1,0,J168))</f>
        <v/>
      </c>
      <c r="BK168" s="345">
        <f>IF($A168="","",8+AS168)</f>
        <v/>
      </c>
      <c r="BL168" s="345">
        <f>IF(ISNUMBER(BF168),BF168,NA())</f>
        <v/>
      </c>
      <c r="BM168" s="345">
        <f>IF(ISNUMBER(AF168),AF168,NA())</f>
        <v/>
      </c>
      <c r="BN168" s="345">
        <f>IF(ISNUMBER(BI168),BI168,NA())</f>
        <v/>
      </c>
      <c r="BO168" s="345">
        <f>IF(ISNUMBER(AL168),AL168,NA())</f>
        <v/>
      </c>
      <c r="BP168" s="345">
        <f>IF(ISNUMBER(AM168),AM168,NA())</f>
        <v/>
      </c>
      <c r="BQ168" s="345">
        <f>IF(ISNUMBER(AN168),AN168,NA())</f>
        <v/>
      </c>
    </row>
    <row r="169">
      <c r="A169" s="358">
        <f>IF('Mar 2027'!O7="","",'Mar 2027'!O7)</f>
        <v/>
      </c>
      <c r="B169" s="345" t="n">
        <v>6</v>
      </c>
      <c r="C169" s="345">
        <f>IF($A169="","",11)</f>
        <v/>
      </c>
      <c r="D169" s="345">
        <f>IF($A169="","",WEEKDAY($A169,2))</f>
        <v/>
      </c>
      <c r="E169" s="345">
        <f>IF($A169="","",UPPER(TRIM('Mar 2027'!O8)))</f>
        <v/>
      </c>
      <c r="F169" s="345">
        <f>IF($A169="","",IF(OR('Mar 2027'!O10=TRUE,'Mar 2027'!O10="x",'Mar 2027'!O10="X"),1,0))</f>
        <v/>
      </c>
      <c r="G169" s="345">
        <f>IF($A169="","",IF(OR('Mar 2027'!O11=TRUE,'Mar 2027'!O11="x",'Mar 2027'!O11="X"),1,0))</f>
        <v/>
      </c>
      <c r="H169" s="345">
        <f>IF($A169="","",IF(OR('Mar 2027'!O12=TRUE,'Mar 2027'!O12="x",'Mar 2027'!O12="X"),1,0))</f>
        <v/>
      </c>
      <c r="I169" s="345">
        <f>IF($A169="","",IF(OR('Mar 2027'!O13=TRUE,'Mar 2027'!O13="x",'Mar 2027'!O13="X"),1,0))</f>
        <v/>
      </c>
      <c r="J169" s="345">
        <f>IF($A169="","",IF(OR('Mar 2027'!O14=TRUE,'Mar 2027'!O14="x",'Mar 2027'!O14="X"),1,0))</f>
        <v/>
      </c>
      <c r="K169" s="345">
        <f>IF($A169="","",IF(OR('Mar 2027'!O15=TRUE,'Mar 2027'!O15="x",'Mar 2027'!O15="X"),1,0))</f>
        <v/>
      </c>
      <c r="L169" s="345">
        <f>IF($A169="","",IF(OR('Mar 2027'!O16=TRUE,'Mar 2027'!O16="x",'Mar 2027'!O16="X"),1,0))</f>
        <v/>
      </c>
      <c r="M169" s="345">
        <f>IF($A169="","",IF(OR('Mar 2027'!O17=TRUE,'Mar 2027'!O17="x",'Mar 2027'!O17="X"),1,0))</f>
        <v/>
      </c>
      <c r="N169" s="345">
        <f>IF($A169="","",IF(OR('Mar 2027'!O18=TRUE,'Mar 2027'!O18="x",'Mar 2027'!O18="X"),1,0))</f>
        <v/>
      </c>
      <c r="O169" s="345">
        <f>IF($A169="","",IF(OR('Mar 2027'!O20=TRUE,'Mar 2027'!O20="x",'Mar 2027'!O20="X"),1,0))</f>
        <v/>
      </c>
      <c r="P169" s="345">
        <f>IF($A169="","",IF(OR('Mar 2027'!O21=TRUE,'Mar 2027'!O21="x",'Mar 2027'!O21="X"),1,0))</f>
        <v/>
      </c>
      <c r="Q169" s="345">
        <f>IF($A169="","",IF(OR('Mar 2027'!O22=TRUE,'Mar 2027'!O22="x",'Mar 2027'!O22="X"),1,0))</f>
        <v/>
      </c>
      <c r="R169" s="345">
        <f>IF($A169="","",IF(OR('Mar 2027'!O23=TRUE,'Mar 2027'!O23="x",'Mar 2027'!O23="X"),1,0))</f>
        <v/>
      </c>
      <c r="S169" s="345">
        <f>IF($A169="","",IF(OR('Mar 2027'!O24=TRUE,'Mar 2027'!O24="x",'Mar 2027'!O24="X"),1,0))</f>
        <v/>
      </c>
      <c r="T169" s="345">
        <f>IF($A169="","",IF(OR('Mar 2027'!O25=TRUE,'Mar 2027'!O25="x",'Mar 2027'!O25="X"),1,0))</f>
        <v/>
      </c>
      <c r="U169" s="345">
        <f>IF($A169="","",IF(OR('Mar 2027'!O26=TRUE,'Mar 2027'!O26="x",'Mar 2027'!O26="X"),1,0))</f>
        <v/>
      </c>
      <c r="V169" s="345">
        <f>IF($A169="","",IF(OR('Mar 2027'!O27=TRUE,'Mar 2027'!O27="x",'Mar 2027'!O27="X"),1,0))</f>
        <v/>
      </c>
      <c r="W169" s="345">
        <f>IF($A169="","",IF(OR('Mar 2027'!O28=TRUE,'Mar 2027'!O28="x",'Mar 2027'!O28="X"),1,0))</f>
        <v/>
      </c>
      <c r="X169" s="345">
        <f>IF($A169="","",IF(OR('Mar 2027'!O29=TRUE,'Mar 2027'!O29="x",'Mar 2027'!O29="X"),1,0))</f>
        <v/>
      </c>
      <c r="Y169" s="345">
        <f>IF($A169="","",IF(OR('Mar 2027'!O30=TRUE,'Mar 2027'!O30="x",'Mar 2027'!O30="X"),1,0))</f>
        <v/>
      </c>
      <c r="Z169" s="345">
        <f>IF($A169="","",IF(OR('Mar 2027'!O31=TRUE,'Mar 2027'!O31="x",'Mar 2027'!O31="X"),1,0))</f>
        <v/>
      </c>
      <c r="AA169" s="345">
        <f>IF($A169="","",IF(OR('Mar 2027'!O32=TRUE,'Mar 2027'!O32="x",'Mar 2027'!O32="X"),1,0))</f>
        <v/>
      </c>
      <c r="AB169" s="345">
        <f>IF($A169="","",IF(OR('Mar 2027'!O34=TRUE,'Mar 2027'!O34="x",'Mar 2027'!O34="X"),1,0))</f>
        <v/>
      </c>
      <c r="AC169" s="345">
        <f>IF($A169="","",IF(OR('Mar 2027'!O35=TRUE,'Mar 2027'!O35="x",'Mar 2027'!O35="X"),1,0))</f>
        <v/>
      </c>
      <c r="AD169" s="345">
        <f>IF($A169="","",IF(OR('Mar 2027'!O36=TRUE,'Mar 2027'!O36="x",'Mar 2027'!O36="X"),1,0))</f>
        <v/>
      </c>
      <c r="AE169" s="345">
        <f>IF($A169="","",IF(OR('Mar 2027'!O37=TRUE,'Mar 2027'!O37="x",'Mar 2027'!O37="X"),1,0))</f>
        <v/>
      </c>
      <c r="AF169" s="345">
        <f>IF($A169="","",IF('Mar 2027'!O59="","",'Mar 2027'!O59))</f>
        <v/>
      </c>
      <c r="AG169" s="345">
        <f>IF($A169="","",IF('Mar 2027'!O60="","",'Mar 2027'!O60))</f>
        <v/>
      </c>
      <c r="AH169" s="345">
        <f>IF($A169="","",IF('Mar 2027'!O61="","",'Mar 2027'!O61))</f>
        <v/>
      </c>
      <c r="AI169" s="345">
        <f>IF($A169="","",IF('Mar 2027'!O62="","",'Mar 2027'!O62))</f>
        <v/>
      </c>
      <c r="AJ169" s="345">
        <f>IF($A169="","",IF('Mar 2027'!O63="","",'Mar 2027'!O63))</f>
        <v/>
      </c>
      <c r="AK169" s="345">
        <f>IF($A169="","",IF('Mar 2027'!O64="","",'Mar 2027'!O64))</f>
        <v/>
      </c>
      <c r="AL169" s="345">
        <f>IF($A169="","",IF('Mar 2027'!O65="","",'Mar 2027'!O65))</f>
        <v/>
      </c>
      <c r="AM169" s="345">
        <f>IF($A169="","",IF('Mar 2027'!O66="","",'Mar 2027'!O66))</f>
        <v/>
      </c>
      <c r="AN169" s="345">
        <f>IF($A169="","",IF('Mar 2027'!O67="","",'Mar 2027'!O67))</f>
        <v/>
      </c>
      <c r="AO169" s="345">
        <f>IF($A169="",0,IF(AND($A169&gt;=TrackStart,$A169&lt;=TODAY()),1,0))</f>
        <v/>
      </c>
      <c r="AP169" s="345">
        <f>IF($A169="",0,IF(SUM(F169:AE169)+COUNT(AF169:AN169)&gt;0,1,0))</f>
        <v/>
      </c>
      <c r="AQ169" s="345">
        <f>IF($A169="","",INT(($A169-TrackStart)/7)+1)</f>
        <v/>
      </c>
      <c r="AR169" s="345">
        <f>IF($A169="","",IF(AQ169&lt;=1,Steps1,IF(AQ169=2,Steps2,Steps3)))</f>
        <v/>
      </c>
      <c r="AS169" s="345">
        <f>IF($A169="",0,IF(ISNUMBER(SEARCH(TEXT(D169,"0"),WorkDays&amp;"")),1,0))</f>
        <v/>
      </c>
      <c r="AT169" s="345">
        <f>IF($A169="",0,IF(ISNUMBER(SEARCH(TEXT(D169,"0"),StrDays&amp;"")),1,0))</f>
        <v/>
      </c>
      <c r="AU169" s="345">
        <f>IF($A169="",0,IF(ISNUMBER(AK169),IF(AK169&gt;=SleepMin,1,0),N169))</f>
        <v/>
      </c>
      <c r="AV169" s="345">
        <f>IF($A169="",0,MAX(I169,O169,S169,AC169))</f>
        <v/>
      </c>
      <c r="AW169" s="345">
        <f>IF($A169="",0,IF(ISNUMBER(AH169),IF(AH169&gt;=ProtHit,1,0),0))</f>
        <v/>
      </c>
      <c r="AX169" s="345">
        <f>IF($A169="",0,IF(ISNUMBER(AI169),IF(AI169&gt;=WaterHit,1,0),0))</f>
        <v/>
      </c>
      <c r="AY169" s="345">
        <f>IF($A169="",0,IF(ISNUMBER(AG169),IF(AG169&gt;=AR169,1,0),0))</f>
        <v/>
      </c>
      <c r="AZ169" s="345">
        <f>IF($A169="",0,G169)</f>
        <v/>
      </c>
      <c r="BA169" s="345">
        <f>IF($A169="",0,J169)</f>
        <v/>
      </c>
      <c r="BB169" s="345">
        <f>IF($A169="",0,K169)</f>
        <v/>
      </c>
      <c r="BC169" s="345">
        <f>IF($A169="",0,MAX(L169,AE169))</f>
        <v/>
      </c>
      <c r="BD169" s="344">
        <f>IF($A169="","",(AU169+AV169+AW169+AX169+AY169+AZ169+BB169+BC169+IF(AS169=1,BA169,0))/(8+AS169))</f>
        <v/>
      </c>
      <c r="BE169" s="344">
        <f>IF($A169="","",(IF(ISNUMBER(AI169),IF(AI169&gt;=WaterMVD,1,0),0)+AV169+IF(ISNUMBER(AH169),IF(AH169&gt;=ProtMVD,1,0),0)+MAX(H169,AD169)+AZ169+BB169+AU169)/7)</f>
        <v/>
      </c>
      <c r="BF169" s="344">
        <f>IF(AO169=0,"",IF(E169="S","",IF(AND(AP169=0,$A169=TODAY()),"",IF(E169="M",BE169,BD169))))</f>
        <v/>
      </c>
      <c r="BG169" s="344">
        <f>IF(AO169=0,"",IFERROR(AVERAGEIFS(Data!$BF$4:$BF$375,Data!$A$4:$A$375,"&gt;"&amp;($A169-7),Data!$A$4:$A$375,"&lt;="&amp;$A169),""))</f>
        <v/>
      </c>
      <c r="BH169" s="344">
        <f>IF(AO169=0,"",IFERROR(AVERAGEIFS(Data!$BF$4:$BF$375,Data!$A$4:$A$375,"&gt;"&amp;($A169-30),Data!$A$4:$A$375,"&lt;="&amp;$A169),""))</f>
        <v/>
      </c>
      <c r="BI169" s="359">
        <f>IF($A169="","",IFERROR(AVERAGEIFS(Data!$AF$4:$AF$375,Data!$A$4:$A$375,"&gt;"&amp;($A169-7),Data!$A$4:$A$375,"&lt;="&amp;$A169,Data!$AF$4:$AF$375,"&gt;0"),""))</f>
        <v/>
      </c>
      <c r="BJ169" s="345">
        <f>IF($A169="","",F169+G169+H169+I169+J169+K169+L169+M169+N169-IF(AS169=1,0,J169))</f>
        <v/>
      </c>
      <c r="BK169" s="345">
        <f>IF($A169="","",8+AS169)</f>
        <v/>
      </c>
      <c r="BL169" s="345">
        <f>IF(ISNUMBER(BF169),BF169,NA())</f>
        <v/>
      </c>
      <c r="BM169" s="345">
        <f>IF(ISNUMBER(AF169),AF169,NA())</f>
        <v/>
      </c>
      <c r="BN169" s="345">
        <f>IF(ISNUMBER(BI169),BI169,NA())</f>
        <v/>
      </c>
      <c r="BO169" s="345">
        <f>IF(ISNUMBER(AL169),AL169,NA())</f>
        <v/>
      </c>
      <c r="BP169" s="345">
        <f>IF(ISNUMBER(AM169),AM169,NA())</f>
        <v/>
      </c>
      <c r="BQ169" s="345">
        <f>IF(ISNUMBER(AN169),AN169,NA())</f>
        <v/>
      </c>
    </row>
    <row r="170">
      <c r="A170" s="358">
        <f>IF('Mar 2027'!P7="","",'Mar 2027'!P7)</f>
        <v/>
      </c>
      <c r="B170" s="345" t="n">
        <v>6</v>
      </c>
      <c r="C170" s="345">
        <f>IF($A170="","",12)</f>
        <v/>
      </c>
      <c r="D170" s="345">
        <f>IF($A170="","",WEEKDAY($A170,2))</f>
        <v/>
      </c>
      <c r="E170" s="345">
        <f>IF($A170="","",UPPER(TRIM('Mar 2027'!P8)))</f>
        <v/>
      </c>
      <c r="F170" s="345">
        <f>IF($A170="","",IF(OR('Mar 2027'!P10=TRUE,'Mar 2027'!P10="x",'Mar 2027'!P10="X"),1,0))</f>
        <v/>
      </c>
      <c r="G170" s="345">
        <f>IF($A170="","",IF(OR('Mar 2027'!P11=TRUE,'Mar 2027'!P11="x",'Mar 2027'!P11="X"),1,0))</f>
        <v/>
      </c>
      <c r="H170" s="345">
        <f>IF($A170="","",IF(OR('Mar 2027'!P12=TRUE,'Mar 2027'!P12="x",'Mar 2027'!P12="X"),1,0))</f>
        <v/>
      </c>
      <c r="I170" s="345">
        <f>IF($A170="","",IF(OR('Mar 2027'!P13=TRUE,'Mar 2027'!P13="x",'Mar 2027'!P13="X"),1,0))</f>
        <v/>
      </c>
      <c r="J170" s="345">
        <f>IF($A170="","",IF(OR('Mar 2027'!P14=TRUE,'Mar 2027'!P14="x",'Mar 2027'!P14="X"),1,0))</f>
        <v/>
      </c>
      <c r="K170" s="345">
        <f>IF($A170="","",IF(OR('Mar 2027'!P15=TRUE,'Mar 2027'!P15="x",'Mar 2027'!P15="X"),1,0))</f>
        <v/>
      </c>
      <c r="L170" s="345">
        <f>IF($A170="","",IF(OR('Mar 2027'!P16=TRUE,'Mar 2027'!P16="x",'Mar 2027'!P16="X"),1,0))</f>
        <v/>
      </c>
      <c r="M170" s="345">
        <f>IF($A170="","",IF(OR('Mar 2027'!P17=TRUE,'Mar 2027'!P17="x",'Mar 2027'!P17="X"),1,0))</f>
        <v/>
      </c>
      <c r="N170" s="345">
        <f>IF($A170="","",IF(OR('Mar 2027'!P18=TRUE,'Mar 2027'!P18="x",'Mar 2027'!P18="X"),1,0))</f>
        <v/>
      </c>
      <c r="O170" s="345">
        <f>IF($A170="","",IF(OR('Mar 2027'!P20=TRUE,'Mar 2027'!P20="x",'Mar 2027'!P20="X"),1,0))</f>
        <v/>
      </c>
      <c r="P170" s="345">
        <f>IF($A170="","",IF(OR('Mar 2027'!P21=TRUE,'Mar 2027'!P21="x",'Mar 2027'!P21="X"),1,0))</f>
        <v/>
      </c>
      <c r="Q170" s="345">
        <f>IF($A170="","",IF(OR('Mar 2027'!P22=TRUE,'Mar 2027'!P22="x",'Mar 2027'!P22="X"),1,0))</f>
        <v/>
      </c>
      <c r="R170" s="345">
        <f>IF($A170="","",IF(OR('Mar 2027'!P23=TRUE,'Mar 2027'!P23="x",'Mar 2027'!P23="X"),1,0))</f>
        <v/>
      </c>
      <c r="S170" s="345">
        <f>IF($A170="","",IF(OR('Mar 2027'!P24=TRUE,'Mar 2027'!P24="x",'Mar 2027'!P24="X"),1,0))</f>
        <v/>
      </c>
      <c r="T170" s="345">
        <f>IF($A170="","",IF(OR('Mar 2027'!P25=TRUE,'Mar 2027'!P25="x",'Mar 2027'!P25="X"),1,0))</f>
        <v/>
      </c>
      <c r="U170" s="345">
        <f>IF($A170="","",IF(OR('Mar 2027'!P26=TRUE,'Mar 2027'!P26="x",'Mar 2027'!P26="X"),1,0))</f>
        <v/>
      </c>
      <c r="V170" s="345">
        <f>IF($A170="","",IF(OR('Mar 2027'!P27=TRUE,'Mar 2027'!P27="x",'Mar 2027'!P27="X"),1,0))</f>
        <v/>
      </c>
      <c r="W170" s="345">
        <f>IF($A170="","",IF(OR('Mar 2027'!P28=TRUE,'Mar 2027'!P28="x",'Mar 2027'!P28="X"),1,0))</f>
        <v/>
      </c>
      <c r="X170" s="345">
        <f>IF($A170="","",IF(OR('Mar 2027'!P29=TRUE,'Mar 2027'!P29="x",'Mar 2027'!P29="X"),1,0))</f>
        <v/>
      </c>
      <c r="Y170" s="345">
        <f>IF($A170="","",IF(OR('Mar 2027'!P30=TRUE,'Mar 2027'!P30="x",'Mar 2027'!P30="X"),1,0))</f>
        <v/>
      </c>
      <c r="Z170" s="345">
        <f>IF($A170="","",IF(OR('Mar 2027'!P31=TRUE,'Mar 2027'!P31="x",'Mar 2027'!P31="X"),1,0))</f>
        <v/>
      </c>
      <c r="AA170" s="345">
        <f>IF($A170="","",IF(OR('Mar 2027'!P32=TRUE,'Mar 2027'!P32="x",'Mar 2027'!P32="X"),1,0))</f>
        <v/>
      </c>
      <c r="AB170" s="345">
        <f>IF($A170="","",IF(OR('Mar 2027'!P34=TRUE,'Mar 2027'!P34="x",'Mar 2027'!P34="X"),1,0))</f>
        <v/>
      </c>
      <c r="AC170" s="345">
        <f>IF($A170="","",IF(OR('Mar 2027'!P35=TRUE,'Mar 2027'!P35="x",'Mar 2027'!P35="X"),1,0))</f>
        <v/>
      </c>
      <c r="AD170" s="345">
        <f>IF($A170="","",IF(OR('Mar 2027'!P36=TRUE,'Mar 2027'!P36="x",'Mar 2027'!P36="X"),1,0))</f>
        <v/>
      </c>
      <c r="AE170" s="345">
        <f>IF($A170="","",IF(OR('Mar 2027'!P37=TRUE,'Mar 2027'!P37="x",'Mar 2027'!P37="X"),1,0))</f>
        <v/>
      </c>
      <c r="AF170" s="345">
        <f>IF($A170="","",IF('Mar 2027'!P59="","",'Mar 2027'!P59))</f>
        <v/>
      </c>
      <c r="AG170" s="345">
        <f>IF($A170="","",IF('Mar 2027'!P60="","",'Mar 2027'!P60))</f>
        <v/>
      </c>
      <c r="AH170" s="345">
        <f>IF($A170="","",IF('Mar 2027'!P61="","",'Mar 2027'!P61))</f>
        <v/>
      </c>
      <c r="AI170" s="345">
        <f>IF($A170="","",IF('Mar 2027'!P62="","",'Mar 2027'!P62))</f>
        <v/>
      </c>
      <c r="AJ170" s="345">
        <f>IF($A170="","",IF('Mar 2027'!P63="","",'Mar 2027'!P63))</f>
        <v/>
      </c>
      <c r="AK170" s="345">
        <f>IF($A170="","",IF('Mar 2027'!P64="","",'Mar 2027'!P64))</f>
        <v/>
      </c>
      <c r="AL170" s="345">
        <f>IF($A170="","",IF('Mar 2027'!P65="","",'Mar 2027'!P65))</f>
        <v/>
      </c>
      <c r="AM170" s="345">
        <f>IF($A170="","",IF('Mar 2027'!P66="","",'Mar 2027'!P66))</f>
        <v/>
      </c>
      <c r="AN170" s="345">
        <f>IF($A170="","",IF('Mar 2027'!P67="","",'Mar 2027'!P67))</f>
        <v/>
      </c>
      <c r="AO170" s="345">
        <f>IF($A170="",0,IF(AND($A170&gt;=TrackStart,$A170&lt;=TODAY()),1,0))</f>
        <v/>
      </c>
      <c r="AP170" s="345">
        <f>IF($A170="",0,IF(SUM(F170:AE170)+COUNT(AF170:AN170)&gt;0,1,0))</f>
        <v/>
      </c>
      <c r="AQ170" s="345">
        <f>IF($A170="","",INT(($A170-TrackStart)/7)+1)</f>
        <v/>
      </c>
      <c r="AR170" s="345">
        <f>IF($A170="","",IF(AQ170&lt;=1,Steps1,IF(AQ170=2,Steps2,Steps3)))</f>
        <v/>
      </c>
      <c r="AS170" s="345">
        <f>IF($A170="",0,IF(ISNUMBER(SEARCH(TEXT(D170,"0"),WorkDays&amp;"")),1,0))</f>
        <v/>
      </c>
      <c r="AT170" s="345">
        <f>IF($A170="",0,IF(ISNUMBER(SEARCH(TEXT(D170,"0"),StrDays&amp;"")),1,0))</f>
        <v/>
      </c>
      <c r="AU170" s="345">
        <f>IF($A170="",0,IF(ISNUMBER(AK170),IF(AK170&gt;=SleepMin,1,0),N170))</f>
        <v/>
      </c>
      <c r="AV170" s="345">
        <f>IF($A170="",0,MAX(I170,O170,S170,AC170))</f>
        <v/>
      </c>
      <c r="AW170" s="345">
        <f>IF($A170="",0,IF(ISNUMBER(AH170),IF(AH170&gt;=ProtHit,1,0),0))</f>
        <v/>
      </c>
      <c r="AX170" s="345">
        <f>IF($A170="",0,IF(ISNUMBER(AI170),IF(AI170&gt;=WaterHit,1,0),0))</f>
        <v/>
      </c>
      <c r="AY170" s="345">
        <f>IF($A170="",0,IF(ISNUMBER(AG170),IF(AG170&gt;=AR170,1,0),0))</f>
        <v/>
      </c>
      <c r="AZ170" s="345">
        <f>IF($A170="",0,G170)</f>
        <v/>
      </c>
      <c r="BA170" s="345">
        <f>IF($A170="",0,J170)</f>
        <v/>
      </c>
      <c r="BB170" s="345">
        <f>IF($A170="",0,K170)</f>
        <v/>
      </c>
      <c r="BC170" s="345">
        <f>IF($A170="",0,MAX(L170,AE170))</f>
        <v/>
      </c>
      <c r="BD170" s="344">
        <f>IF($A170="","",(AU170+AV170+AW170+AX170+AY170+AZ170+BB170+BC170+IF(AS170=1,BA170,0))/(8+AS170))</f>
        <v/>
      </c>
      <c r="BE170" s="344">
        <f>IF($A170="","",(IF(ISNUMBER(AI170),IF(AI170&gt;=WaterMVD,1,0),0)+AV170+IF(ISNUMBER(AH170),IF(AH170&gt;=ProtMVD,1,0),0)+MAX(H170,AD170)+AZ170+BB170+AU170)/7)</f>
        <v/>
      </c>
      <c r="BF170" s="344">
        <f>IF(AO170=0,"",IF(E170="S","",IF(AND(AP170=0,$A170=TODAY()),"",IF(E170="M",BE170,BD170))))</f>
        <v/>
      </c>
      <c r="BG170" s="344">
        <f>IF(AO170=0,"",IFERROR(AVERAGEIFS(Data!$BF$4:$BF$375,Data!$A$4:$A$375,"&gt;"&amp;($A170-7),Data!$A$4:$A$375,"&lt;="&amp;$A170),""))</f>
        <v/>
      </c>
      <c r="BH170" s="344">
        <f>IF(AO170=0,"",IFERROR(AVERAGEIFS(Data!$BF$4:$BF$375,Data!$A$4:$A$375,"&gt;"&amp;($A170-30),Data!$A$4:$A$375,"&lt;="&amp;$A170),""))</f>
        <v/>
      </c>
      <c r="BI170" s="359">
        <f>IF($A170="","",IFERROR(AVERAGEIFS(Data!$AF$4:$AF$375,Data!$A$4:$A$375,"&gt;"&amp;($A170-7),Data!$A$4:$A$375,"&lt;="&amp;$A170,Data!$AF$4:$AF$375,"&gt;0"),""))</f>
        <v/>
      </c>
      <c r="BJ170" s="345">
        <f>IF($A170="","",F170+G170+H170+I170+J170+K170+L170+M170+N170-IF(AS170=1,0,J170))</f>
        <v/>
      </c>
      <c r="BK170" s="345">
        <f>IF($A170="","",8+AS170)</f>
        <v/>
      </c>
      <c r="BL170" s="345">
        <f>IF(ISNUMBER(BF170),BF170,NA())</f>
        <v/>
      </c>
      <c r="BM170" s="345">
        <f>IF(ISNUMBER(AF170),AF170,NA())</f>
        <v/>
      </c>
      <c r="BN170" s="345">
        <f>IF(ISNUMBER(BI170),BI170,NA())</f>
        <v/>
      </c>
      <c r="BO170" s="345">
        <f>IF(ISNUMBER(AL170),AL170,NA())</f>
        <v/>
      </c>
      <c r="BP170" s="345">
        <f>IF(ISNUMBER(AM170),AM170,NA())</f>
        <v/>
      </c>
      <c r="BQ170" s="345">
        <f>IF(ISNUMBER(AN170),AN170,NA())</f>
        <v/>
      </c>
    </row>
    <row r="171">
      <c r="A171" s="358">
        <f>IF('Mar 2027'!Q7="","",'Mar 2027'!Q7)</f>
        <v/>
      </c>
      <c r="B171" s="345" t="n">
        <v>6</v>
      </c>
      <c r="C171" s="345">
        <f>IF($A171="","",13)</f>
        <v/>
      </c>
      <c r="D171" s="345">
        <f>IF($A171="","",WEEKDAY($A171,2))</f>
        <v/>
      </c>
      <c r="E171" s="345">
        <f>IF($A171="","",UPPER(TRIM('Mar 2027'!Q8)))</f>
        <v/>
      </c>
      <c r="F171" s="345">
        <f>IF($A171="","",IF(OR('Mar 2027'!Q10=TRUE,'Mar 2027'!Q10="x",'Mar 2027'!Q10="X"),1,0))</f>
        <v/>
      </c>
      <c r="G171" s="345">
        <f>IF($A171="","",IF(OR('Mar 2027'!Q11=TRUE,'Mar 2027'!Q11="x",'Mar 2027'!Q11="X"),1,0))</f>
        <v/>
      </c>
      <c r="H171" s="345">
        <f>IF($A171="","",IF(OR('Mar 2027'!Q12=TRUE,'Mar 2027'!Q12="x",'Mar 2027'!Q12="X"),1,0))</f>
        <v/>
      </c>
      <c r="I171" s="345">
        <f>IF($A171="","",IF(OR('Mar 2027'!Q13=TRUE,'Mar 2027'!Q13="x",'Mar 2027'!Q13="X"),1,0))</f>
        <v/>
      </c>
      <c r="J171" s="345">
        <f>IF($A171="","",IF(OR('Mar 2027'!Q14=TRUE,'Mar 2027'!Q14="x",'Mar 2027'!Q14="X"),1,0))</f>
        <v/>
      </c>
      <c r="K171" s="345">
        <f>IF($A171="","",IF(OR('Mar 2027'!Q15=TRUE,'Mar 2027'!Q15="x",'Mar 2027'!Q15="X"),1,0))</f>
        <v/>
      </c>
      <c r="L171" s="345">
        <f>IF($A171="","",IF(OR('Mar 2027'!Q16=TRUE,'Mar 2027'!Q16="x",'Mar 2027'!Q16="X"),1,0))</f>
        <v/>
      </c>
      <c r="M171" s="345">
        <f>IF($A171="","",IF(OR('Mar 2027'!Q17=TRUE,'Mar 2027'!Q17="x",'Mar 2027'!Q17="X"),1,0))</f>
        <v/>
      </c>
      <c r="N171" s="345">
        <f>IF($A171="","",IF(OR('Mar 2027'!Q18=TRUE,'Mar 2027'!Q18="x",'Mar 2027'!Q18="X"),1,0))</f>
        <v/>
      </c>
      <c r="O171" s="345">
        <f>IF($A171="","",IF(OR('Mar 2027'!Q20=TRUE,'Mar 2027'!Q20="x",'Mar 2027'!Q20="X"),1,0))</f>
        <v/>
      </c>
      <c r="P171" s="345">
        <f>IF($A171="","",IF(OR('Mar 2027'!Q21=TRUE,'Mar 2027'!Q21="x",'Mar 2027'!Q21="X"),1,0))</f>
        <v/>
      </c>
      <c r="Q171" s="345">
        <f>IF($A171="","",IF(OR('Mar 2027'!Q22=TRUE,'Mar 2027'!Q22="x",'Mar 2027'!Q22="X"),1,0))</f>
        <v/>
      </c>
      <c r="R171" s="345">
        <f>IF($A171="","",IF(OR('Mar 2027'!Q23=TRUE,'Mar 2027'!Q23="x",'Mar 2027'!Q23="X"),1,0))</f>
        <v/>
      </c>
      <c r="S171" s="345">
        <f>IF($A171="","",IF(OR('Mar 2027'!Q24=TRUE,'Mar 2027'!Q24="x",'Mar 2027'!Q24="X"),1,0))</f>
        <v/>
      </c>
      <c r="T171" s="345">
        <f>IF($A171="","",IF(OR('Mar 2027'!Q25=TRUE,'Mar 2027'!Q25="x",'Mar 2027'!Q25="X"),1,0))</f>
        <v/>
      </c>
      <c r="U171" s="345">
        <f>IF($A171="","",IF(OR('Mar 2027'!Q26=TRUE,'Mar 2027'!Q26="x",'Mar 2027'!Q26="X"),1,0))</f>
        <v/>
      </c>
      <c r="V171" s="345">
        <f>IF($A171="","",IF(OR('Mar 2027'!Q27=TRUE,'Mar 2027'!Q27="x",'Mar 2027'!Q27="X"),1,0))</f>
        <v/>
      </c>
      <c r="W171" s="345">
        <f>IF($A171="","",IF(OR('Mar 2027'!Q28=TRUE,'Mar 2027'!Q28="x",'Mar 2027'!Q28="X"),1,0))</f>
        <v/>
      </c>
      <c r="X171" s="345">
        <f>IF($A171="","",IF(OR('Mar 2027'!Q29=TRUE,'Mar 2027'!Q29="x",'Mar 2027'!Q29="X"),1,0))</f>
        <v/>
      </c>
      <c r="Y171" s="345">
        <f>IF($A171="","",IF(OR('Mar 2027'!Q30=TRUE,'Mar 2027'!Q30="x",'Mar 2027'!Q30="X"),1,0))</f>
        <v/>
      </c>
      <c r="Z171" s="345">
        <f>IF($A171="","",IF(OR('Mar 2027'!Q31=TRUE,'Mar 2027'!Q31="x",'Mar 2027'!Q31="X"),1,0))</f>
        <v/>
      </c>
      <c r="AA171" s="345">
        <f>IF($A171="","",IF(OR('Mar 2027'!Q32=TRUE,'Mar 2027'!Q32="x",'Mar 2027'!Q32="X"),1,0))</f>
        <v/>
      </c>
      <c r="AB171" s="345">
        <f>IF($A171="","",IF(OR('Mar 2027'!Q34=TRUE,'Mar 2027'!Q34="x",'Mar 2027'!Q34="X"),1,0))</f>
        <v/>
      </c>
      <c r="AC171" s="345">
        <f>IF($A171="","",IF(OR('Mar 2027'!Q35=TRUE,'Mar 2027'!Q35="x",'Mar 2027'!Q35="X"),1,0))</f>
        <v/>
      </c>
      <c r="AD171" s="345">
        <f>IF($A171="","",IF(OR('Mar 2027'!Q36=TRUE,'Mar 2027'!Q36="x",'Mar 2027'!Q36="X"),1,0))</f>
        <v/>
      </c>
      <c r="AE171" s="345">
        <f>IF($A171="","",IF(OR('Mar 2027'!Q37=TRUE,'Mar 2027'!Q37="x",'Mar 2027'!Q37="X"),1,0))</f>
        <v/>
      </c>
      <c r="AF171" s="345">
        <f>IF($A171="","",IF('Mar 2027'!Q59="","",'Mar 2027'!Q59))</f>
        <v/>
      </c>
      <c r="AG171" s="345">
        <f>IF($A171="","",IF('Mar 2027'!Q60="","",'Mar 2027'!Q60))</f>
        <v/>
      </c>
      <c r="AH171" s="345">
        <f>IF($A171="","",IF('Mar 2027'!Q61="","",'Mar 2027'!Q61))</f>
        <v/>
      </c>
      <c r="AI171" s="345">
        <f>IF($A171="","",IF('Mar 2027'!Q62="","",'Mar 2027'!Q62))</f>
        <v/>
      </c>
      <c r="AJ171" s="345">
        <f>IF($A171="","",IF('Mar 2027'!Q63="","",'Mar 2027'!Q63))</f>
        <v/>
      </c>
      <c r="AK171" s="345">
        <f>IF($A171="","",IF('Mar 2027'!Q64="","",'Mar 2027'!Q64))</f>
        <v/>
      </c>
      <c r="AL171" s="345">
        <f>IF($A171="","",IF('Mar 2027'!Q65="","",'Mar 2027'!Q65))</f>
        <v/>
      </c>
      <c r="AM171" s="345">
        <f>IF($A171="","",IF('Mar 2027'!Q66="","",'Mar 2027'!Q66))</f>
        <v/>
      </c>
      <c r="AN171" s="345">
        <f>IF($A171="","",IF('Mar 2027'!Q67="","",'Mar 2027'!Q67))</f>
        <v/>
      </c>
      <c r="AO171" s="345">
        <f>IF($A171="",0,IF(AND($A171&gt;=TrackStart,$A171&lt;=TODAY()),1,0))</f>
        <v/>
      </c>
      <c r="AP171" s="345">
        <f>IF($A171="",0,IF(SUM(F171:AE171)+COUNT(AF171:AN171)&gt;0,1,0))</f>
        <v/>
      </c>
      <c r="AQ171" s="345">
        <f>IF($A171="","",INT(($A171-TrackStart)/7)+1)</f>
        <v/>
      </c>
      <c r="AR171" s="345">
        <f>IF($A171="","",IF(AQ171&lt;=1,Steps1,IF(AQ171=2,Steps2,Steps3)))</f>
        <v/>
      </c>
      <c r="AS171" s="345">
        <f>IF($A171="",0,IF(ISNUMBER(SEARCH(TEXT(D171,"0"),WorkDays&amp;"")),1,0))</f>
        <v/>
      </c>
      <c r="AT171" s="345">
        <f>IF($A171="",0,IF(ISNUMBER(SEARCH(TEXT(D171,"0"),StrDays&amp;"")),1,0))</f>
        <v/>
      </c>
      <c r="AU171" s="345">
        <f>IF($A171="",0,IF(ISNUMBER(AK171),IF(AK171&gt;=SleepMin,1,0),N171))</f>
        <v/>
      </c>
      <c r="AV171" s="345">
        <f>IF($A171="",0,MAX(I171,O171,S171,AC171))</f>
        <v/>
      </c>
      <c r="AW171" s="345">
        <f>IF($A171="",0,IF(ISNUMBER(AH171),IF(AH171&gt;=ProtHit,1,0),0))</f>
        <v/>
      </c>
      <c r="AX171" s="345">
        <f>IF($A171="",0,IF(ISNUMBER(AI171),IF(AI171&gt;=WaterHit,1,0),0))</f>
        <v/>
      </c>
      <c r="AY171" s="345">
        <f>IF($A171="",0,IF(ISNUMBER(AG171),IF(AG171&gt;=AR171,1,0),0))</f>
        <v/>
      </c>
      <c r="AZ171" s="345">
        <f>IF($A171="",0,G171)</f>
        <v/>
      </c>
      <c r="BA171" s="345">
        <f>IF($A171="",0,J171)</f>
        <v/>
      </c>
      <c r="BB171" s="345">
        <f>IF($A171="",0,K171)</f>
        <v/>
      </c>
      <c r="BC171" s="345">
        <f>IF($A171="",0,MAX(L171,AE171))</f>
        <v/>
      </c>
      <c r="BD171" s="344">
        <f>IF($A171="","",(AU171+AV171+AW171+AX171+AY171+AZ171+BB171+BC171+IF(AS171=1,BA171,0))/(8+AS171))</f>
        <v/>
      </c>
      <c r="BE171" s="344">
        <f>IF($A171="","",(IF(ISNUMBER(AI171),IF(AI171&gt;=WaterMVD,1,0),0)+AV171+IF(ISNUMBER(AH171),IF(AH171&gt;=ProtMVD,1,0),0)+MAX(H171,AD171)+AZ171+BB171+AU171)/7)</f>
        <v/>
      </c>
      <c r="BF171" s="344">
        <f>IF(AO171=0,"",IF(E171="S","",IF(AND(AP171=0,$A171=TODAY()),"",IF(E171="M",BE171,BD171))))</f>
        <v/>
      </c>
      <c r="BG171" s="344">
        <f>IF(AO171=0,"",IFERROR(AVERAGEIFS(Data!$BF$4:$BF$375,Data!$A$4:$A$375,"&gt;"&amp;($A171-7),Data!$A$4:$A$375,"&lt;="&amp;$A171),""))</f>
        <v/>
      </c>
      <c r="BH171" s="344">
        <f>IF(AO171=0,"",IFERROR(AVERAGEIFS(Data!$BF$4:$BF$375,Data!$A$4:$A$375,"&gt;"&amp;($A171-30),Data!$A$4:$A$375,"&lt;="&amp;$A171),""))</f>
        <v/>
      </c>
      <c r="BI171" s="359">
        <f>IF($A171="","",IFERROR(AVERAGEIFS(Data!$AF$4:$AF$375,Data!$A$4:$A$375,"&gt;"&amp;($A171-7),Data!$A$4:$A$375,"&lt;="&amp;$A171,Data!$AF$4:$AF$375,"&gt;0"),""))</f>
        <v/>
      </c>
      <c r="BJ171" s="345">
        <f>IF($A171="","",F171+G171+H171+I171+J171+K171+L171+M171+N171-IF(AS171=1,0,J171))</f>
        <v/>
      </c>
      <c r="BK171" s="345">
        <f>IF($A171="","",8+AS171)</f>
        <v/>
      </c>
      <c r="BL171" s="345">
        <f>IF(ISNUMBER(BF171),BF171,NA())</f>
        <v/>
      </c>
      <c r="BM171" s="345">
        <f>IF(ISNUMBER(AF171),AF171,NA())</f>
        <v/>
      </c>
      <c r="BN171" s="345">
        <f>IF(ISNUMBER(BI171),BI171,NA())</f>
        <v/>
      </c>
      <c r="BO171" s="345">
        <f>IF(ISNUMBER(AL171),AL171,NA())</f>
        <v/>
      </c>
      <c r="BP171" s="345">
        <f>IF(ISNUMBER(AM171),AM171,NA())</f>
        <v/>
      </c>
      <c r="BQ171" s="345">
        <f>IF(ISNUMBER(AN171),AN171,NA())</f>
        <v/>
      </c>
    </row>
    <row r="172">
      <c r="A172" s="358">
        <f>IF('Mar 2027'!R7="","",'Mar 2027'!R7)</f>
        <v/>
      </c>
      <c r="B172" s="345" t="n">
        <v>6</v>
      </c>
      <c r="C172" s="345">
        <f>IF($A172="","",14)</f>
        <v/>
      </c>
      <c r="D172" s="345">
        <f>IF($A172="","",WEEKDAY($A172,2))</f>
        <v/>
      </c>
      <c r="E172" s="345">
        <f>IF($A172="","",UPPER(TRIM('Mar 2027'!R8)))</f>
        <v/>
      </c>
      <c r="F172" s="345">
        <f>IF($A172="","",IF(OR('Mar 2027'!R10=TRUE,'Mar 2027'!R10="x",'Mar 2027'!R10="X"),1,0))</f>
        <v/>
      </c>
      <c r="G172" s="345">
        <f>IF($A172="","",IF(OR('Mar 2027'!R11=TRUE,'Mar 2027'!R11="x",'Mar 2027'!R11="X"),1,0))</f>
        <v/>
      </c>
      <c r="H172" s="345">
        <f>IF($A172="","",IF(OR('Mar 2027'!R12=TRUE,'Mar 2027'!R12="x",'Mar 2027'!R12="X"),1,0))</f>
        <v/>
      </c>
      <c r="I172" s="345">
        <f>IF($A172="","",IF(OR('Mar 2027'!R13=TRUE,'Mar 2027'!R13="x",'Mar 2027'!R13="X"),1,0))</f>
        <v/>
      </c>
      <c r="J172" s="345">
        <f>IF($A172="","",IF(OR('Mar 2027'!R14=TRUE,'Mar 2027'!R14="x",'Mar 2027'!R14="X"),1,0))</f>
        <v/>
      </c>
      <c r="K172" s="345">
        <f>IF($A172="","",IF(OR('Mar 2027'!R15=TRUE,'Mar 2027'!R15="x",'Mar 2027'!R15="X"),1,0))</f>
        <v/>
      </c>
      <c r="L172" s="345">
        <f>IF($A172="","",IF(OR('Mar 2027'!R16=TRUE,'Mar 2027'!R16="x",'Mar 2027'!R16="X"),1,0))</f>
        <v/>
      </c>
      <c r="M172" s="345">
        <f>IF($A172="","",IF(OR('Mar 2027'!R17=TRUE,'Mar 2027'!R17="x",'Mar 2027'!R17="X"),1,0))</f>
        <v/>
      </c>
      <c r="N172" s="345">
        <f>IF($A172="","",IF(OR('Mar 2027'!R18=TRUE,'Mar 2027'!R18="x",'Mar 2027'!R18="X"),1,0))</f>
        <v/>
      </c>
      <c r="O172" s="345">
        <f>IF($A172="","",IF(OR('Mar 2027'!R20=TRUE,'Mar 2027'!R20="x",'Mar 2027'!R20="X"),1,0))</f>
        <v/>
      </c>
      <c r="P172" s="345">
        <f>IF($A172="","",IF(OR('Mar 2027'!R21=TRUE,'Mar 2027'!R21="x",'Mar 2027'!R21="X"),1,0))</f>
        <v/>
      </c>
      <c r="Q172" s="345">
        <f>IF($A172="","",IF(OR('Mar 2027'!R22=TRUE,'Mar 2027'!R22="x",'Mar 2027'!R22="X"),1,0))</f>
        <v/>
      </c>
      <c r="R172" s="345">
        <f>IF($A172="","",IF(OR('Mar 2027'!R23=TRUE,'Mar 2027'!R23="x",'Mar 2027'!R23="X"),1,0))</f>
        <v/>
      </c>
      <c r="S172" s="345">
        <f>IF($A172="","",IF(OR('Mar 2027'!R24=TRUE,'Mar 2027'!R24="x",'Mar 2027'!R24="X"),1,0))</f>
        <v/>
      </c>
      <c r="T172" s="345">
        <f>IF($A172="","",IF(OR('Mar 2027'!R25=TRUE,'Mar 2027'!R25="x",'Mar 2027'!R25="X"),1,0))</f>
        <v/>
      </c>
      <c r="U172" s="345">
        <f>IF($A172="","",IF(OR('Mar 2027'!R26=TRUE,'Mar 2027'!R26="x",'Mar 2027'!R26="X"),1,0))</f>
        <v/>
      </c>
      <c r="V172" s="345">
        <f>IF($A172="","",IF(OR('Mar 2027'!R27=TRUE,'Mar 2027'!R27="x",'Mar 2027'!R27="X"),1,0))</f>
        <v/>
      </c>
      <c r="W172" s="345">
        <f>IF($A172="","",IF(OR('Mar 2027'!R28=TRUE,'Mar 2027'!R28="x",'Mar 2027'!R28="X"),1,0))</f>
        <v/>
      </c>
      <c r="X172" s="345">
        <f>IF($A172="","",IF(OR('Mar 2027'!R29=TRUE,'Mar 2027'!R29="x",'Mar 2027'!R29="X"),1,0))</f>
        <v/>
      </c>
      <c r="Y172" s="345">
        <f>IF($A172="","",IF(OR('Mar 2027'!R30=TRUE,'Mar 2027'!R30="x",'Mar 2027'!R30="X"),1,0))</f>
        <v/>
      </c>
      <c r="Z172" s="345">
        <f>IF($A172="","",IF(OR('Mar 2027'!R31=TRUE,'Mar 2027'!R31="x",'Mar 2027'!R31="X"),1,0))</f>
        <v/>
      </c>
      <c r="AA172" s="345">
        <f>IF($A172="","",IF(OR('Mar 2027'!R32=TRUE,'Mar 2027'!R32="x",'Mar 2027'!R32="X"),1,0))</f>
        <v/>
      </c>
      <c r="AB172" s="345">
        <f>IF($A172="","",IF(OR('Mar 2027'!R34=TRUE,'Mar 2027'!R34="x",'Mar 2027'!R34="X"),1,0))</f>
        <v/>
      </c>
      <c r="AC172" s="345">
        <f>IF($A172="","",IF(OR('Mar 2027'!R35=TRUE,'Mar 2027'!R35="x",'Mar 2027'!R35="X"),1,0))</f>
        <v/>
      </c>
      <c r="AD172" s="345">
        <f>IF($A172="","",IF(OR('Mar 2027'!R36=TRUE,'Mar 2027'!R36="x",'Mar 2027'!R36="X"),1,0))</f>
        <v/>
      </c>
      <c r="AE172" s="345">
        <f>IF($A172="","",IF(OR('Mar 2027'!R37=TRUE,'Mar 2027'!R37="x",'Mar 2027'!R37="X"),1,0))</f>
        <v/>
      </c>
      <c r="AF172" s="345">
        <f>IF($A172="","",IF('Mar 2027'!R59="","",'Mar 2027'!R59))</f>
        <v/>
      </c>
      <c r="AG172" s="345">
        <f>IF($A172="","",IF('Mar 2027'!R60="","",'Mar 2027'!R60))</f>
        <v/>
      </c>
      <c r="AH172" s="345">
        <f>IF($A172="","",IF('Mar 2027'!R61="","",'Mar 2027'!R61))</f>
        <v/>
      </c>
      <c r="AI172" s="345">
        <f>IF($A172="","",IF('Mar 2027'!R62="","",'Mar 2027'!R62))</f>
        <v/>
      </c>
      <c r="AJ172" s="345">
        <f>IF($A172="","",IF('Mar 2027'!R63="","",'Mar 2027'!R63))</f>
        <v/>
      </c>
      <c r="AK172" s="345">
        <f>IF($A172="","",IF('Mar 2027'!R64="","",'Mar 2027'!R64))</f>
        <v/>
      </c>
      <c r="AL172" s="345">
        <f>IF($A172="","",IF('Mar 2027'!R65="","",'Mar 2027'!R65))</f>
        <v/>
      </c>
      <c r="AM172" s="345">
        <f>IF($A172="","",IF('Mar 2027'!R66="","",'Mar 2027'!R66))</f>
        <v/>
      </c>
      <c r="AN172" s="345">
        <f>IF($A172="","",IF('Mar 2027'!R67="","",'Mar 2027'!R67))</f>
        <v/>
      </c>
      <c r="AO172" s="345">
        <f>IF($A172="",0,IF(AND($A172&gt;=TrackStart,$A172&lt;=TODAY()),1,0))</f>
        <v/>
      </c>
      <c r="AP172" s="345">
        <f>IF($A172="",0,IF(SUM(F172:AE172)+COUNT(AF172:AN172)&gt;0,1,0))</f>
        <v/>
      </c>
      <c r="AQ172" s="345">
        <f>IF($A172="","",INT(($A172-TrackStart)/7)+1)</f>
        <v/>
      </c>
      <c r="AR172" s="345">
        <f>IF($A172="","",IF(AQ172&lt;=1,Steps1,IF(AQ172=2,Steps2,Steps3)))</f>
        <v/>
      </c>
      <c r="AS172" s="345">
        <f>IF($A172="",0,IF(ISNUMBER(SEARCH(TEXT(D172,"0"),WorkDays&amp;"")),1,0))</f>
        <v/>
      </c>
      <c r="AT172" s="345">
        <f>IF($A172="",0,IF(ISNUMBER(SEARCH(TEXT(D172,"0"),StrDays&amp;"")),1,0))</f>
        <v/>
      </c>
      <c r="AU172" s="345">
        <f>IF($A172="",0,IF(ISNUMBER(AK172),IF(AK172&gt;=SleepMin,1,0),N172))</f>
        <v/>
      </c>
      <c r="AV172" s="345">
        <f>IF($A172="",0,MAX(I172,O172,S172,AC172))</f>
        <v/>
      </c>
      <c r="AW172" s="345">
        <f>IF($A172="",0,IF(ISNUMBER(AH172),IF(AH172&gt;=ProtHit,1,0),0))</f>
        <v/>
      </c>
      <c r="AX172" s="345">
        <f>IF($A172="",0,IF(ISNUMBER(AI172),IF(AI172&gt;=WaterHit,1,0),0))</f>
        <v/>
      </c>
      <c r="AY172" s="345">
        <f>IF($A172="",0,IF(ISNUMBER(AG172),IF(AG172&gt;=AR172,1,0),0))</f>
        <v/>
      </c>
      <c r="AZ172" s="345">
        <f>IF($A172="",0,G172)</f>
        <v/>
      </c>
      <c r="BA172" s="345">
        <f>IF($A172="",0,J172)</f>
        <v/>
      </c>
      <c r="BB172" s="345">
        <f>IF($A172="",0,K172)</f>
        <v/>
      </c>
      <c r="BC172" s="345">
        <f>IF($A172="",0,MAX(L172,AE172))</f>
        <v/>
      </c>
      <c r="BD172" s="344">
        <f>IF($A172="","",(AU172+AV172+AW172+AX172+AY172+AZ172+BB172+BC172+IF(AS172=1,BA172,0))/(8+AS172))</f>
        <v/>
      </c>
      <c r="BE172" s="344">
        <f>IF($A172="","",(IF(ISNUMBER(AI172),IF(AI172&gt;=WaterMVD,1,0),0)+AV172+IF(ISNUMBER(AH172),IF(AH172&gt;=ProtMVD,1,0),0)+MAX(H172,AD172)+AZ172+BB172+AU172)/7)</f>
        <v/>
      </c>
      <c r="BF172" s="344">
        <f>IF(AO172=0,"",IF(E172="S","",IF(AND(AP172=0,$A172=TODAY()),"",IF(E172="M",BE172,BD172))))</f>
        <v/>
      </c>
      <c r="BG172" s="344">
        <f>IF(AO172=0,"",IFERROR(AVERAGEIFS(Data!$BF$4:$BF$375,Data!$A$4:$A$375,"&gt;"&amp;($A172-7),Data!$A$4:$A$375,"&lt;="&amp;$A172),""))</f>
        <v/>
      </c>
      <c r="BH172" s="344">
        <f>IF(AO172=0,"",IFERROR(AVERAGEIFS(Data!$BF$4:$BF$375,Data!$A$4:$A$375,"&gt;"&amp;($A172-30),Data!$A$4:$A$375,"&lt;="&amp;$A172),""))</f>
        <v/>
      </c>
      <c r="BI172" s="359">
        <f>IF($A172="","",IFERROR(AVERAGEIFS(Data!$AF$4:$AF$375,Data!$A$4:$A$375,"&gt;"&amp;($A172-7),Data!$A$4:$A$375,"&lt;="&amp;$A172,Data!$AF$4:$AF$375,"&gt;0"),""))</f>
        <v/>
      </c>
      <c r="BJ172" s="345">
        <f>IF($A172="","",F172+G172+H172+I172+J172+K172+L172+M172+N172-IF(AS172=1,0,J172))</f>
        <v/>
      </c>
      <c r="BK172" s="345">
        <f>IF($A172="","",8+AS172)</f>
        <v/>
      </c>
      <c r="BL172" s="345">
        <f>IF(ISNUMBER(BF172),BF172,NA())</f>
        <v/>
      </c>
      <c r="BM172" s="345">
        <f>IF(ISNUMBER(AF172),AF172,NA())</f>
        <v/>
      </c>
      <c r="BN172" s="345">
        <f>IF(ISNUMBER(BI172),BI172,NA())</f>
        <v/>
      </c>
      <c r="BO172" s="345">
        <f>IF(ISNUMBER(AL172),AL172,NA())</f>
        <v/>
      </c>
      <c r="BP172" s="345">
        <f>IF(ISNUMBER(AM172),AM172,NA())</f>
        <v/>
      </c>
      <c r="BQ172" s="345">
        <f>IF(ISNUMBER(AN172),AN172,NA())</f>
        <v/>
      </c>
    </row>
    <row r="173">
      <c r="A173" s="358">
        <f>IF('Mar 2027'!S7="","",'Mar 2027'!S7)</f>
        <v/>
      </c>
      <c r="B173" s="345" t="n">
        <v>6</v>
      </c>
      <c r="C173" s="345">
        <f>IF($A173="","",15)</f>
        <v/>
      </c>
      <c r="D173" s="345">
        <f>IF($A173="","",WEEKDAY($A173,2))</f>
        <v/>
      </c>
      <c r="E173" s="345">
        <f>IF($A173="","",UPPER(TRIM('Mar 2027'!S8)))</f>
        <v/>
      </c>
      <c r="F173" s="345">
        <f>IF($A173="","",IF(OR('Mar 2027'!S10=TRUE,'Mar 2027'!S10="x",'Mar 2027'!S10="X"),1,0))</f>
        <v/>
      </c>
      <c r="G173" s="345">
        <f>IF($A173="","",IF(OR('Mar 2027'!S11=TRUE,'Mar 2027'!S11="x",'Mar 2027'!S11="X"),1,0))</f>
        <v/>
      </c>
      <c r="H173" s="345">
        <f>IF($A173="","",IF(OR('Mar 2027'!S12=TRUE,'Mar 2027'!S12="x",'Mar 2027'!S12="X"),1,0))</f>
        <v/>
      </c>
      <c r="I173" s="345">
        <f>IF($A173="","",IF(OR('Mar 2027'!S13=TRUE,'Mar 2027'!S13="x",'Mar 2027'!S13="X"),1,0))</f>
        <v/>
      </c>
      <c r="J173" s="345">
        <f>IF($A173="","",IF(OR('Mar 2027'!S14=TRUE,'Mar 2027'!S14="x",'Mar 2027'!S14="X"),1,0))</f>
        <v/>
      </c>
      <c r="K173" s="345">
        <f>IF($A173="","",IF(OR('Mar 2027'!S15=TRUE,'Mar 2027'!S15="x",'Mar 2027'!S15="X"),1,0))</f>
        <v/>
      </c>
      <c r="L173" s="345">
        <f>IF($A173="","",IF(OR('Mar 2027'!S16=TRUE,'Mar 2027'!S16="x",'Mar 2027'!S16="X"),1,0))</f>
        <v/>
      </c>
      <c r="M173" s="345">
        <f>IF($A173="","",IF(OR('Mar 2027'!S17=TRUE,'Mar 2027'!S17="x",'Mar 2027'!S17="X"),1,0))</f>
        <v/>
      </c>
      <c r="N173" s="345">
        <f>IF($A173="","",IF(OR('Mar 2027'!S18=TRUE,'Mar 2027'!S18="x",'Mar 2027'!S18="X"),1,0))</f>
        <v/>
      </c>
      <c r="O173" s="345">
        <f>IF($A173="","",IF(OR('Mar 2027'!S20=TRUE,'Mar 2027'!S20="x",'Mar 2027'!S20="X"),1,0))</f>
        <v/>
      </c>
      <c r="P173" s="345">
        <f>IF($A173="","",IF(OR('Mar 2027'!S21=TRUE,'Mar 2027'!S21="x",'Mar 2027'!S21="X"),1,0))</f>
        <v/>
      </c>
      <c r="Q173" s="345">
        <f>IF($A173="","",IF(OR('Mar 2027'!S22=TRUE,'Mar 2027'!S22="x",'Mar 2027'!S22="X"),1,0))</f>
        <v/>
      </c>
      <c r="R173" s="345">
        <f>IF($A173="","",IF(OR('Mar 2027'!S23=TRUE,'Mar 2027'!S23="x",'Mar 2027'!S23="X"),1,0))</f>
        <v/>
      </c>
      <c r="S173" s="345">
        <f>IF($A173="","",IF(OR('Mar 2027'!S24=TRUE,'Mar 2027'!S24="x",'Mar 2027'!S24="X"),1,0))</f>
        <v/>
      </c>
      <c r="T173" s="345">
        <f>IF($A173="","",IF(OR('Mar 2027'!S25=TRUE,'Mar 2027'!S25="x",'Mar 2027'!S25="X"),1,0))</f>
        <v/>
      </c>
      <c r="U173" s="345">
        <f>IF($A173="","",IF(OR('Mar 2027'!S26=TRUE,'Mar 2027'!S26="x",'Mar 2027'!S26="X"),1,0))</f>
        <v/>
      </c>
      <c r="V173" s="345">
        <f>IF($A173="","",IF(OR('Mar 2027'!S27=TRUE,'Mar 2027'!S27="x",'Mar 2027'!S27="X"),1,0))</f>
        <v/>
      </c>
      <c r="W173" s="345">
        <f>IF($A173="","",IF(OR('Mar 2027'!S28=TRUE,'Mar 2027'!S28="x",'Mar 2027'!S28="X"),1,0))</f>
        <v/>
      </c>
      <c r="X173" s="345">
        <f>IF($A173="","",IF(OR('Mar 2027'!S29=TRUE,'Mar 2027'!S29="x",'Mar 2027'!S29="X"),1,0))</f>
        <v/>
      </c>
      <c r="Y173" s="345">
        <f>IF($A173="","",IF(OR('Mar 2027'!S30=TRUE,'Mar 2027'!S30="x",'Mar 2027'!S30="X"),1,0))</f>
        <v/>
      </c>
      <c r="Z173" s="345">
        <f>IF($A173="","",IF(OR('Mar 2027'!S31=TRUE,'Mar 2027'!S31="x",'Mar 2027'!S31="X"),1,0))</f>
        <v/>
      </c>
      <c r="AA173" s="345">
        <f>IF($A173="","",IF(OR('Mar 2027'!S32=TRUE,'Mar 2027'!S32="x",'Mar 2027'!S32="X"),1,0))</f>
        <v/>
      </c>
      <c r="AB173" s="345">
        <f>IF($A173="","",IF(OR('Mar 2027'!S34=TRUE,'Mar 2027'!S34="x",'Mar 2027'!S34="X"),1,0))</f>
        <v/>
      </c>
      <c r="AC173" s="345">
        <f>IF($A173="","",IF(OR('Mar 2027'!S35=TRUE,'Mar 2027'!S35="x",'Mar 2027'!S35="X"),1,0))</f>
        <v/>
      </c>
      <c r="AD173" s="345">
        <f>IF($A173="","",IF(OR('Mar 2027'!S36=TRUE,'Mar 2027'!S36="x",'Mar 2027'!S36="X"),1,0))</f>
        <v/>
      </c>
      <c r="AE173" s="345">
        <f>IF($A173="","",IF(OR('Mar 2027'!S37=TRUE,'Mar 2027'!S37="x",'Mar 2027'!S37="X"),1,0))</f>
        <v/>
      </c>
      <c r="AF173" s="345">
        <f>IF($A173="","",IF('Mar 2027'!S59="","",'Mar 2027'!S59))</f>
        <v/>
      </c>
      <c r="AG173" s="345">
        <f>IF($A173="","",IF('Mar 2027'!S60="","",'Mar 2027'!S60))</f>
        <v/>
      </c>
      <c r="AH173" s="345">
        <f>IF($A173="","",IF('Mar 2027'!S61="","",'Mar 2027'!S61))</f>
        <v/>
      </c>
      <c r="AI173" s="345">
        <f>IF($A173="","",IF('Mar 2027'!S62="","",'Mar 2027'!S62))</f>
        <v/>
      </c>
      <c r="AJ173" s="345">
        <f>IF($A173="","",IF('Mar 2027'!S63="","",'Mar 2027'!S63))</f>
        <v/>
      </c>
      <c r="AK173" s="345">
        <f>IF($A173="","",IF('Mar 2027'!S64="","",'Mar 2027'!S64))</f>
        <v/>
      </c>
      <c r="AL173" s="345">
        <f>IF($A173="","",IF('Mar 2027'!S65="","",'Mar 2027'!S65))</f>
        <v/>
      </c>
      <c r="AM173" s="345">
        <f>IF($A173="","",IF('Mar 2027'!S66="","",'Mar 2027'!S66))</f>
        <v/>
      </c>
      <c r="AN173" s="345">
        <f>IF($A173="","",IF('Mar 2027'!S67="","",'Mar 2027'!S67))</f>
        <v/>
      </c>
      <c r="AO173" s="345">
        <f>IF($A173="",0,IF(AND($A173&gt;=TrackStart,$A173&lt;=TODAY()),1,0))</f>
        <v/>
      </c>
      <c r="AP173" s="345">
        <f>IF($A173="",0,IF(SUM(F173:AE173)+COUNT(AF173:AN173)&gt;0,1,0))</f>
        <v/>
      </c>
      <c r="AQ173" s="345">
        <f>IF($A173="","",INT(($A173-TrackStart)/7)+1)</f>
        <v/>
      </c>
      <c r="AR173" s="345">
        <f>IF($A173="","",IF(AQ173&lt;=1,Steps1,IF(AQ173=2,Steps2,Steps3)))</f>
        <v/>
      </c>
      <c r="AS173" s="345">
        <f>IF($A173="",0,IF(ISNUMBER(SEARCH(TEXT(D173,"0"),WorkDays&amp;"")),1,0))</f>
        <v/>
      </c>
      <c r="AT173" s="345">
        <f>IF($A173="",0,IF(ISNUMBER(SEARCH(TEXT(D173,"0"),StrDays&amp;"")),1,0))</f>
        <v/>
      </c>
      <c r="AU173" s="345">
        <f>IF($A173="",0,IF(ISNUMBER(AK173),IF(AK173&gt;=SleepMin,1,0),N173))</f>
        <v/>
      </c>
      <c r="AV173" s="345">
        <f>IF($A173="",0,MAX(I173,O173,S173,AC173))</f>
        <v/>
      </c>
      <c r="AW173" s="345">
        <f>IF($A173="",0,IF(ISNUMBER(AH173),IF(AH173&gt;=ProtHit,1,0),0))</f>
        <v/>
      </c>
      <c r="AX173" s="345">
        <f>IF($A173="",0,IF(ISNUMBER(AI173),IF(AI173&gt;=WaterHit,1,0),0))</f>
        <v/>
      </c>
      <c r="AY173" s="345">
        <f>IF($A173="",0,IF(ISNUMBER(AG173),IF(AG173&gt;=AR173,1,0),0))</f>
        <v/>
      </c>
      <c r="AZ173" s="345">
        <f>IF($A173="",0,G173)</f>
        <v/>
      </c>
      <c r="BA173" s="345">
        <f>IF($A173="",0,J173)</f>
        <v/>
      </c>
      <c r="BB173" s="345">
        <f>IF($A173="",0,K173)</f>
        <v/>
      </c>
      <c r="BC173" s="345">
        <f>IF($A173="",0,MAX(L173,AE173))</f>
        <v/>
      </c>
      <c r="BD173" s="344">
        <f>IF($A173="","",(AU173+AV173+AW173+AX173+AY173+AZ173+BB173+BC173+IF(AS173=1,BA173,0))/(8+AS173))</f>
        <v/>
      </c>
      <c r="BE173" s="344">
        <f>IF($A173="","",(IF(ISNUMBER(AI173),IF(AI173&gt;=WaterMVD,1,0),0)+AV173+IF(ISNUMBER(AH173),IF(AH173&gt;=ProtMVD,1,0),0)+MAX(H173,AD173)+AZ173+BB173+AU173)/7)</f>
        <v/>
      </c>
      <c r="BF173" s="344">
        <f>IF(AO173=0,"",IF(E173="S","",IF(AND(AP173=0,$A173=TODAY()),"",IF(E173="M",BE173,BD173))))</f>
        <v/>
      </c>
      <c r="BG173" s="344">
        <f>IF(AO173=0,"",IFERROR(AVERAGEIFS(Data!$BF$4:$BF$375,Data!$A$4:$A$375,"&gt;"&amp;($A173-7),Data!$A$4:$A$375,"&lt;="&amp;$A173),""))</f>
        <v/>
      </c>
      <c r="BH173" s="344">
        <f>IF(AO173=0,"",IFERROR(AVERAGEIFS(Data!$BF$4:$BF$375,Data!$A$4:$A$375,"&gt;"&amp;($A173-30),Data!$A$4:$A$375,"&lt;="&amp;$A173),""))</f>
        <v/>
      </c>
      <c r="BI173" s="359">
        <f>IF($A173="","",IFERROR(AVERAGEIFS(Data!$AF$4:$AF$375,Data!$A$4:$A$375,"&gt;"&amp;($A173-7),Data!$A$4:$A$375,"&lt;="&amp;$A173,Data!$AF$4:$AF$375,"&gt;0"),""))</f>
        <v/>
      </c>
      <c r="BJ173" s="345">
        <f>IF($A173="","",F173+G173+H173+I173+J173+K173+L173+M173+N173-IF(AS173=1,0,J173))</f>
        <v/>
      </c>
      <c r="BK173" s="345">
        <f>IF($A173="","",8+AS173)</f>
        <v/>
      </c>
      <c r="BL173" s="345">
        <f>IF(ISNUMBER(BF173),BF173,NA())</f>
        <v/>
      </c>
      <c r="BM173" s="345">
        <f>IF(ISNUMBER(AF173),AF173,NA())</f>
        <v/>
      </c>
      <c r="BN173" s="345">
        <f>IF(ISNUMBER(BI173),BI173,NA())</f>
        <v/>
      </c>
      <c r="BO173" s="345">
        <f>IF(ISNUMBER(AL173),AL173,NA())</f>
        <v/>
      </c>
      <c r="BP173" s="345">
        <f>IF(ISNUMBER(AM173),AM173,NA())</f>
        <v/>
      </c>
      <c r="BQ173" s="345">
        <f>IF(ISNUMBER(AN173),AN173,NA())</f>
        <v/>
      </c>
    </row>
    <row r="174">
      <c r="A174" s="358">
        <f>IF('Mar 2027'!T7="","",'Mar 2027'!T7)</f>
        <v/>
      </c>
      <c r="B174" s="345" t="n">
        <v>6</v>
      </c>
      <c r="C174" s="345">
        <f>IF($A174="","",16)</f>
        <v/>
      </c>
      <c r="D174" s="345">
        <f>IF($A174="","",WEEKDAY($A174,2))</f>
        <v/>
      </c>
      <c r="E174" s="345">
        <f>IF($A174="","",UPPER(TRIM('Mar 2027'!T8)))</f>
        <v/>
      </c>
      <c r="F174" s="345">
        <f>IF($A174="","",IF(OR('Mar 2027'!T10=TRUE,'Mar 2027'!T10="x",'Mar 2027'!T10="X"),1,0))</f>
        <v/>
      </c>
      <c r="G174" s="345">
        <f>IF($A174="","",IF(OR('Mar 2027'!T11=TRUE,'Mar 2027'!T11="x",'Mar 2027'!T11="X"),1,0))</f>
        <v/>
      </c>
      <c r="H174" s="345">
        <f>IF($A174="","",IF(OR('Mar 2027'!T12=TRUE,'Mar 2027'!T12="x",'Mar 2027'!T12="X"),1,0))</f>
        <v/>
      </c>
      <c r="I174" s="345">
        <f>IF($A174="","",IF(OR('Mar 2027'!T13=TRUE,'Mar 2027'!T13="x",'Mar 2027'!T13="X"),1,0))</f>
        <v/>
      </c>
      <c r="J174" s="345">
        <f>IF($A174="","",IF(OR('Mar 2027'!T14=TRUE,'Mar 2027'!T14="x",'Mar 2027'!T14="X"),1,0))</f>
        <v/>
      </c>
      <c r="K174" s="345">
        <f>IF($A174="","",IF(OR('Mar 2027'!T15=TRUE,'Mar 2027'!T15="x",'Mar 2027'!T15="X"),1,0))</f>
        <v/>
      </c>
      <c r="L174" s="345">
        <f>IF($A174="","",IF(OR('Mar 2027'!T16=TRUE,'Mar 2027'!T16="x",'Mar 2027'!T16="X"),1,0))</f>
        <v/>
      </c>
      <c r="M174" s="345">
        <f>IF($A174="","",IF(OR('Mar 2027'!T17=TRUE,'Mar 2027'!T17="x",'Mar 2027'!T17="X"),1,0))</f>
        <v/>
      </c>
      <c r="N174" s="345">
        <f>IF($A174="","",IF(OR('Mar 2027'!T18=TRUE,'Mar 2027'!T18="x",'Mar 2027'!T18="X"),1,0))</f>
        <v/>
      </c>
      <c r="O174" s="345">
        <f>IF($A174="","",IF(OR('Mar 2027'!T20=TRUE,'Mar 2027'!T20="x",'Mar 2027'!T20="X"),1,0))</f>
        <v/>
      </c>
      <c r="P174" s="345">
        <f>IF($A174="","",IF(OR('Mar 2027'!T21=TRUE,'Mar 2027'!T21="x",'Mar 2027'!T21="X"),1,0))</f>
        <v/>
      </c>
      <c r="Q174" s="345">
        <f>IF($A174="","",IF(OR('Mar 2027'!T22=TRUE,'Mar 2027'!T22="x",'Mar 2027'!T22="X"),1,0))</f>
        <v/>
      </c>
      <c r="R174" s="345">
        <f>IF($A174="","",IF(OR('Mar 2027'!T23=TRUE,'Mar 2027'!T23="x",'Mar 2027'!T23="X"),1,0))</f>
        <v/>
      </c>
      <c r="S174" s="345">
        <f>IF($A174="","",IF(OR('Mar 2027'!T24=TRUE,'Mar 2027'!T24="x",'Mar 2027'!T24="X"),1,0))</f>
        <v/>
      </c>
      <c r="T174" s="345">
        <f>IF($A174="","",IF(OR('Mar 2027'!T25=TRUE,'Mar 2027'!T25="x",'Mar 2027'!T25="X"),1,0))</f>
        <v/>
      </c>
      <c r="U174" s="345">
        <f>IF($A174="","",IF(OR('Mar 2027'!T26=TRUE,'Mar 2027'!T26="x",'Mar 2027'!T26="X"),1,0))</f>
        <v/>
      </c>
      <c r="V174" s="345">
        <f>IF($A174="","",IF(OR('Mar 2027'!T27=TRUE,'Mar 2027'!T27="x",'Mar 2027'!T27="X"),1,0))</f>
        <v/>
      </c>
      <c r="W174" s="345">
        <f>IF($A174="","",IF(OR('Mar 2027'!T28=TRUE,'Mar 2027'!T28="x",'Mar 2027'!T28="X"),1,0))</f>
        <v/>
      </c>
      <c r="X174" s="345">
        <f>IF($A174="","",IF(OR('Mar 2027'!T29=TRUE,'Mar 2027'!T29="x",'Mar 2027'!T29="X"),1,0))</f>
        <v/>
      </c>
      <c r="Y174" s="345">
        <f>IF($A174="","",IF(OR('Mar 2027'!T30=TRUE,'Mar 2027'!T30="x",'Mar 2027'!T30="X"),1,0))</f>
        <v/>
      </c>
      <c r="Z174" s="345">
        <f>IF($A174="","",IF(OR('Mar 2027'!T31=TRUE,'Mar 2027'!T31="x",'Mar 2027'!T31="X"),1,0))</f>
        <v/>
      </c>
      <c r="AA174" s="345">
        <f>IF($A174="","",IF(OR('Mar 2027'!T32=TRUE,'Mar 2027'!T32="x",'Mar 2027'!T32="X"),1,0))</f>
        <v/>
      </c>
      <c r="AB174" s="345">
        <f>IF($A174="","",IF(OR('Mar 2027'!T34=TRUE,'Mar 2027'!T34="x",'Mar 2027'!T34="X"),1,0))</f>
        <v/>
      </c>
      <c r="AC174" s="345">
        <f>IF($A174="","",IF(OR('Mar 2027'!T35=TRUE,'Mar 2027'!T35="x",'Mar 2027'!T35="X"),1,0))</f>
        <v/>
      </c>
      <c r="AD174" s="345">
        <f>IF($A174="","",IF(OR('Mar 2027'!T36=TRUE,'Mar 2027'!T36="x",'Mar 2027'!T36="X"),1,0))</f>
        <v/>
      </c>
      <c r="AE174" s="345">
        <f>IF($A174="","",IF(OR('Mar 2027'!T37=TRUE,'Mar 2027'!T37="x",'Mar 2027'!T37="X"),1,0))</f>
        <v/>
      </c>
      <c r="AF174" s="345">
        <f>IF($A174="","",IF('Mar 2027'!T59="","",'Mar 2027'!T59))</f>
        <v/>
      </c>
      <c r="AG174" s="345">
        <f>IF($A174="","",IF('Mar 2027'!T60="","",'Mar 2027'!T60))</f>
        <v/>
      </c>
      <c r="AH174" s="345">
        <f>IF($A174="","",IF('Mar 2027'!T61="","",'Mar 2027'!T61))</f>
        <v/>
      </c>
      <c r="AI174" s="345">
        <f>IF($A174="","",IF('Mar 2027'!T62="","",'Mar 2027'!T62))</f>
        <v/>
      </c>
      <c r="AJ174" s="345">
        <f>IF($A174="","",IF('Mar 2027'!T63="","",'Mar 2027'!T63))</f>
        <v/>
      </c>
      <c r="AK174" s="345">
        <f>IF($A174="","",IF('Mar 2027'!T64="","",'Mar 2027'!T64))</f>
        <v/>
      </c>
      <c r="AL174" s="345">
        <f>IF($A174="","",IF('Mar 2027'!T65="","",'Mar 2027'!T65))</f>
        <v/>
      </c>
      <c r="AM174" s="345">
        <f>IF($A174="","",IF('Mar 2027'!T66="","",'Mar 2027'!T66))</f>
        <v/>
      </c>
      <c r="AN174" s="345">
        <f>IF($A174="","",IF('Mar 2027'!T67="","",'Mar 2027'!T67))</f>
        <v/>
      </c>
      <c r="AO174" s="345">
        <f>IF($A174="",0,IF(AND($A174&gt;=TrackStart,$A174&lt;=TODAY()),1,0))</f>
        <v/>
      </c>
      <c r="AP174" s="345">
        <f>IF($A174="",0,IF(SUM(F174:AE174)+COUNT(AF174:AN174)&gt;0,1,0))</f>
        <v/>
      </c>
      <c r="AQ174" s="345">
        <f>IF($A174="","",INT(($A174-TrackStart)/7)+1)</f>
        <v/>
      </c>
      <c r="AR174" s="345">
        <f>IF($A174="","",IF(AQ174&lt;=1,Steps1,IF(AQ174=2,Steps2,Steps3)))</f>
        <v/>
      </c>
      <c r="AS174" s="345">
        <f>IF($A174="",0,IF(ISNUMBER(SEARCH(TEXT(D174,"0"),WorkDays&amp;"")),1,0))</f>
        <v/>
      </c>
      <c r="AT174" s="345">
        <f>IF($A174="",0,IF(ISNUMBER(SEARCH(TEXT(D174,"0"),StrDays&amp;"")),1,0))</f>
        <v/>
      </c>
      <c r="AU174" s="345">
        <f>IF($A174="",0,IF(ISNUMBER(AK174),IF(AK174&gt;=SleepMin,1,0),N174))</f>
        <v/>
      </c>
      <c r="AV174" s="345">
        <f>IF($A174="",0,MAX(I174,O174,S174,AC174))</f>
        <v/>
      </c>
      <c r="AW174" s="345">
        <f>IF($A174="",0,IF(ISNUMBER(AH174),IF(AH174&gt;=ProtHit,1,0),0))</f>
        <v/>
      </c>
      <c r="AX174" s="345">
        <f>IF($A174="",0,IF(ISNUMBER(AI174),IF(AI174&gt;=WaterHit,1,0),0))</f>
        <v/>
      </c>
      <c r="AY174" s="345">
        <f>IF($A174="",0,IF(ISNUMBER(AG174),IF(AG174&gt;=AR174,1,0),0))</f>
        <v/>
      </c>
      <c r="AZ174" s="345">
        <f>IF($A174="",0,G174)</f>
        <v/>
      </c>
      <c r="BA174" s="345">
        <f>IF($A174="",0,J174)</f>
        <v/>
      </c>
      <c r="BB174" s="345">
        <f>IF($A174="",0,K174)</f>
        <v/>
      </c>
      <c r="BC174" s="345">
        <f>IF($A174="",0,MAX(L174,AE174))</f>
        <v/>
      </c>
      <c r="BD174" s="344">
        <f>IF($A174="","",(AU174+AV174+AW174+AX174+AY174+AZ174+BB174+BC174+IF(AS174=1,BA174,0))/(8+AS174))</f>
        <v/>
      </c>
      <c r="BE174" s="344">
        <f>IF($A174="","",(IF(ISNUMBER(AI174),IF(AI174&gt;=WaterMVD,1,0),0)+AV174+IF(ISNUMBER(AH174),IF(AH174&gt;=ProtMVD,1,0),0)+MAX(H174,AD174)+AZ174+BB174+AU174)/7)</f>
        <v/>
      </c>
      <c r="BF174" s="344">
        <f>IF(AO174=0,"",IF(E174="S","",IF(AND(AP174=0,$A174=TODAY()),"",IF(E174="M",BE174,BD174))))</f>
        <v/>
      </c>
      <c r="BG174" s="344">
        <f>IF(AO174=0,"",IFERROR(AVERAGEIFS(Data!$BF$4:$BF$375,Data!$A$4:$A$375,"&gt;"&amp;($A174-7),Data!$A$4:$A$375,"&lt;="&amp;$A174),""))</f>
        <v/>
      </c>
      <c r="BH174" s="344">
        <f>IF(AO174=0,"",IFERROR(AVERAGEIFS(Data!$BF$4:$BF$375,Data!$A$4:$A$375,"&gt;"&amp;($A174-30),Data!$A$4:$A$375,"&lt;="&amp;$A174),""))</f>
        <v/>
      </c>
      <c r="BI174" s="359">
        <f>IF($A174="","",IFERROR(AVERAGEIFS(Data!$AF$4:$AF$375,Data!$A$4:$A$375,"&gt;"&amp;($A174-7),Data!$A$4:$A$375,"&lt;="&amp;$A174,Data!$AF$4:$AF$375,"&gt;0"),""))</f>
        <v/>
      </c>
      <c r="BJ174" s="345">
        <f>IF($A174="","",F174+G174+H174+I174+J174+K174+L174+M174+N174-IF(AS174=1,0,J174))</f>
        <v/>
      </c>
      <c r="BK174" s="345">
        <f>IF($A174="","",8+AS174)</f>
        <v/>
      </c>
      <c r="BL174" s="345">
        <f>IF(ISNUMBER(BF174),BF174,NA())</f>
        <v/>
      </c>
      <c r="BM174" s="345">
        <f>IF(ISNUMBER(AF174),AF174,NA())</f>
        <v/>
      </c>
      <c r="BN174" s="345">
        <f>IF(ISNUMBER(BI174),BI174,NA())</f>
        <v/>
      </c>
      <c r="BO174" s="345">
        <f>IF(ISNUMBER(AL174),AL174,NA())</f>
        <v/>
      </c>
      <c r="BP174" s="345">
        <f>IF(ISNUMBER(AM174),AM174,NA())</f>
        <v/>
      </c>
      <c r="BQ174" s="345">
        <f>IF(ISNUMBER(AN174),AN174,NA())</f>
        <v/>
      </c>
    </row>
    <row r="175">
      <c r="A175" s="358">
        <f>IF('Mar 2027'!U7="","",'Mar 2027'!U7)</f>
        <v/>
      </c>
      <c r="B175" s="345" t="n">
        <v>6</v>
      </c>
      <c r="C175" s="345">
        <f>IF($A175="","",17)</f>
        <v/>
      </c>
      <c r="D175" s="345">
        <f>IF($A175="","",WEEKDAY($A175,2))</f>
        <v/>
      </c>
      <c r="E175" s="345">
        <f>IF($A175="","",UPPER(TRIM('Mar 2027'!U8)))</f>
        <v/>
      </c>
      <c r="F175" s="345">
        <f>IF($A175="","",IF(OR('Mar 2027'!U10=TRUE,'Mar 2027'!U10="x",'Mar 2027'!U10="X"),1,0))</f>
        <v/>
      </c>
      <c r="G175" s="345">
        <f>IF($A175="","",IF(OR('Mar 2027'!U11=TRUE,'Mar 2027'!U11="x",'Mar 2027'!U11="X"),1,0))</f>
        <v/>
      </c>
      <c r="H175" s="345">
        <f>IF($A175="","",IF(OR('Mar 2027'!U12=TRUE,'Mar 2027'!U12="x",'Mar 2027'!U12="X"),1,0))</f>
        <v/>
      </c>
      <c r="I175" s="345">
        <f>IF($A175="","",IF(OR('Mar 2027'!U13=TRUE,'Mar 2027'!U13="x",'Mar 2027'!U13="X"),1,0))</f>
        <v/>
      </c>
      <c r="J175" s="345">
        <f>IF($A175="","",IF(OR('Mar 2027'!U14=TRUE,'Mar 2027'!U14="x",'Mar 2027'!U14="X"),1,0))</f>
        <v/>
      </c>
      <c r="K175" s="345">
        <f>IF($A175="","",IF(OR('Mar 2027'!U15=TRUE,'Mar 2027'!U15="x",'Mar 2027'!U15="X"),1,0))</f>
        <v/>
      </c>
      <c r="L175" s="345">
        <f>IF($A175="","",IF(OR('Mar 2027'!U16=TRUE,'Mar 2027'!U16="x",'Mar 2027'!U16="X"),1,0))</f>
        <v/>
      </c>
      <c r="M175" s="345">
        <f>IF($A175="","",IF(OR('Mar 2027'!U17=TRUE,'Mar 2027'!U17="x",'Mar 2027'!U17="X"),1,0))</f>
        <v/>
      </c>
      <c r="N175" s="345">
        <f>IF($A175="","",IF(OR('Mar 2027'!U18=TRUE,'Mar 2027'!U18="x",'Mar 2027'!U18="X"),1,0))</f>
        <v/>
      </c>
      <c r="O175" s="345">
        <f>IF($A175="","",IF(OR('Mar 2027'!U20=TRUE,'Mar 2027'!U20="x",'Mar 2027'!U20="X"),1,0))</f>
        <v/>
      </c>
      <c r="P175" s="345">
        <f>IF($A175="","",IF(OR('Mar 2027'!U21=TRUE,'Mar 2027'!U21="x",'Mar 2027'!U21="X"),1,0))</f>
        <v/>
      </c>
      <c r="Q175" s="345">
        <f>IF($A175="","",IF(OR('Mar 2027'!U22=TRUE,'Mar 2027'!U22="x",'Mar 2027'!U22="X"),1,0))</f>
        <v/>
      </c>
      <c r="R175" s="345">
        <f>IF($A175="","",IF(OR('Mar 2027'!U23=TRUE,'Mar 2027'!U23="x",'Mar 2027'!U23="X"),1,0))</f>
        <v/>
      </c>
      <c r="S175" s="345">
        <f>IF($A175="","",IF(OR('Mar 2027'!U24=TRUE,'Mar 2027'!U24="x",'Mar 2027'!U24="X"),1,0))</f>
        <v/>
      </c>
      <c r="T175" s="345">
        <f>IF($A175="","",IF(OR('Mar 2027'!U25=TRUE,'Mar 2027'!U25="x",'Mar 2027'!U25="X"),1,0))</f>
        <v/>
      </c>
      <c r="U175" s="345">
        <f>IF($A175="","",IF(OR('Mar 2027'!U26=TRUE,'Mar 2027'!U26="x",'Mar 2027'!U26="X"),1,0))</f>
        <v/>
      </c>
      <c r="V175" s="345">
        <f>IF($A175="","",IF(OR('Mar 2027'!U27=TRUE,'Mar 2027'!U27="x",'Mar 2027'!U27="X"),1,0))</f>
        <v/>
      </c>
      <c r="W175" s="345">
        <f>IF($A175="","",IF(OR('Mar 2027'!U28=TRUE,'Mar 2027'!U28="x",'Mar 2027'!U28="X"),1,0))</f>
        <v/>
      </c>
      <c r="X175" s="345">
        <f>IF($A175="","",IF(OR('Mar 2027'!U29=TRUE,'Mar 2027'!U29="x",'Mar 2027'!U29="X"),1,0))</f>
        <v/>
      </c>
      <c r="Y175" s="345">
        <f>IF($A175="","",IF(OR('Mar 2027'!U30=TRUE,'Mar 2027'!U30="x",'Mar 2027'!U30="X"),1,0))</f>
        <v/>
      </c>
      <c r="Z175" s="345">
        <f>IF($A175="","",IF(OR('Mar 2027'!U31=TRUE,'Mar 2027'!U31="x",'Mar 2027'!U31="X"),1,0))</f>
        <v/>
      </c>
      <c r="AA175" s="345">
        <f>IF($A175="","",IF(OR('Mar 2027'!U32=TRUE,'Mar 2027'!U32="x",'Mar 2027'!U32="X"),1,0))</f>
        <v/>
      </c>
      <c r="AB175" s="345">
        <f>IF($A175="","",IF(OR('Mar 2027'!U34=TRUE,'Mar 2027'!U34="x",'Mar 2027'!U34="X"),1,0))</f>
        <v/>
      </c>
      <c r="AC175" s="345">
        <f>IF($A175="","",IF(OR('Mar 2027'!U35=TRUE,'Mar 2027'!U35="x",'Mar 2027'!U35="X"),1,0))</f>
        <v/>
      </c>
      <c r="AD175" s="345">
        <f>IF($A175="","",IF(OR('Mar 2027'!U36=TRUE,'Mar 2027'!U36="x",'Mar 2027'!U36="X"),1,0))</f>
        <v/>
      </c>
      <c r="AE175" s="345">
        <f>IF($A175="","",IF(OR('Mar 2027'!U37=TRUE,'Mar 2027'!U37="x",'Mar 2027'!U37="X"),1,0))</f>
        <v/>
      </c>
      <c r="AF175" s="345">
        <f>IF($A175="","",IF('Mar 2027'!U59="","",'Mar 2027'!U59))</f>
        <v/>
      </c>
      <c r="AG175" s="345">
        <f>IF($A175="","",IF('Mar 2027'!U60="","",'Mar 2027'!U60))</f>
        <v/>
      </c>
      <c r="AH175" s="345">
        <f>IF($A175="","",IF('Mar 2027'!U61="","",'Mar 2027'!U61))</f>
        <v/>
      </c>
      <c r="AI175" s="345">
        <f>IF($A175="","",IF('Mar 2027'!U62="","",'Mar 2027'!U62))</f>
        <v/>
      </c>
      <c r="AJ175" s="345">
        <f>IF($A175="","",IF('Mar 2027'!U63="","",'Mar 2027'!U63))</f>
        <v/>
      </c>
      <c r="AK175" s="345">
        <f>IF($A175="","",IF('Mar 2027'!U64="","",'Mar 2027'!U64))</f>
        <v/>
      </c>
      <c r="AL175" s="345">
        <f>IF($A175="","",IF('Mar 2027'!U65="","",'Mar 2027'!U65))</f>
        <v/>
      </c>
      <c r="AM175" s="345">
        <f>IF($A175="","",IF('Mar 2027'!U66="","",'Mar 2027'!U66))</f>
        <v/>
      </c>
      <c r="AN175" s="345">
        <f>IF($A175="","",IF('Mar 2027'!U67="","",'Mar 2027'!U67))</f>
        <v/>
      </c>
      <c r="AO175" s="345">
        <f>IF($A175="",0,IF(AND($A175&gt;=TrackStart,$A175&lt;=TODAY()),1,0))</f>
        <v/>
      </c>
      <c r="AP175" s="345">
        <f>IF($A175="",0,IF(SUM(F175:AE175)+COUNT(AF175:AN175)&gt;0,1,0))</f>
        <v/>
      </c>
      <c r="AQ175" s="345">
        <f>IF($A175="","",INT(($A175-TrackStart)/7)+1)</f>
        <v/>
      </c>
      <c r="AR175" s="345">
        <f>IF($A175="","",IF(AQ175&lt;=1,Steps1,IF(AQ175=2,Steps2,Steps3)))</f>
        <v/>
      </c>
      <c r="AS175" s="345">
        <f>IF($A175="",0,IF(ISNUMBER(SEARCH(TEXT(D175,"0"),WorkDays&amp;"")),1,0))</f>
        <v/>
      </c>
      <c r="AT175" s="345">
        <f>IF($A175="",0,IF(ISNUMBER(SEARCH(TEXT(D175,"0"),StrDays&amp;"")),1,0))</f>
        <v/>
      </c>
      <c r="AU175" s="345">
        <f>IF($A175="",0,IF(ISNUMBER(AK175),IF(AK175&gt;=SleepMin,1,0),N175))</f>
        <v/>
      </c>
      <c r="AV175" s="345">
        <f>IF($A175="",0,MAX(I175,O175,S175,AC175))</f>
        <v/>
      </c>
      <c r="AW175" s="345">
        <f>IF($A175="",0,IF(ISNUMBER(AH175),IF(AH175&gt;=ProtHit,1,0),0))</f>
        <v/>
      </c>
      <c r="AX175" s="345">
        <f>IF($A175="",0,IF(ISNUMBER(AI175),IF(AI175&gt;=WaterHit,1,0),0))</f>
        <v/>
      </c>
      <c r="AY175" s="345">
        <f>IF($A175="",0,IF(ISNUMBER(AG175),IF(AG175&gt;=AR175,1,0),0))</f>
        <v/>
      </c>
      <c r="AZ175" s="345">
        <f>IF($A175="",0,G175)</f>
        <v/>
      </c>
      <c r="BA175" s="345">
        <f>IF($A175="",0,J175)</f>
        <v/>
      </c>
      <c r="BB175" s="345">
        <f>IF($A175="",0,K175)</f>
        <v/>
      </c>
      <c r="BC175" s="345">
        <f>IF($A175="",0,MAX(L175,AE175))</f>
        <v/>
      </c>
      <c r="BD175" s="344">
        <f>IF($A175="","",(AU175+AV175+AW175+AX175+AY175+AZ175+BB175+BC175+IF(AS175=1,BA175,0))/(8+AS175))</f>
        <v/>
      </c>
      <c r="BE175" s="344">
        <f>IF($A175="","",(IF(ISNUMBER(AI175),IF(AI175&gt;=WaterMVD,1,0),0)+AV175+IF(ISNUMBER(AH175),IF(AH175&gt;=ProtMVD,1,0),0)+MAX(H175,AD175)+AZ175+BB175+AU175)/7)</f>
        <v/>
      </c>
      <c r="BF175" s="344">
        <f>IF(AO175=0,"",IF(E175="S","",IF(AND(AP175=0,$A175=TODAY()),"",IF(E175="M",BE175,BD175))))</f>
        <v/>
      </c>
      <c r="BG175" s="344">
        <f>IF(AO175=0,"",IFERROR(AVERAGEIFS(Data!$BF$4:$BF$375,Data!$A$4:$A$375,"&gt;"&amp;($A175-7),Data!$A$4:$A$375,"&lt;="&amp;$A175),""))</f>
        <v/>
      </c>
      <c r="BH175" s="344">
        <f>IF(AO175=0,"",IFERROR(AVERAGEIFS(Data!$BF$4:$BF$375,Data!$A$4:$A$375,"&gt;"&amp;($A175-30),Data!$A$4:$A$375,"&lt;="&amp;$A175),""))</f>
        <v/>
      </c>
      <c r="BI175" s="359">
        <f>IF($A175="","",IFERROR(AVERAGEIFS(Data!$AF$4:$AF$375,Data!$A$4:$A$375,"&gt;"&amp;($A175-7),Data!$A$4:$A$375,"&lt;="&amp;$A175,Data!$AF$4:$AF$375,"&gt;0"),""))</f>
        <v/>
      </c>
      <c r="BJ175" s="345">
        <f>IF($A175="","",F175+G175+H175+I175+J175+K175+L175+M175+N175-IF(AS175=1,0,J175))</f>
        <v/>
      </c>
      <c r="BK175" s="345">
        <f>IF($A175="","",8+AS175)</f>
        <v/>
      </c>
      <c r="BL175" s="345">
        <f>IF(ISNUMBER(BF175),BF175,NA())</f>
        <v/>
      </c>
      <c r="BM175" s="345">
        <f>IF(ISNUMBER(AF175),AF175,NA())</f>
        <v/>
      </c>
      <c r="BN175" s="345">
        <f>IF(ISNUMBER(BI175),BI175,NA())</f>
        <v/>
      </c>
      <c r="BO175" s="345">
        <f>IF(ISNUMBER(AL175),AL175,NA())</f>
        <v/>
      </c>
      <c r="BP175" s="345">
        <f>IF(ISNUMBER(AM175),AM175,NA())</f>
        <v/>
      </c>
      <c r="BQ175" s="345">
        <f>IF(ISNUMBER(AN175),AN175,NA())</f>
        <v/>
      </c>
    </row>
    <row r="176">
      <c r="A176" s="358">
        <f>IF('Mar 2027'!V7="","",'Mar 2027'!V7)</f>
        <v/>
      </c>
      <c r="B176" s="345" t="n">
        <v>6</v>
      </c>
      <c r="C176" s="345">
        <f>IF($A176="","",18)</f>
        <v/>
      </c>
      <c r="D176" s="345">
        <f>IF($A176="","",WEEKDAY($A176,2))</f>
        <v/>
      </c>
      <c r="E176" s="345">
        <f>IF($A176="","",UPPER(TRIM('Mar 2027'!V8)))</f>
        <v/>
      </c>
      <c r="F176" s="345">
        <f>IF($A176="","",IF(OR('Mar 2027'!V10=TRUE,'Mar 2027'!V10="x",'Mar 2027'!V10="X"),1,0))</f>
        <v/>
      </c>
      <c r="G176" s="345">
        <f>IF($A176="","",IF(OR('Mar 2027'!V11=TRUE,'Mar 2027'!V11="x",'Mar 2027'!V11="X"),1,0))</f>
        <v/>
      </c>
      <c r="H176" s="345">
        <f>IF($A176="","",IF(OR('Mar 2027'!V12=TRUE,'Mar 2027'!V12="x",'Mar 2027'!V12="X"),1,0))</f>
        <v/>
      </c>
      <c r="I176" s="345">
        <f>IF($A176="","",IF(OR('Mar 2027'!V13=TRUE,'Mar 2027'!V13="x",'Mar 2027'!V13="X"),1,0))</f>
        <v/>
      </c>
      <c r="J176" s="345">
        <f>IF($A176="","",IF(OR('Mar 2027'!V14=TRUE,'Mar 2027'!V14="x",'Mar 2027'!V14="X"),1,0))</f>
        <v/>
      </c>
      <c r="K176" s="345">
        <f>IF($A176="","",IF(OR('Mar 2027'!V15=TRUE,'Mar 2027'!V15="x",'Mar 2027'!V15="X"),1,0))</f>
        <v/>
      </c>
      <c r="L176" s="345">
        <f>IF($A176="","",IF(OR('Mar 2027'!V16=TRUE,'Mar 2027'!V16="x",'Mar 2027'!V16="X"),1,0))</f>
        <v/>
      </c>
      <c r="M176" s="345">
        <f>IF($A176="","",IF(OR('Mar 2027'!V17=TRUE,'Mar 2027'!V17="x",'Mar 2027'!V17="X"),1,0))</f>
        <v/>
      </c>
      <c r="N176" s="345">
        <f>IF($A176="","",IF(OR('Mar 2027'!V18=TRUE,'Mar 2027'!V18="x",'Mar 2027'!V18="X"),1,0))</f>
        <v/>
      </c>
      <c r="O176" s="345">
        <f>IF($A176="","",IF(OR('Mar 2027'!V20=TRUE,'Mar 2027'!V20="x",'Mar 2027'!V20="X"),1,0))</f>
        <v/>
      </c>
      <c r="P176" s="345">
        <f>IF($A176="","",IF(OR('Mar 2027'!V21=TRUE,'Mar 2027'!V21="x",'Mar 2027'!V21="X"),1,0))</f>
        <v/>
      </c>
      <c r="Q176" s="345">
        <f>IF($A176="","",IF(OR('Mar 2027'!V22=TRUE,'Mar 2027'!V22="x",'Mar 2027'!V22="X"),1,0))</f>
        <v/>
      </c>
      <c r="R176" s="345">
        <f>IF($A176="","",IF(OR('Mar 2027'!V23=TRUE,'Mar 2027'!V23="x",'Mar 2027'!V23="X"),1,0))</f>
        <v/>
      </c>
      <c r="S176" s="345">
        <f>IF($A176="","",IF(OR('Mar 2027'!V24=TRUE,'Mar 2027'!V24="x",'Mar 2027'!V24="X"),1,0))</f>
        <v/>
      </c>
      <c r="T176" s="345">
        <f>IF($A176="","",IF(OR('Mar 2027'!V25=TRUE,'Mar 2027'!V25="x",'Mar 2027'!V25="X"),1,0))</f>
        <v/>
      </c>
      <c r="U176" s="345">
        <f>IF($A176="","",IF(OR('Mar 2027'!V26=TRUE,'Mar 2027'!V26="x",'Mar 2027'!V26="X"),1,0))</f>
        <v/>
      </c>
      <c r="V176" s="345">
        <f>IF($A176="","",IF(OR('Mar 2027'!V27=TRUE,'Mar 2027'!V27="x",'Mar 2027'!V27="X"),1,0))</f>
        <v/>
      </c>
      <c r="W176" s="345">
        <f>IF($A176="","",IF(OR('Mar 2027'!V28=TRUE,'Mar 2027'!V28="x",'Mar 2027'!V28="X"),1,0))</f>
        <v/>
      </c>
      <c r="X176" s="345">
        <f>IF($A176="","",IF(OR('Mar 2027'!V29=TRUE,'Mar 2027'!V29="x",'Mar 2027'!V29="X"),1,0))</f>
        <v/>
      </c>
      <c r="Y176" s="345">
        <f>IF($A176="","",IF(OR('Mar 2027'!V30=TRUE,'Mar 2027'!V30="x",'Mar 2027'!V30="X"),1,0))</f>
        <v/>
      </c>
      <c r="Z176" s="345">
        <f>IF($A176="","",IF(OR('Mar 2027'!V31=TRUE,'Mar 2027'!V31="x",'Mar 2027'!V31="X"),1,0))</f>
        <v/>
      </c>
      <c r="AA176" s="345">
        <f>IF($A176="","",IF(OR('Mar 2027'!V32=TRUE,'Mar 2027'!V32="x",'Mar 2027'!V32="X"),1,0))</f>
        <v/>
      </c>
      <c r="AB176" s="345">
        <f>IF($A176="","",IF(OR('Mar 2027'!V34=TRUE,'Mar 2027'!V34="x",'Mar 2027'!V34="X"),1,0))</f>
        <v/>
      </c>
      <c r="AC176" s="345">
        <f>IF($A176="","",IF(OR('Mar 2027'!V35=TRUE,'Mar 2027'!V35="x",'Mar 2027'!V35="X"),1,0))</f>
        <v/>
      </c>
      <c r="AD176" s="345">
        <f>IF($A176="","",IF(OR('Mar 2027'!V36=TRUE,'Mar 2027'!V36="x",'Mar 2027'!V36="X"),1,0))</f>
        <v/>
      </c>
      <c r="AE176" s="345">
        <f>IF($A176="","",IF(OR('Mar 2027'!V37=TRUE,'Mar 2027'!V37="x",'Mar 2027'!V37="X"),1,0))</f>
        <v/>
      </c>
      <c r="AF176" s="345">
        <f>IF($A176="","",IF('Mar 2027'!V59="","",'Mar 2027'!V59))</f>
        <v/>
      </c>
      <c r="AG176" s="345">
        <f>IF($A176="","",IF('Mar 2027'!V60="","",'Mar 2027'!V60))</f>
        <v/>
      </c>
      <c r="AH176" s="345">
        <f>IF($A176="","",IF('Mar 2027'!V61="","",'Mar 2027'!V61))</f>
        <v/>
      </c>
      <c r="AI176" s="345">
        <f>IF($A176="","",IF('Mar 2027'!V62="","",'Mar 2027'!V62))</f>
        <v/>
      </c>
      <c r="AJ176" s="345">
        <f>IF($A176="","",IF('Mar 2027'!V63="","",'Mar 2027'!V63))</f>
        <v/>
      </c>
      <c r="AK176" s="345">
        <f>IF($A176="","",IF('Mar 2027'!V64="","",'Mar 2027'!V64))</f>
        <v/>
      </c>
      <c r="AL176" s="345">
        <f>IF($A176="","",IF('Mar 2027'!V65="","",'Mar 2027'!V65))</f>
        <v/>
      </c>
      <c r="AM176" s="345">
        <f>IF($A176="","",IF('Mar 2027'!V66="","",'Mar 2027'!V66))</f>
        <v/>
      </c>
      <c r="AN176" s="345">
        <f>IF($A176="","",IF('Mar 2027'!V67="","",'Mar 2027'!V67))</f>
        <v/>
      </c>
      <c r="AO176" s="345">
        <f>IF($A176="",0,IF(AND($A176&gt;=TrackStart,$A176&lt;=TODAY()),1,0))</f>
        <v/>
      </c>
      <c r="AP176" s="345">
        <f>IF($A176="",0,IF(SUM(F176:AE176)+COUNT(AF176:AN176)&gt;0,1,0))</f>
        <v/>
      </c>
      <c r="AQ176" s="345">
        <f>IF($A176="","",INT(($A176-TrackStart)/7)+1)</f>
        <v/>
      </c>
      <c r="AR176" s="345">
        <f>IF($A176="","",IF(AQ176&lt;=1,Steps1,IF(AQ176=2,Steps2,Steps3)))</f>
        <v/>
      </c>
      <c r="AS176" s="345">
        <f>IF($A176="",0,IF(ISNUMBER(SEARCH(TEXT(D176,"0"),WorkDays&amp;"")),1,0))</f>
        <v/>
      </c>
      <c r="AT176" s="345">
        <f>IF($A176="",0,IF(ISNUMBER(SEARCH(TEXT(D176,"0"),StrDays&amp;"")),1,0))</f>
        <v/>
      </c>
      <c r="AU176" s="345">
        <f>IF($A176="",0,IF(ISNUMBER(AK176),IF(AK176&gt;=SleepMin,1,0),N176))</f>
        <v/>
      </c>
      <c r="AV176" s="345">
        <f>IF($A176="",0,MAX(I176,O176,S176,AC176))</f>
        <v/>
      </c>
      <c r="AW176" s="345">
        <f>IF($A176="",0,IF(ISNUMBER(AH176),IF(AH176&gt;=ProtHit,1,0),0))</f>
        <v/>
      </c>
      <c r="AX176" s="345">
        <f>IF($A176="",0,IF(ISNUMBER(AI176),IF(AI176&gt;=WaterHit,1,0),0))</f>
        <v/>
      </c>
      <c r="AY176" s="345">
        <f>IF($A176="",0,IF(ISNUMBER(AG176),IF(AG176&gt;=AR176,1,0),0))</f>
        <v/>
      </c>
      <c r="AZ176" s="345">
        <f>IF($A176="",0,G176)</f>
        <v/>
      </c>
      <c r="BA176" s="345">
        <f>IF($A176="",0,J176)</f>
        <v/>
      </c>
      <c r="BB176" s="345">
        <f>IF($A176="",0,K176)</f>
        <v/>
      </c>
      <c r="BC176" s="345">
        <f>IF($A176="",0,MAX(L176,AE176))</f>
        <v/>
      </c>
      <c r="BD176" s="344">
        <f>IF($A176="","",(AU176+AV176+AW176+AX176+AY176+AZ176+BB176+BC176+IF(AS176=1,BA176,0))/(8+AS176))</f>
        <v/>
      </c>
      <c r="BE176" s="344">
        <f>IF($A176="","",(IF(ISNUMBER(AI176),IF(AI176&gt;=WaterMVD,1,0),0)+AV176+IF(ISNUMBER(AH176),IF(AH176&gt;=ProtMVD,1,0),0)+MAX(H176,AD176)+AZ176+BB176+AU176)/7)</f>
        <v/>
      </c>
      <c r="BF176" s="344">
        <f>IF(AO176=0,"",IF(E176="S","",IF(AND(AP176=0,$A176=TODAY()),"",IF(E176="M",BE176,BD176))))</f>
        <v/>
      </c>
      <c r="BG176" s="344">
        <f>IF(AO176=0,"",IFERROR(AVERAGEIFS(Data!$BF$4:$BF$375,Data!$A$4:$A$375,"&gt;"&amp;($A176-7),Data!$A$4:$A$375,"&lt;="&amp;$A176),""))</f>
        <v/>
      </c>
      <c r="BH176" s="344">
        <f>IF(AO176=0,"",IFERROR(AVERAGEIFS(Data!$BF$4:$BF$375,Data!$A$4:$A$375,"&gt;"&amp;($A176-30),Data!$A$4:$A$375,"&lt;="&amp;$A176),""))</f>
        <v/>
      </c>
      <c r="BI176" s="359">
        <f>IF($A176="","",IFERROR(AVERAGEIFS(Data!$AF$4:$AF$375,Data!$A$4:$A$375,"&gt;"&amp;($A176-7),Data!$A$4:$A$375,"&lt;="&amp;$A176,Data!$AF$4:$AF$375,"&gt;0"),""))</f>
        <v/>
      </c>
      <c r="BJ176" s="345">
        <f>IF($A176="","",F176+G176+H176+I176+J176+K176+L176+M176+N176-IF(AS176=1,0,J176))</f>
        <v/>
      </c>
      <c r="BK176" s="345">
        <f>IF($A176="","",8+AS176)</f>
        <v/>
      </c>
      <c r="BL176" s="345">
        <f>IF(ISNUMBER(BF176),BF176,NA())</f>
        <v/>
      </c>
      <c r="BM176" s="345">
        <f>IF(ISNUMBER(AF176),AF176,NA())</f>
        <v/>
      </c>
      <c r="BN176" s="345">
        <f>IF(ISNUMBER(BI176),BI176,NA())</f>
        <v/>
      </c>
      <c r="BO176" s="345">
        <f>IF(ISNUMBER(AL176),AL176,NA())</f>
        <v/>
      </c>
      <c r="BP176" s="345">
        <f>IF(ISNUMBER(AM176),AM176,NA())</f>
        <v/>
      </c>
      <c r="BQ176" s="345">
        <f>IF(ISNUMBER(AN176),AN176,NA())</f>
        <v/>
      </c>
    </row>
    <row r="177">
      <c r="A177" s="358">
        <f>IF('Mar 2027'!W7="","",'Mar 2027'!W7)</f>
        <v/>
      </c>
      <c r="B177" s="345" t="n">
        <v>6</v>
      </c>
      <c r="C177" s="345">
        <f>IF($A177="","",19)</f>
        <v/>
      </c>
      <c r="D177" s="345">
        <f>IF($A177="","",WEEKDAY($A177,2))</f>
        <v/>
      </c>
      <c r="E177" s="345">
        <f>IF($A177="","",UPPER(TRIM('Mar 2027'!W8)))</f>
        <v/>
      </c>
      <c r="F177" s="345">
        <f>IF($A177="","",IF(OR('Mar 2027'!W10=TRUE,'Mar 2027'!W10="x",'Mar 2027'!W10="X"),1,0))</f>
        <v/>
      </c>
      <c r="G177" s="345">
        <f>IF($A177="","",IF(OR('Mar 2027'!W11=TRUE,'Mar 2027'!W11="x",'Mar 2027'!W11="X"),1,0))</f>
        <v/>
      </c>
      <c r="H177" s="345">
        <f>IF($A177="","",IF(OR('Mar 2027'!W12=TRUE,'Mar 2027'!W12="x",'Mar 2027'!W12="X"),1,0))</f>
        <v/>
      </c>
      <c r="I177" s="345">
        <f>IF($A177="","",IF(OR('Mar 2027'!W13=TRUE,'Mar 2027'!W13="x",'Mar 2027'!W13="X"),1,0))</f>
        <v/>
      </c>
      <c r="J177" s="345">
        <f>IF($A177="","",IF(OR('Mar 2027'!W14=TRUE,'Mar 2027'!W14="x",'Mar 2027'!W14="X"),1,0))</f>
        <v/>
      </c>
      <c r="K177" s="345">
        <f>IF($A177="","",IF(OR('Mar 2027'!W15=TRUE,'Mar 2027'!W15="x",'Mar 2027'!W15="X"),1,0))</f>
        <v/>
      </c>
      <c r="L177" s="345">
        <f>IF($A177="","",IF(OR('Mar 2027'!W16=TRUE,'Mar 2027'!W16="x",'Mar 2027'!W16="X"),1,0))</f>
        <v/>
      </c>
      <c r="M177" s="345">
        <f>IF($A177="","",IF(OR('Mar 2027'!W17=TRUE,'Mar 2027'!W17="x",'Mar 2027'!W17="X"),1,0))</f>
        <v/>
      </c>
      <c r="N177" s="345">
        <f>IF($A177="","",IF(OR('Mar 2027'!W18=TRUE,'Mar 2027'!W18="x",'Mar 2027'!W18="X"),1,0))</f>
        <v/>
      </c>
      <c r="O177" s="345">
        <f>IF($A177="","",IF(OR('Mar 2027'!W20=TRUE,'Mar 2027'!W20="x",'Mar 2027'!W20="X"),1,0))</f>
        <v/>
      </c>
      <c r="P177" s="345">
        <f>IF($A177="","",IF(OR('Mar 2027'!W21=TRUE,'Mar 2027'!W21="x",'Mar 2027'!W21="X"),1,0))</f>
        <v/>
      </c>
      <c r="Q177" s="345">
        <f>IF($A177="","",IF(OR('Mar 2027'!W22=TRUE,'Mar 2027'!W22="x",'Mar 2027'!W22="X"),1,0))</f>
        <v/>
      </c>
      <c r="R177" s="345">
        <f>IF($A177="","",IF(OR('Mar 2027'!W23=TRUE,'Mar 2027'!W23="x",'Mar 2027'!W23="X"),1,0))</f>
        <v/>
      </c>
      <c r="S177" s="345">
        <f>IF($A177="","",IF(OR('Mar 2027'!W24=TRUE,'Mar 2027'!W24="x",'Mar 2027'!W24="X"),1,0))</f>
        <v/>
      </c>
      <c r="T177" s="345">
        <f>IF($A177="","",IF(OR('Mar 2027'!W25=TRUE,'Mar 2027'!W25="x",'Mar 2027'!W25="X"),1,0))</f>
        <v/>
      </c>
      <c r="U177" s="345">
        <f>IF($A177="","",IF(OR('Mar 2027'!W26=TRUE,'Mar 2027'!W26="x",'Mar 2027'!W26="X"),1,0))</f>
        <v/>
      </c>
      <c r="V177" s="345">
        <f>IF($A177="","",IF(OR('Mar 2027'!W27=TRUE,'Mar 2027'!W27="x",'Mar 2027'!W27="X"),1,0))</f>
        <v/>
      </c>
      <c r="W177" s="345">
        <f>IF($A177="","",IF(OR('Mar 2027'!W28=TRUE,'Mar 2027'!W28="x",'Mar 2027'!W28="X"),1,0))</f>
        <v/>
      </c>
      <c r="X177" s="345">
        <f>IF($A177="","",IF(OR('Mar 2027'!W29=TRUE,'Mar 2027'!W29="x",'Mar 2027'!W29="X"),1,0))</f>
        <v/>
      </c>
      <c r="Y177" s="345">
        <f>IF($A177="","",IF(OR('Mar 2027'!W30=TRUE,'Mar 2027'!W30="x",'Mar 2027'!W30="X"),1,0))</f>
        <v/>
      </c>
      <c r="Z177" s="345">
        <f>IF($A177="","",IF(OR('Mar 2027'!W31=TRUE,'Mar 2027'!W31="x",'Mar 2027'!W31="X"),1,0))</f>
        <v/>
      </c>
      <c r="AA177" s="345">
        <f>IF($A177="","",IF(OR('Mar 2027'!W32=TRUE,'Mar 2027'!W32="x",'Mar 2027'!W32="X"),1,0))</f>
        <v/>
      </c>
      <c r="AB177" s="345">
        <f>IF($A177="","",IF(OR('Mar 2027'!W34=TRUE,'Mar 2027'!W34="x",'Mar 2027'!W34="X"),1,0))</f>
        <v/>
      </c>
      <c r="AC177" s="345">
        <f>IF($A177="","",IF(OR('Mar 2027'!W35=TRUE,'Mar 2027'!W35="x",'Mar 2027'!W35="X"),1,0))</f>
        <v/>
      </c>
      <c r="AD177" s="345">
        <f>IF($A177="","",IF(OR('Mar 2027'!W36=TRUE,'Mar 2027'!W36="x",'Mar 2027'!W36="X"),1,0))</f>
        <v/>
      </c>
      <c r="AE177" s="345">
        <f>IF($A177="","",IF(OR('Mar 2027'!W37=TRUE,'Mar 2027'!W37="x",'Mar 2027'!W37="X"),1,0))</f>
        <v/>
      </c>
      <c r="AF177" s="345">
        <f>IF($A177="","",IF('Mar 2027'!W59="","",'Mar 2027'!W59))</f>
        <v/>
      </c>
      <c r="AG177" s="345">
        <f>IF($A177="","",IF('Mar 2027'!W60="","",'Mar 2027'!W60))</f>
        <v/>
      </c>
      <c r="AH177" s="345">
        <f>IF($A177="","",IF('Mar 2027'!W61="","",'Mar 2027'!W61))</f>
        <v/>
      </c>
      <c r="AI177" s="345">
        <f>IF($A177="","",IF('Mar 2027'!W62="","",'Mar 2027'!W62))</f>
        <v/>
      </c>
      <c r="AJ177" s="345">
        <f>IF($A177="","",IF('Mar 2027'!W63="","",'Mar 2027'!W63))</f>
        <v/>
      </c>
      <c r="AK177" s="345">
        <f>IF($A177="","",IF('Mar 2027'!W64="","",'Mar 2027'!W64))</f>
        <v/>
      </c>
      <c r="AL177" s="345">
        <f>IF($A177="","",IF('Mar 2027'!W65="","",'Mar 2027'!W65))</f>
        <v/>
      </c>
      <c r="AM177" s="345">
        <f>IF($A177="","",IF('Mar 2027'!W66="","",'Mar 2027'!W66))</f>
        <v/>
      </c>
      <c r="AN177" s="345">
        <f>IF($A177="","",IF('Mar 2027'!W67="","",'Mar 2027'!W67))</f>
        <v/>
      </c>
      <c r="AO177" s="345">
        <f>IF($A177="",0,IF(AND($A177&gt;=TrackStart,$A177&lt;=TODAY()),1,0))</f>
        <v/>
      </c>
      <c r="AP177" s="345">
        <f>IF($A177="",0,IF(SUM(F177:AE177)+COUNT(AF177:AN177)&gt;0,1,0))</f>
        <v/>
      </c>
      <c r="AQ177" s="345">
        <f>IF($A177="","",INT(($A177-TrackStart)/7)+1)</f>
        <v/>
      </c>
      <c r="AR177" s="345">
        <f>IF($A177="","",IF(AQ177&lt;=1,Steps1,IF(AQ177=2,Steps2,Steps3)))</f>
        <v/>
      </c>
      <c r="AS177" s="345">
        <f>IF($A177="",0,IF(ISNUMBER(SEARCH(TEXT(D177,"0"),WorkDays&amp;"")),1,0))</f>
        <v/>
      </c>
      <c r="AT177" s="345">
        <f>IF($A177="",0,IF(ISNUMBER(SEARCH(TEXT(D177,"0"),StrDays&amp;"")),1,0))</f>
        <v/>
      </c>
      <c r="AU177" s="345">
        <f>IF($A177="",0,IF(ISNUMBER(AK177),IF(AK177&gt;=SleepMin,1,0),N177))</f>
        <v/>
      </c>
      <c r="AV177" s="345">
        <f>IF($A177="",0,MAX(I177,O177,S177,AC177))</f>
        <v/>
      </c>
      <c r="AW177" s="345">
        <f>IF($A177="",0,IF(ISNUMBER(AH177),IF(AH177&gt;=ProtHit,1,0),0))</f>
        <v/>
      </c>
      <c r="AX177" s="345">
        <f>IF($A177="",0,IF(ISNUMBER(AI177),IF(AI177&gt;=WaterHit,1,0),0))</f>
        <v/>
      </c>
      <c r="AY177" s="345">
        <f>IF($A177="",0,IF(ISNUMBER(AG177),IF(AG177&gt;=AR177,1,0),0))</f>
        <v/>
      </c>
      <c r="AZ177" s="345">
        <f>IF($A177="",0,G177)</f>
        <v/>
      </c>
      <c r="BA177" s="345">
        <f>IF($A177="",0,J177)</f>
        <v/>
      </c>
      <c r="BB177" s="345">
        <f>IF($A177="",0,K177)</f>
        <v/>
      </c>
      <c r="BC177" s="345">
        <f>IF($A177="",0,MAX(L177,AE177))</f>
        <v/>
      </c>
      <c r="BD177" s="344">
        <f>IF($A177="","",(AU177+AV177+AW177+AX177+AY177+AZ177+BB177+BC177+IF(AS177=1,BA177,0))/(8+AS177))</f>
        <v/>
      </c>
      <c r="BE177" s="344">
        <f>IF($A177="","",(IF(ISNUMBER(AI177),IF(AI177&gt;=WaterMVD,1,0),0)+AV177+IF(ISNUMBER(AH177),IF(AH177&gt;=ProtMVD,1,0),0)+MAX(H177,AD177)+AZ177+BB177+AU177)/7)</f>
        <v/>
      </c>
      <c r="BF177" s="344">
        <f>IF(AO177=0,"",IF(E177="S","",IF(AND(AP177=0,$A177=TODAY()),"",IF(E177="M",BE177,BD177))))</f>
        <v/>
      </c>
      <c r="BG177" s="344">
        <f>IF(AO177=0,"",IFERROR(AVERAGEIFS(Data!$BF$4:$BF$375,Data!$A$4:$A$375,"&gt;"&amp;($A177-7),Data!$A$4:$A$375,"&lt;="&amp;$A177),""))</f>
        <v/>
      </c>
      <c r="BH177" s="344">
        <f>IF(AO177=0,"",IFERROR(AVERAGEIFS(Data!$BF$4:$BF$375,Data!$A$4:$A$375,"&gt;"&amp;($A177-30),Data!$A$4:$A$375,"&lt;="&amp;$A177),""))</f>
        <v/>
      </c>
      <c r="BI177" s="359">
        <f>IF($A177="","",IFERROR(AVERAGEIFS(Data!$AF$4:$AF$375,Data!$A$4:$A$375,"&gt;"&amp;($A177-7),Data!$A$4:$A$375,"&lt;="&amp;$A177,Data!$AF$4:$AF$375,"&gt;0"),""))</f>
        <v/>
      </c>
      <c r="BJ177" s="345">
        <f>IF($A177="","",F177+G177+H177+I177+J177+K177+L177+M177+N177-IF(AS177=1,0,J177))</f>
        <v/>
      </c>
      <c r="BK177" s="345">
        <f>IF($A177="","",8+AS177)</f>
        <v/>
      </c>
      <c r="BL177" s="345">
        <f>IF(ISNUMBER(BF177),BF177,NA())</f>
        <v/>
      </c>
      <c r="BM177" s="345">
        <f>IF(ISNUMBER(AF177),AF177,NA())</f>
        <v/>
      </c>
      <c r="BN177" s="345">
        <f>IF(ISNUMBER(BI177),BI177,NA())</f>
        <v/>
      </c>
      <c r="BO177" s="345">
        <f>IF(ISNUMBER(AL177),AL177,NA())</f>
        <v/>
      </c>
      <c r="BP177" s="345">
        <f>IF(ISNUMBER(AM177),AM177,NA())</f>
        <v/>
      </c>
      <c r="BQ177" s="345">
        <f>IF(ISNUMBER(AN177),AN177,NA())</f>
        <v/>
      </c>
    </row>
    <row r="178">
      <c r="A178" s="358">
        <f>IF('Mar 2027'!X7="","",'Mar 2027'!X7)</f>
        <v/>
      </c>
      <c r="B178" s="345" t="n">
        <v>6</v>
      </c>
      <c r="C178" s="345">
        <f>IF($A178="","",20)</f>
        <v/>
      </c>
      <c r="D178" s="345">
        <f>IF($A178="","",WEEKDAY($A178,2))</f>
        <v/>
      </c>
      <c r="E178" s="345">
        <f>IF($A178="","",UPPER(TRIM('Mar 2027'!X8)))</f>
        <v/>
      </c>
      <c r="F178" s="345">
        <f>IF($A178="","",IF(OR('Mar 2027'!X10=TRUE,'Mar 2027'!X10="x",'Mar 2027'!X10="X"),1,0))</f>
        <v/>
      </c>
      <c r="G178" s="345">
        <f>IF($A178="","",IF(OR('Mar 2027'!X11=TRUE,'Mar 2027'!X11="x",'Mar 2027'!X11="X"),1,0))</f>
        <v/>
      </c>
      <c r="H178" s="345">
        <f>IF($A178="","",IF(OR('Mar 2027'!X12=TRUE,'Mar 2027'!X12="x",'Mar 2027'!X12="X"),1,0))</f>
        <v/>
      </c>
      <c r="I178" s="345">
        <f>IF($A178="","",IF(OR('Mar 2027'!X13=TRUE,'Mar 2027'!X13="x",'Mar 2027'!X13="X"),1,0))</f>
        <v/>
      </c>
      <c r="J178" s="345">
        <f>IF($A178="","",IF(OR('Mar 2027'!X14=TRUE,'Mar 2027'!X14="x",'Mar 2027'!X14="X"),1,0))</f>
        <v/>
      </c>
      <c r="K178" s="345">
        <f>IF($A178="","",IF(OR('Mar 2027'!X15=TRUE,'Mar 2027'!X15="x",'Mar 2027'!X15="X"),1,0))</f>
        <v/>
      </c>
      <c r="L178" s="345">
        <f>IF($A178="","",IF(OR('Mar 2027'!X16=TRUE,'Mar 2027'!X16="x",'Mar 2027'!X16="X"),1,0))</f>
        <v/>
      </c>
      <c r="M178" s="345">
        <f>IF($A178="","",IF(OR('Mar 2027'!X17=TRUE,'Mar 2027'!X17="x",'Mar 2027'!X17="X"),1,0))</f>
        <v/>
      </c>
      <c r="N178" s="345">
        <f>IF($A178="","",IF(OR('Mar 2027'!X18=TRUE,'Mar 2027'!X18="x",'Mar 2027'!X18="X"),1,0))</f>
        <v/>
      </c>
      <c r="O178" s="345">
        <f>IF($A178="","",IF(OR('Mar 2027'!X20=TRUE,'Mar 2027'!X20="x",'Mar 2027'!X20="X"),1,0))</f>
        <v/>
      </c>
      <c r="P178" s="345">
        <f>IF($A178="","",IF(OR('Mar 2027'!X21=TRUE,'Mar 2027'!X21="x",'Mar 2027'!X21="X"),1,0))</f>
        <v/>
      </c>
      <c r="Q178" s="345">
        <f>IF($A178="","",IF(OR('Mar 2027'!X22=TRUE,'Mar 2027'!X22="x",'Mar 2027'!X22="X"),1,0))</f>
        <v/>
      </c>
      <c r="R178" s="345">
        <f>IF($A178="","",IF(OR('Mar 2027'!X23=TRUE,'Mar 2027'!X23="x",'Mar 2027'!X23="X"),1,0))</f>
        <v/>
      </c>
      <c r="S178" s="345">
        <f>IF($A178="","",IF(OR('Mar 2027'!X24=TRUE,'Mar 2027'!X24="x",'Mar 2027'!X24="X"),1,0))</f>
        <v/>
      </c>
      <c r="T178" s="345">
        <f>IF($A178="","",IF(OR('Mar 2027'!X25=TRUE,'Mar 2027'!X25="x",'Mar 2027'!X25="X"),1,0))</f>
        <v/>
      </c>
      <c r="U178" s="345">
        <f>IF($A178="","",IF(OR('Mar 2027'!X26=TRUE,'Mar 2027'!X26="x",'Mar 2027'!X26="X"),1,0))</f>
        <v/>
      </c>
      <c r="V178" s="345">
        <f>IF($A178="","",IF(OR('Mar 2027'!X27=TRUE,'Mar 2027'!X27="x",'Mar 2027'!X27="X"),1,0))</f>
        <v/>
      </c>
      <c r="W178" s="345">
        <f>IF($A178="","",IF(OR('Mar 2027'!X28=TRUE,'Mar 2027'!X28="x",'Mar 2027'!X28="X"),1,0))</f>
        <v/>
      </c>
      <c r="X178" s="345">
        <f>IF($A178="","",IF(OR('Mar 2027'!X29=TRUE,'Mar 2027'!X29="x",'Mar 2027'!X29="X"),1,0))</f>
        <v/>
      </c>
      <c r="Y178" s="345">
        <f>IF($A178="","",IF(OR('Mar 2027'!X30=TRUE,'Mar 2027'!X30="x",'Mar 2027'!X30="X"),1,0))</f>
        <v/>
      </c>
      <c r="Z178" s="345">
        <f>IF($A178="","",IF(OR('Mar 2027'!X31=TRUE,'Mar 2027'!X31="x",'Mar 2027'!X31="X"),1,0))</f>
        <v/>
      </c>
      <c r="AA178" s="345">
        <f>IF($A178="","",IF(OR('Mar 2027'!X32=TRUE,'Mar 2027'!X32="x",'Mar 2027'!X32="X"),1,0))</f>
        <v/>
      </c>
      <c r="AB178" s="345">
        <f>IF($A178="","",IF(OR('Mar 2027'!X34=TRUE,'Mar 2027'!X34="x",'Mar 2027'!X34="X"),1,0))</f>
        <v/>
      </c>
      <c r="AC178" s="345">
        <f>IF($A178="","",IF(OR('Mar 2027'!X35=TRUE,'Mar 2027'!X35="x",'Mar 2027'!X35="X"),1,0))</f>
        <v/>
      </c>
      <c r="AD178" s="345">
        <f>IF($A178="","",IF(OR('Mar 2027'!X36=TRUE,'Mar 2027'!X36="x",'Mar 2027'!X36="X"),1,0))</f>
        <v/>
      </c>
      <c r="AE178" s="345">
        <f>IF($A178="","",IF(OR('Mar 2027'!X37=TRUE,'Mar 2027'!X37="x",'Mar 2027'!X37="X"),1,0))</f>
        <v/>
      </c>
      <c r="AF178" s="345">
        <f>IF($A178="","",IF('Mar 2027'!X59="","",'Mar 2027'!X59))</f>
        <v/>
      </c>
      <c r="AG178" s="345">
        <f>IF($A178="","",IF('Mar 2027'!X60="","",'Mar 2027'!X60))</f>
        <v/>
      </c>
      <c r="AH178" s="345">
        <f>IF($A178="","",IF('Mar 2027'!X61="","",'Mar 2027'!X61))</f>
        <v/>
      </c>
      <c r="AI178" s="345">
        <f>IF($A178="","",IF('Mar 2027'!X62="","",'Mar 2027'!X62))</f>
        <v/>
      </c>
      <c r="AJ178" s="345">
        <f>IF($A178="","",IF('Mar 2027'!X63="","",'Mar 2027'!X63))</f>
        <v/>
      </c>
      <c r="AK178" s="345">
        <f>IF($A178="","",IF('Mar 2027'!X64="","",'Mar 2027'!X64))</f>
        <v/>
      </c>
      <c r="AL178" s="345">
        <f>IF($A178="","",IF('Mar 2027'!X65="","",'Mar 2027'!X65))</f>
        <v/>
      </c>
      <c r="AM178" s="345">
        <f>IF($A178="","",IF('Mar 2027'!X66="","",'Mar 2027'!X66))</f>
        <v/>
      </c>
      <c r="AN178" s="345">
        <f>IF($A178="","",IF('Mar 2027'!X67="","",'Mar 2027'!X67))</f>
        <v/>
      </c>
      <c r="AO178" s="345">
        <f>IF($A178="",0,IF(AND($A178&gt;=TrackStart,$A178&lt;=TODAY()),1,0))</f>
        <v/>
      </c>
      <c r="AP178" s="345">
        <f>IF($A178="",0,IF(SUM(F178:AE178)+COUNT(AF178:AN178)&gt;0,1,0))</f>
        <v/>
      </c>
      <c r="AQ178" s="345">
        <f>IF($A178="","",INT(($A178-TrackStart)/7)+1)</f>
        <v/>
      </c>
      <c r="AR178" s="345">
        <f>IF($A178="","",IF(AQ178&lt;=1,Steps1,IF(AQ178=2,Steps2,Steps3)))</f>
        <v/>
      </c>
      <c r="AS178" s="345">
        <f>IF($A178="",0,IF(ISNUMBER(SEARCH(TEXT(D178,"0"),WorkDays&amp;"")),1,0))</f>
        <v/>
      </c>
      <c r="AT178" s="345">
        <f>IF($A178="",0,IF(ISNUMBER(SEARCH(TEXT(D178,"0"),StrDays&amp;"")),1,0))</f>
        <v/>
      </c>
      <c r="AU178" s="345">
        <f>IF($A178="",0,IF(ISNUMBER(AK178),IF(AK178&gt;=SleepMin,1,0),N178))</f>
        <v/>
      </c>
      <c r="AV178" s="345">
        <f>IF($A178="",0,MAX(I178,O178,S178,AC178))</f>
        <v/>
      </c>
      <c r="AW178" s="345">
        <f>IF($A178="",0,IF(ISNUMBER(AH178),IF(AH178&gt;=ProtHit,1,0),0))</f>
        <v/>
      </c>
      <c r="AX178" s="345">
        <f>IF($A178="",0,IF(ISNUMBER(AI178),IF(AI178&gt;=WaterHit,1,0),0))</f>
        <v/>
      </c>
      <c r="AY178" s="345">
        <f>IF($A178="",0,IF(ISNUMBER(AG178),IF(AG178&gt;=AR178,1,0),0))</f>
        <v/>
      </c>
      <c r="AZ178" s="345">
        <f>IF($A178="",0,G178)</f>
        <v/>
      </c>
      <c r="BA178" s="345">
        <f>IF($A178="",0,J178)</f>
        <v/>
      </c>
      <c r="BB178" s="345">
        <f>IF($A178="",0,K178)</f>
        <v/>
      </c>
      <c r="BC178" s="345">
        <f>IF($A178="",0,MAX(L178,AE178))</f>
        <v/>
      </c>
      <c r="BD178" s="344">
        <f>IF($A178="","",(AU178+AV178+AW178+AX178+AY178+AZ178+BB178+BC178+IF(AS178=1,BA178,0))/(8+AS178))</f>
        <v/>
      </c>
      <c r="BE178" s="344">
        <f>IF($A178="","",(IF(ISNUMBER(AI178),IF(AI178&gt;=WaterMVD,1,0),0)+AV178+IF(ISNUMBER(AH178),IF(AH178&gt;=ProtMVD,1,0),0)+MAX(H178,AD178)+AZ178+BB178+AU178)/7)</f>
        <v/>
      </c>
      <c r="BF178" s="344">
        <f>IF(AO178=0,"",IF(E178="S","",IF(AND(AP178=0,$A178=TODAY()),"",IF(E178="M",BE178,BD178))))</f>
        <v/>
      </c>
      <c r="BG178" s="344">
        <f>IF(AO178=0,"",IFERROR(AVERAGEIFS(Data!$BF$4:$BF$375,Data!$A$4:$A$375,"&gt;"&amp;($A178-7),Data!$A$4:$A$375,"&lt;="&amp;$A178),""))</f>
        <v/>
      </c>
      <c r="BH178" s="344">
        <f>IF(AO178=0,"",IFERROR(AVERAGEIFS(Data!$BF$4:$BF$375,Data!$A$4:$A$375,"&gt;"&amp;($A178-30),Data!$A$4:$A$375,"&lt;="&amp;$A178),""))</f>
        <v/>
      </c>
      <c r="BI178" s="359">
        <f>IF($A178="","",IFERROR(AVERAGEIFS(Data!$AF$4:$AF$375,Data!$A$4:$A$375,"&gt;"&amp;($A178-7),Data!$A$4:$A$375,"&lt;="&amp;$A178,Data!$AF$4:$AF$375,"&gt;0"),""))</f>
        <v/>
      </c>
      <c r="BJ178" s="345">
        <f>IF($A178="","",F178+G178+H178+I178+J178+K178+L178+M178+N178-IF(AS178=1,0,J178))</f>
        <v/>
      </c>
      <c r="BK178" s="345">
        <f>IF($A178="","",8+AS178)</f>
        <v/>
      </c>
      <c r="BL178" s="345">
        <f>IF(ISNUMBER(BF178),BF178,NA())</f>
        <v/>
      </c>
      <c r="BM178" s="345">
        <f>IF(ISNUMBER(AF178),AF178,NA())</f>
        <v/>
      </c>
      <c r="BN178" s="345">
        <f>IF(ISNUMBER(BI178),BI178,NA())</f>
        <v/>
      </c>
      <c r="BO178" s="345">
        <f>IF(ISNUMBER(AL178),AL178,NA())</f>
        <v/>
      </c>
      <c r="BP178" s="345">
        <f>IF(ISNUMBER(AM178),AM178,NA())</f>
        <v/>
      </c>
      <c r="BQ178" s="345">
        <f>IF(ISNUMBER(AN178),AN178,NA())</f>
        <v/>
      </c>
    </row>
    <row r="179">
      <c r="A179" s="358">
        <f>IF('Mar 2027'!Y7="","",'Mar 2027'!Y7)</f>
        <v/>
      </c>
      <c r="B179" s="345" t="n">
        <v>6</v>
      </c>
      <c r="C179" s="345">
        <f>IF($A179="","",21)</f>
        <v/>
      </c>
      <c r="D179" s="345">
        <f>IF($A179="","",WEEKDAY($A179,2))</f>
        <v/>
      </c>
      <c r="E179" s="345">
        <f>IF($A179="","",UPPER(TRIM('Mar 2027'!Y8)))</f>
        <v/>
      </c>
      <c r="F179" s="345">
        <f>IF($A179="","",IF(OR('Mar 2027'!Y10=TRUE,'Mar 2027'!Y10="x",'Mar 2027'!Y10="X"),1,0))</f>
        <v/>
      </c>
      <c r="G179" s="345">
        <f>IF($A179="","",IF(OR('Mar 2027'!Y11=TRUE,'Mar 2027'!Y11="x",'Mar 2027'!Y11="X"),1,0))</f>
        <v/>
      </c>
      <c r="H179" s="345">
        <f>IF($A179="","",IF(OR('Mar 2027'!Y12=TRUE,'Mar 2027'!Y12="x",'Mar 2027'!Y12="X"),1,0))</f>
        <v/>
      </c>
      <c r="I179" s="345">
        <f>IF($A179="","",IF(OR('Mar 2027'!Y13=TRUE,'Mar 2027'!Y13="x",'Mar 2027'!Y13="X"),1,0))</f>
        <v/>
      </c>
      <c r="J179" s="345">
        <f>IF($A179="","",IF(OR('Mar 2027'!Y14=TRUE,'Mar 2027'!Y14="x",'Mar 2027'!Y14="X"),1,0))</f>
        <v/>
      </c>
      <c r="K179" s="345">
        <f>IF($A179="","",IF(OR('Mar 2027'!Y15=TRUE,'Mar 2027'!Y15="x",'Mar 2027'!Y15="X"),1,0))</f>
        <v/>
      </c>
      <c r="L179" s="345">
        <f>IF($A179="","",IF(OR('Mar 2027'!Y16=TRUE,'Mar 2027'!Y16="x",'Mar 2027'!Y16="X"),1,0))</f>
        <v/>
      </c>
      <c r="M179" s="345">
        <f>IF($A179="","",IF(OR('Mar 2027'!Y17=TRUE,'Mar 2027'!Y17="x",'Mar 2027'!Y17="X"),1,0))</f>
        <v/>
      </c>
      <c r="N179" s="345">
        <f>IF($A179="","",IF(OR('Mar 2027'!Y18=TRUE,'Mar 2027'!Y18="x",'Mar 2027'!Y18="X"),1,0))</f>
        <v/>
      </c>
      <c r="O179" s="345">
        <f>IF($A179="","",IF(OR('Mar 2027'!Y20=TRUE,'Mar 2027'!Y20="x",'Mar 2027'!Y20="X"),1,0))</f>
        <v/>
      </c>
      <c r="P179" s="345">
        <f>IF($A179="","",IF(OR('Mar 2027'!Y21=TRUE,'Mar 2027'!Y21="x",'Mar 2027'!Y21="X"),1,0))</f>
        <v/>
      </c>
      <c r="Q179" s="345">
        <f>IF($A179="","",IF(OR('Mar 2027'!Y22=TRUE,'Mar 2027'!Y22="x",'Mar 2027'!Y22="X"),1,0))</f>
        <v/>
      </c>
      <c r="R179" s="345">
        <f>IF($A179="","",IF(OR('Mar 2027'!Y23=TRUE,'Mar 2027'!Y23="x",'Mar 2027'!Y23="X"),1,0))</f>
        <v/>
      </c>
      <c r="S179" s="345">
        <f>IF($A179="","",IF(OR('Mar 2027'!Y24=TRUE,'Mar 2027'!Y24="x",'Mar 2027'!Y24="X"),1,0))</f>
        <v/>
      </c>
      <c r="T179" s="345">
        <f>IF($A179="","",IF(OR('Mar 2027'!Y25=TRUE,'Mar 2027'!Y25="x",'Mar 2027'!Y25="X"),1,0))</f>
        <v/>
      </c>
      <c r="U179" s="345">
        <f>IF($A179="","",IF(OR('Mar 2027'!Y26=TRUE,'Mar 2027'!Y26="x",'Mar 2027'!Y26="X"),1,0))</f>
        <v/>
      </c>
      <c r="V179" s="345">
        <f>IF($A179="","",IF(OR('Mar 2027'!Y27=TRUE,'Mar 2027'!Y27="x",'Mar 2027'!Y27="X"),1,0))</f>
        <v/>
      </c>
      <c r="W179" s="345">
        <f>IF($A179="","",IF(OR('Mar 2027'!Y28=TRUE,'Mar 2027'!Y28="x",'Mar 2027'!Y28="X"),1,0))</f>
        <v/>
      </c>
      <c r="X179" s="345">
        <f>IF($A179="","",IF(OR('Mar 2027'!Y29=TRUE,'Mar 2027'!Y29="x",'Mar 2027'!Y29="X"),1,0))</f>
        <v/>
      </c>
      <c r="Y179" s="345">
        <f>IF($A179="","",IF(OR('Mar 2027'!Y30=TRUE,'Mar 2027'!Y30="x",'Mar 2027'!Y30="X"),1,0))</f>
        <v/>
      </c>
      <c r="Z179" s="345">
        <f>IF($A179="","",IF(OR('Mar 2027'!Y31=TRUE,'Mar 2027'!Y31="x",'Mar 2027'!Y31="X"),1,0))</f>
        <v/>
      </c>
      <c r="AA179" s="345">
        <f>IF($A179="","",IF(OR('Mar 2027'!Y32=TRUE,'Mar 2027'!Y32="x",'Mar 2027'!Y32="X"),1,0))</f>
        <v/>
      </c>
      <c r="AB179" s="345">
        <f>IF($A179="","",IF(OR('Mar 2027'!Y34=TRUE,'Mar 2027'!Y34="x",'Mar 2027'!Y34="X"),1,0))</f>
        <v/>
      </c>
      <c r="AC179" s="345">
        <f>IF($A179="","",IF(OR('Mar 2027'!Y35=TRUE,'Mar 2027'!Y35="x",'Mar 2027'!Y35="X"),1,0))</f>
        <v/>
      </c>
      <c r="AD179" s="345">
        <f>IF($A179="","",IF(OR('Mar 2027'!Y36=TRUE,'Mar 2027'!Y36="x",'Mar 2027'!Y36="X"),1,0))</f>
        <v/>
      </c>
      <c r="AE179" s="345">
        <f>IF($A179="","",IF(OR('Mar 2027'!Y37=TRUE,'Mar 2027'!Y37="x",'Mar 2027'!Y37="X"),1,0))</f>
        <v/>
      </c>
      <c r="AF179" s="345">
        <f>IF($A179="","",IF('Mar 2027'!Y59="","",'Mar 2027'!Y59))</f>
        <v/>
      </c>
      <c r="AG179" s="345">
        <f>IF($A179="","",IF('Mar 2027'!Y60="","",'Mar 2027'!Y60))</f>
        <v/>
      </c>
      <c r="AH179" s="345">
        <f>IF($A179="","",IF('Mar 2027'!Y61="","",'Mar 2027'!Y61))</f>
        <v/>
      </c>
      <c r="AI179" s="345">
        <f>IF($A179="","",IF('Mar 2027'!Y62="","",'Mar 2027'!Y62))</f>
        <v/>
      </c>
      <c r="AJ179" s="345">
        <f>IF($A179="","",IF('Mar 2027'!Y63="","",'Mar 2027'!Y63))</f>
        <v/>
      </c>
      <c r="AK179" s="345">
        <f>IF($A179="","",IF('Mar 2027'!Y64="","",'Mar 2027'!Y64))</f>
        <v/>
      </c>
      <c r="AL179" s="345">
        <f>IF($A179="","",IF('Mar 2027'!Y65="","",'Mar 2027'!Y65))</f>
        <v/>
      </c>
      <c r="AM179" s="345">
        <f>IF($A179="","",IF('Mar 2027'!Y66="","",'Mar 2027'!Y66))</f>
        <v/>
      </c>
      <c r="AN179" s="345">
        <f>IF($A179="","",IF('Mar 2027'!Y67="","",'Mar 2027'!Y67))</f>
        <v/>
      </c>
      <c r="AO179" s="345">
        <f>IF($A179="",0,IF(AND($A179&gt;=TrackStart,$A179&lt;=TODAY()),1,0))</f>
        <v/>
      </c>
      <c r="AP179" s="345">
        <f>IF($A179="",0,IF(SUM(F179:AE179)+COUNT(AF179:AN179)&gt;0,1,0))</f>
        <v/>
      </c>
      <c r="AQ179" s="345">
        <f>IF($A179="","",INT(($A179-TrackStart)/7)+1)</f>
        <v/>
      </c>
      <c r="AR179" s="345">
        <f>IF($A179="","",IF(AQ179&lt;=1,Steps1,IF(AQ179=2,Steps2,Steps3)))</f>
        <v/>
      </c>
      <c r="AS179" s="345">
        <f>IF($A179="",0,IF(ISNUMBER(SEARCH(TEXT(D179,"0"),WorkDays&amp;"")),1,0))</f>
        <v/>
      </c>
      <c r="AT179" s="345">
        <f>IF($A179="",0,IF(ISNUMBER(SEARCH(TEXT(D179,"0"),StrDays&amp;"")),1,0))</f>
        <v/>
      </c>
      <c r="AU179" s="345">
        <f>IF($A179="",0,IF(ISNUMBER(AK179),IF(AK179&gt;=SleepMin,1,0),N179))</f>
        <v/>
      </c>
      <c r="AV179" s="345">
        <f>IF($A179="",0,MAX(I179,O179,S179,AC179))</f>
        <v/>
      </c>
      <c r="AW179" s="345">
        <f>IF($A179="",0,IF(ISNUMBER(AH179),IF(AH179&gt;=ProtHit,1,0),0))</f>
        <v/>
      </c>
      <c r="AX179" s="345">
        <f>IF($A179="",0,IF(ISNUMBER(AI179),IF(AI179&gt;=WaterHit,1,0),0))</f>
        <v/>
      </c>
      <c r="AY179" s="345">
        <f>IF($A179="",0,IF(ISNUMBER(AG179),IF(AG179&gt;=AR179,1,0),0))</f>
        <v/>
      </c>
      <c r="AZ179" s="345">
        <f>IF($A179="",0,G179)</f>
        <v/>
      </c>
      <c r="BA179" s="345">
        <f>IF($A179="",0,J179)</f>
        <v/>
      </c>
      <c r="BB179" s="345">
        <f>IF($A179="",0,K179)</f>
        <v/>
      </c>
      <c r="BC179" s="345">
        <f>IF($A179="",0,MAX(L179,AE179))</f>
        <v/>
      </c>
      <c r="BD179" s="344">
        <f>IF($A179="","",(AU179+AV179+AW179+AX179+AY179+AZ179+BB179+BC179+IF(AS179=1,BA179,0))/(8+AS179))</f>
        <v/>
      </c>
      <c r="BE179" s="344">
        <f>IF($A179="","",(IF(ISNUMBER(AI179),IF(AI179&gt;=WaterMVD,1,0),0)+AV179+IF(ISNUMBER(AH179),IF(AH179&gt;=ProtMVD,1,0),0)+MAX(H179,AD179)+AZ179+BB179+AU179)/7)</f>
        <v/>
      </c>
      <c r="BF179" s="344">
        <f>IF(AO179=0,"",IF(E179="S","",IF(AND(AP179=0,$A179=TODAY()),"",IF(E179="M",BE179,BD179))))</f>
        <v/>
      </c>
      <c r="BG179" s="344">
        <f>IF(AO179=0,"",IFERROR(AVERAGEIFS(Data!$BF$4:$BF$375,Data!$A$4:$A$375,"&gt;"&amp;($A179-7),Data!$A$4:$A$375,"&lt;="&amp;$A179),""))</f>
        <v/>
      </c>
      <c r="BH179" s="344">
        <f>IF(AO179=0,"",IFERROR(AVERAGEIFS(Data!$BF$4:$BF$375,Data!$A$4:$A$375,"&gt;"&amp;($A179-30),Data!$A$4:$A$375,"&lt;="&amp;$A179),""))</f>
        <v/>
      </c>
      <c r="BI179" s="359">
        <f>IF($A179="","",IFERROR(AVERAGEIFS(Data!$AF$4:$AF$375,Data!$A$4:$A$375,"&gt;"&amp;($A179-7),Data!$A$4:$A$375,"&lt;="&amp;$A179,Data!$AF$4:$AF$375,"&gt;0"),""))</f>
        <v/>
      </c>
      <c r="BJ179" s="345">
        <f>IF($A179="","",F179+G179+H179+I179+J179+K179+L179+M179+N179-IF(AS179=1,0,J179))</f>
        <v/>
      </c>
      <c r="BK179" s="345">
        <f>IF($A179="","",8+AS179)</f>
        <v/>
      </c>
      <c r="BL179" s="345">
        <f>IF(ISNUMBER(BF179),BF179,NA())</f>
        <v/>
      </c>
      <c r="BM179" s="345">
        <f>IF(ISNUMBER(AF179),AF179,NA())</f>
        <v/>
      </c>
      <c r="BN179" s="345">
        <f>IF(ISNUMBER(BI179),BI179,NA())</f>
        <v/>
      </c>
      <c r="BO179" s="345">
        <f>IF(ISNUMBER(AL179),AL179,NA())</f>
        <v/>
      </c>
      <c r="BP179" s="345">
        <f>IF(ISNUMBER(AM179),AM179,NA())</f>
        <v/>
      </c>
      <c r="BQ179" s="345">
        <f>IF(ISNUMBER(AN179),AN179,NA())</f>
        <v/>
      </c>
    </row>
    <row r="180">
      <c r="A180" s="358">
        <f>IF('Mar 2027'!Z7="","",'Mar 2027'!Z7)</f>
        <v/>
      </c>
      <c r="B180" s="345" t="n">
        <v>6</v>
      </c>
      <c r="C180" s="345">
        <f>IF($A180="","",22)</f>
        <v/>
      </c>
      <c r="D180" s="345">
        <f>IF($A180="","",WEEKDAY($A180,2))</f>
        <v/>
      </c>
      <c r="E180" s="345">
        <f>IF($A180="","",UPPER(TRIM('Mar 2027'!Z8)))</f>
        <v/>
      </c>
      <c r="F180" s="345">
        <f>IF($A180="","",IF(OR('Mar 2027'!Z10=TRUE,'Mar 2027'!Z10="x",'Mar 2027'!Z10="X"),1,0))</f>
        <v/>
      </c>
      <c r="G180" s="345">
        <f>IF($A180="","",IF(OR('Mar 2027'!Z11=TRUE,'Mar 2027'!Z11="x",'Mar 2027'!Z11="X"),1,0))</f>
        <v/>
      </c>
      <c r="H180" s="345">
        <f>IF($A180="","",IF(OR('Mar 2027'!Z12=TRUE,'Mar 2027'!Z12="x",'Mar 2027'!Z12="X"),1,0))</f>
        <v/>
      </c>
      <c r="I180" s="345">
        <f>IF($A180="","",IF(OR('Mar 2027'!Z13=TRUE,'Mar 2027'!Z13="x",'Mar 2027'!Z13="X"),1,0))</f>
        <v/>
      </c>
      <c r="J180" s="345">
        <f>IF($A180="","",IF(OR('Mar 2027'!Z14=TRUE,'Mar 2027'!Z14="x",'Mar 2027'!Z14="X"),1,0))</f>
        <v/>
      </c>
      <c r="K180" s="345">
        <f>IF($A180="","",IF(OR('Mar 2027'!Z15=TRUE,'Mar 2027'!Z15="x",'Mar 2027'!Z15="X"),1,0))</f>
        <v/>
      </c>
      <c r="L180" s="345">
        <f>IF($A180="","",IF(OR('Mar 2027'!Z16=TRUE,'Mar 2027'!Z16="x",'Mar 2027'!Z16="X"),1,0))</f>
        <v/>
      </c>
      <c r="M180" s="345">
        <f>IF($A180="","",IF(OR('Mar 2027'!Z17=TRUE,'Mar 2027'!Z17="x",'Mar 2027'!Z17="X"),1,0))</f>
        <v/>
      </c>
      <c r="N180" s="345">
        <f>IF($A180="","",IF(OR('Mar 2027'!Z18=TRUE,'Mar 2027'!Z18="x",'Mar 2027'!Z18="X"),1,0))</f>
        <v/>
      </c>
      <c r="O180" s="345">
        <f>IF($A180="","",IF(OR('Mar 2027'!Z20=TRUE,'Mar 2027'!Z20="x",'Mar 2027'!Z20="X"),1,0))</f>
        <v/>
      </c>
      <c r="P180" s="345">
        <f>IF($A180="","",IF(OR('Mar 2027'!Z21=TRUE,'Mar 2027'!Z21="x",'Mar 2027'!Z21="X"),1,0))</f>
        <v/>
      </c>
      <c r="Q180" s="345">
        <f>IF($A180="","",IF(OR('Mar 2027'!Z22=TRUE,'Mar 2027'!Z22="x",'Mar 2027'!Z22="X"),1,0))</f>
        <v/>
      </c>
      <c r="R180" s="345">
        <f>IF($A180="","",IF(OR('Mar 2027'!Z23=TRUE,'Mar 2027'!Z23="x",'Mar 2027'!Z23="X"),1,0))</f>
        <v/>
      </c>
      <c r="S180" s="345">
        <f>IF($A180="","",IF(OR('Mar 2027'!Z24=TRUE,'Mar 2027'!Z24="x",'Mar 2027'!Z24="X"),1,0))</f>
        <v/>
      </c>
      <c r="T180" s="345">
        <f>IF($A180="","",IF(OR('Mar 2027'!Z25=TRUE,'Mar 2027'!Z25="x",'Mar 2027'!Z25="X"),1,0))</f>
        <v/>
      </c>
      <c r="U180" s="345">
        <f>IF($A180="","",IF(OR('Mar 2027'!Z26=TRUE,'Mar 2027'!Z26="x",'Mar 2027'!Z26="X"),1,0))</f>
        <v/>
      </c>
      <c r="V180" s="345">
        <f>IF($A180="","",IF(OR('Mar 2027'!Z27=TRUE,'Mar 2027'!Z27="x",'Mar 2027'!Z27="X"),1,0))</f>
        <v/>
      </c>
      <c r="W180" s="345">
        <f>IF($A180="","",IF(OR('Mar 2027'!Z28=TRUE,'Mar 2027'!Z28="x",'Mar 2027'!Z28="X"),1,0))</f>
        <v/>
      </c>
      <c r="X180" s="345">
        <f>IF($A180="","",IF(OR('Mar 2027'!Z29=TRUE,'Mar 2027'!Z29="x",'Mar 2027'!Z29="X"),1,0))</f>
        <v/>
      </c>
      <c r="Y180" s="345">
        <f>IF($A180="","",IF(OR('Mar 2027'!Z30=TRUE,'Mar 2027'!Z30="x",'Mar 2027'!Z30="X"),1,0))</f>
        <v/>
      </c>
      <c r="Z180" s="345">
        <f>IF($A180="","",IF(OR('Mar 2027'!Z31=TRUE,'Mar 2027'!Z31="x",'Mar 2027'!Z31="X"),1,0))</f>
        <v/>
      </c>
      <c r="AA180" s="345">
        <f>IF($A180="","",IF(OR('Mar 2027'!Z32=TRUE,'Mar 2027'!Z32="x",'Mar 2027'!Z32="X"),1,0))</f>
        <v/>
      </c>
      <c r="AB180" s="345">
        <f>IF($A180="","",IF(OR('Mar 2027'!Z34=TRUE,'Mar 2027'!Z34="x",'Mar 2027'!Z34="X"),1,0))</f>
        <v/>
      </c>
      <c r="AC180" s="345">
        <f>IF($A180="","",IF(OR('Mar 2027'!Z35=TRUE,'Mar 2027'!Z35="x",'Mar 2027'!Z35="X"),1,0))</f>
        <v/>
      </c>
      <c r="AD180" s="345">
        <f>IF($A180="","",IF(OR('Mar 2027'!Z36=TRUE,'Mar 2027'!Z36="x",'Mar 2027'!Z36="X"),1,0))</f>
        <v/>
      </c>
      <c r="AE180" s="345">
        <f>IF($A180="","",IF(OR('Mar 2027'!Z37=TRUE,'Mar 2027'!Z37="x",'Mar 2027'!Z37="X"),1,0))</f>
        <v/>
      </c>
      <c r="AF180" s="345">
        <f>IF($A180="","",IF('Mar 2027'!Z59="","",'Mar 2027'!Z59))</f>
        <v/>
      </c>
      <c r="AG180" s="345">
        <f>IF($A180="","",IF('Mar 2027'!Z60="","",'Mar 2027'!Z60))</f>
        <v/>
      </c>
      <c r="AH180" s="345">
        <f>IF($A180="","",IF('Mar 2027'!Z61="","",'Mar 2027'!Z61))</f>
        <v/>
      </c>
      <c r="AI180" s="345">
        <f>IF($A180="","",IF('Mar 2027'!Z62="","",'Mar 2027'!Z62))</f>
        <v/>
      </c>
      <c r="AJ180" s="345">
        <f>IF($A180="","",IF('Mar 2027'!Z63="","",'Mar 2027'!Z63))</f>
        <v/>
      </c>
      <c r="AK180" s="345">
        <f>IF($A180="","",IF('Mar 2027'!Z64="","",'Mar 2027'!Z64))</f>
        <v/>
      </c>
      <c r="AL180" s="345">
        <f>IF($A180="","",IF('Mar 2027'!Z65="","",'Mar 2027'!Z65))</f>
        <v/>
      </c>
      <c r="AM180" s="345">
        <f>IF($A180="","",IF('Mar 2027'!Z66="","",'Mar 2027'!Z66))</f>
        <v/>
      </c>
      <c r="AN180" s="345">
        <f>IF($A180="","",IF('Mar 2027'!Z67="","",'Mar 2027'!Z67))</f>
        <v/>
      </c>
      <c r="AO180" s="345">
        <f>IF($A180="",0,IF(AND($A180&gt;=TrackStart,$A180&lt;=TODAY()),1,0))</f>
        <v/>
      </c>
      <c r="AP180" s="345">
        <f>IF($A180="",0,IF(SUM(F180:AE180)+COUNT(AF180:AN180)&gt;0,1,0))</f>
        <v/>
      </c>
      <c r="AQ180" s="345">
        <f>IF($A180="","",INT(($A180-TrackStart)/7)+1)</f>
        <v/>
      </c>
      <c r="AR180" s="345">
        <f>IF($A180="","",IF(AQ180&lt;=1,Steps1,IF(AQ180=2,Steps2,Steps3)))</f>
        <v/>
      </c>
      <c r="AS180" s="345">
        <f>IF($A180="",0,IF(ISNUMBER(SEARCH(TEXT(D180,"0"),WorkDays&amp;"")),1,0))</f>
        <v/>
      </c>
      <c r="AT180" s="345">
        <f>IF($A180="",0,IF(ISNUMBER(SEARCH(TEXT(D180,"0"),StrDays&amp;"")),1,0))</f>
        <v/>
      </c>
      <c r="AU180" s="345">
        <f>IF($A180="",0,IF(ISNUMBER(AK180),IF(AK180&gt;=SleepMin,1,0),N180))</f>
        <v/>
      </c>
      <c r="AV180" s="345">
        <f>IF($A180="",0,MAX(I180,O180,S180,AC180))</f>
        <v/>
      </c>
      <c r="AW180" s="345">
        <f>IF($A180="",0,IF(ISNUMBER(AH180),IF(AH180&gt;=ProtHit,1,0),0))</f>
        <v/>
      </c>
      <c r="AX180" s="345">
        <f>IF($A180="",0,IF(ISNUMBER(AI180),IF(AI180&gt;=WaterHit,1,0),0))</f>
        <v/>
      </c>
      <c r="AY180" s="345">
        <f>IF($A180="",0,IF(ISNUMBER(AG180),IF(AG180&gt;=AR180,1,0),0))</f>
        <v/>
      </c>
      <c r="AZ180" s="345">
        <f>IF($A180="",0,G180)</f>
        <v/>
      </c>
      <c r="BA180" s="345">
        <f>IF($A180="",0,J180)</f>
        <v/>
      </c>
      <c r="BB180" s="345">
        <f>IF($A180="",0,K180)</f>
        <v/>
      </c>
      <c r="BC180" s="345">
        <f>IF($A180="",0,MAX(L180,AE180))</f>
        <v/>
      </c>
      <c r="BD180" s="344">
        <f>IF($A180="","",(AU180+AV180+AW180+AX180+AY180+AZ180+BB180+BC180+IF(AS180=1,BA180,0))/(8+AS180))</f>
        <v/>
      </c>
      <c r="BE180" s="344">
        <f>IF($A180="","",(IF(ISNUMBER(AI180),IF(AI180&gt;=WaterMVD,1,0),0)+AV180+IF(ISNUMBER(AH180),IF(AH180&gt;=ProtMVD,1,0),0)+MAX(H180,AD180)+AZ180+BB180+AU180)/7)</f>
        <v/>
      </c>
      <c r="BF180" s="344">
        <f>IF(AO180=0,"",IF(E180="S","",IF(AND(AP180=0,$A180=TODAY()),"",IF(E180="M",BE180,BD180))))</f>
        <v/>
      </c>
      <c r="BG180" s="344">
        <f>IF(AO180=0,"",IFERROR(AVERAGEIFS(Data!$BF$4:$BF$375,Data!$A$4:$A$375,"&gt;"&amp;($A180-7),Data!$A$4:$A$375,"&lt;="&amp;$A180),""))</f>
        <v/>
      </c>
      <c r="BH180" s="344">
        <f>IF(AO180=0,"",IFERROR(AVERAGEIFS(Data!$BF$4:$BF$375,Data!$A$4:$A$375,"&gt;"&amp;($A180-30),Data!$A$4:$A$375,"&lt;="&amp;$A180),""))</f>
        <v/>
      </c>
      <c r="BI180" s="359">
        <f>IF($A180="","",IFERROR(AVERAGEIFS(Data!$AF$4:$AF$375,Data!$A$4:$A$375,"&gt;"&amp;($A180-7),Data!$A$4:$A$375,"&lt;="&amp;$A180,Data!$AF$4:$AF$375,"&gt;0"),""))</f>
        <v/>
      </c>
      <c r="BJ180" s="345">
        <f>IF($A180="","",F180+G180+H180+I180+J180+K180+L180+M180+N180-IF(AS180=1,0,J180))</f>
        <v/>
      </c>
      <c r="BK180" s="345">
        <f>IF($A180="","",8+AS180)</f>
        <v/>
      </c>
      <c r="BL180" s="345">
        <f>IF(ISNUMBER(BF180),BF180,NA())</f>
        <v/>
      </c>
      <c r="BM180" s="345">
        <f>IF(ISNUMBER(AF180),AF180,NA())</f>
        <v/>
      </c>
      <c r="BN180" s="345">
        <f>IF(ISNUMBER(BI180),BI180,NA())</f>
        <v/>
      </c>
      <c r="BO180" s="345">
        <f>IF(ISNUMBER(AL180),AL180,NA())</f>
        <v/>
      </c>
      <c r="BP180" s="345">
        <f>IF(ISNUMBER(AM180),AM180,NA())</f>
        <v/>
      </c>
      <c r="BQ180" s="345">
        <f>IF(ISNUMBER(AN180),AN180,NA())</f>
        <v/>
      </c>
    </row>
    <row r="181">
      <c r="A181" s="358">
        <f>IF('Mar 2027'!AA7="","",'Mar 2027'!AA7)</f>
        <v/>
      </c>
      <c r="B181" s="345" t="n">
        <v>6</v>
      </c>
      <c r="C181" s="345">
        <f>IF($A181="","",23)</f>
        <v/>
      </c>
      <c r="D181" s="345">
        <f>IF($A181="","",WEEKDAY($A181,2))</f>
        <v/>
      </c>
      <c r="E181" s="345">
        <f>IF($A181="","",UPPER(TRIM('Mar 2027'!AA8)))</f>
        <v/>
      </c>
      <c r="F181" s="345">
        <f>IF($A181="","",IF(OR('Mar 2027'!AA10=TRUE,'Mar 2027'!AA10="x",'Mar 2027'!AA10="X"),1,0))</f>
        <v/>
      </c>
      <c r="G181" s="345">
        <f>IF($A181="","",IF(OR('Mar 2027'!AA11=TRUE,'Mar 2027'!AA11="x",'Mar 2027'!AA11="X"),1,0))</f>
        <v/>
      </c>
      <c r="H181" s="345">
        <f>IF($A181="","",IF(OR('Mar 2027'!AA12=TRUE,'Mar 2027'!AA12="x",'Mar 2027'!AA12="X"),1,0))</f>
        <v/>
      </c>
      <c r="I181" s="345">
        <f>IF($A181="","",IF(OR('Mar 2027'!AA13=TRUE,'Mar 2027'!AA13="x",'Mar 2027'!AA13="X"),1,0))</f>
        <v/>
      </c>
      <c r="J181" s="345">
        <f>IF($A181="","",IF(OR('Mar 2027'!AA14=TRUE,'Mar 2027'!AA14="x",'Mar 2027'!AA14="X"),1,0))</f>
        <v/>
      </c>
      <c r="K181" s="345">
        <f>IF($A181="","",IF(OR('Mar 2027'!AA15=TRUE,'Mar 2027'!AA15="x",'Mar 2027'!AA15="X"),1,0))</f>
        <v/>
      </c>
      <c r="L181" s="345">
        <f>IF($A181="","",IF(OR('Mar 2027'!AA16=TRUE,'Mar 2027'!AA16="x",'Mar 2027'!AA16="X"),1,0))</f>
        <v/>
      </c>
      <c r="M181" s="345">
        <f>IF($A181="","",IF(OR('Mar 2027'!AA17=TRUE,'Mar 2027'!AA17="x",'Mar 2027'!AA17="X"),1,0))</f>
        <v/>
      </c>
      <c r="N181" s="345">
        <f>IF($A181="","",IF(OR('Mar 2027'!AA18=TRUE,'Mar 2027'!AA18="x",'Mar 2027'!AA18="X"),1,0))</f>
        <v/>
      </c>
      <c r="O181" s="345">
        <f>IF($A181="","",IF(OR('Mar 2027'!AA20=TRUE,'Mar 2027'!AA20="x",'Mar 2027'!AA20="X"),1,0))</f>
        <v/>
      </c>
      <c r="P181" s="345">
        <f>IF($A181="","",IF(OR('Mar 2027'!AA21=TRUE,'Mar 2027'!AA21="x",'Mar 2027'!AA21="X"),1,0))</f>
        <v/>
      </c>
      <c r="Q181" s="345">
        <f>IF($A181="","",IF(OR('Mar 2027'!AA22=TRUE,'Mar 2027'!AA22="x",'Mar 2027'!AA22="X"),1,0))</f>
        <v/>
      </c>
      <c r="R181" s="345">
        <f>IF($A181="","",IF(OR('Mar 2027'!AA23=TRUE,'Mar 2027'!AA23="x",'Mar 2027'!AA23="X"),1,0))</f>
        <v/>
      </c>
      <c r="S181" s="345">
        <f>IF($A181="","",IF(OR('Mar 2027'!AA24=TRUE,'Mar 2027'!AA24="x",'Mar 2027'!AA24="X"),1,0))</f>
        <v/>
      </c>
      <c r="T181" s="345">
        <f>IF($A181="","",IF(OR('Mar 2027'!AA25=TRUE,'Mar 2027'!AA25="x",'Mar 2027'!AA25="X"),1,0))</f>
        <v/>
      </c>
      <c r="U181" s="345">
        <f>IF($A181="","",IF(OR('Mar 2027'!AA26=TRUE,'Mar 2027'!AA26="x",'Mar 2027'!AA26="X"),1,0))</f>
        <v/>
      </c>
      <c r="V181" s="345">
        <f>IF($A181="","",IF(OR('Mar 2027'!AA27=TRUE,'Mar 2027'!AA27="x",'Mar 2027'!AA27="X"),1,0))</f>
        <v/>
      </c>
      <c r="W181" s="345">
        <f>IF($A181="","",IF(OR('Mar 2027'!AA28=TRUE,'Mar 2027'!AA28="x",'Mar 2027'!AA28="X"),1,0))</f>
        <v/>
      </c>
      <c r="X181" s="345">
        <f>IF($A181="","",IF(OR('Mar 2027'!AA29=TRUE,'Mar 2027'!AA29="x",'Mar 2027'!AA29="X"),1,0))</f>
        <v/>
      </c>
      <c r="Y181" s="345">
        <f>IF($A181="","",IF(OR('Mar 2027'!AA30=TRUE,'Mar 2027'!AA30="x",'Mar 2027'!AA30="X"),1,0))</f>
        <v/>
      </c>
      <c r="Z181" s="345">
        <f>IF($A181="","",IF(OR('Mar 2027'!AA31=TRUE,'Mar 2027'!AA31="x",'Mar 2027'!AA31="X"),1,0))</f>
        <v/>
      </c>
      <c r="AA181" s="345">
        <f>IF($A181="","",IF(OR('Mar 2027'!AA32=TRUE,'Mar 2027'!AA32="x",'Mar 2027'!AA32="X"),1,0))</f>
        <v/>
      </c>
      <c r="AB181" s="345">
        <f>IF($A181="","",IF(OR('Mar 2027'!AA34=TRUE,'Mar 2027'!AA34="x",'Mar 2027'!AA34="X"),1,0))</f>
        <v/>
      </c>
      <c r="AC181" s="345">
        <f>IF($A181="","",IF(OR('Mar 2027'!AA35=TRUE,'Mar 2027'!AA35="x",'Mar 2027'!AA35="X"),1,0))</f>
        <v/>
      </c>
      <c r="AD181" s="345">
        <f>IF($A181="","",IF(OR('Mar 2027'!AA36=TRUE,'Mar 2027'!AA36="x",'Mar 2027'!AA36="X"),1,0))</f>
        <v/>
      </c>
      <c r="AE181" s="345">
        <f>IF($A181="","",IF(OR('Mar 2027'!AA37=TRUE,'Mar 2027'!AA37="x",'Mar 2027'!AA37="X"),1,0))</f>
        <v/>
      </c>
      <c r="AF181" s="345">
        <f>IF($A181="","",IF('Mar 2027'!AA59="","",'Mar 2027'!AA59))</f>
        <v/>
      </c>
      <c r="AG181" s="345">
        <f>IF($A181="","",IF('Mar 2027'!AA60="","",'Mar 2027'!AA60))</f>
        <v/>
      </c>
      <c r="AH181" s="345">
        <f>IF($A181="","",IF('Mar 2027'!AA61="","",'Mar 2027'!AA61))</f>
        <v/>
      </c>
      <c r="AI181" s="345">
        <f>IF($A181="","",IF('Mar 2027'!AA62="","",'Mar 2027'!AA62))</f>
        <v/>
      </c>
      <c r="AJ181" s="345">
        <f>IF($A181="","",IF('Mar 2027'!AA63="","",'Mar 2027'!AA63))</f>
        <v/>
      </c>
      <c r="AK181" s="345">
        <f>IF($A181="","",IF('Mar 2027'!AA64="","",'Mar 2027'!AA64))</f>
        <v/>
      </c>
      <c r="AL181" s="345">
        <f>IF($A181="","",IF('Mar 2027'!AA65="","",'Mar 2027'!AA65))</f>
        <v/>
      </c>
      <c r="AM181" s="345">
        <f>IF($A181="","",IF('Mar 2027'!AA66="","",'Mar 2027'!AA66))</f>
        <v/>
      </c>
      <c r="AN181" s="345">
        <f>IF($A181="","",IF('Mar 2027'!AA67="","",'Mar 2027'!AA67))</f>
        <v/>
      </c>
      <c r="AO181" s="345">
        <f>IF($A181="",0,IF(AND($A181&gt;=TrackStart,$A181&lt;=TODAY()),1,0))</f>
        <v/>
      </c>
      <c r="AP181" s="345">
        <f>IF($A181="",0,IF(SUM(F181:AE181)+COUNT(AF181:AN181)&gt;0,1,0))</f>
        <v/>
      </c>
      <c r="AQ181" s="345">
        <f>IF($A181="","",INT(($A181-TrackStart)/7)+1)</f>
        <v/>
      </c>
      <c r="AR181" s="345">
        <f>IF($A181="","",IF(AQ181&lt;=1,Steps1,IF(AQ181=2,Steps2,Steps3)))</f>
        <v/>
      </c>
      <c r="AS181" s="345">
        <f>IF($A181="",0,IF(ISNUMBER(SEARCH(TEXT(D181,"0"),WorkDays&amp;"")),1,0))</f>
        <v/>
      </c>
      <c r="AT181" s="345">
        <f>IF($A181="",0,IF(ISNUMBER(SEARCH(TEXT(D181,"0"),StrDays&amp;"")),1,0))</f>
        <v/>
      </c>
      <c r="AU181" s="345">
        <f>IF($A181="",0,IF(ISNUMBER(AK181),IF(AK181&gt;=SleepMin,1,0),N181))</f>
        <v/>
      </c>
      <c r="AV181" s="345">
        <f>IF($A181="",0,MAX(I181,O181,S181,AC181))</f>
        <v/>
      </c>
      <c r="AW181" s="345">
        <f>IF($A181="",0,IF(ISNUMBER(AH181),IF(AH181&gt;=ProtHit,1,0),0))</f>
        <v/>
      </c>
      <c r="AX181" s="345">
        <f>IF($A181="",0,IF(ISNUMBER(AI181),IF(AI181&gt;=WaterHit,1,0),0))</f>
        <v/>
      </c>
      <c r="AY181" s="345">
        <f>IF($A181="",0,IF(ISNUMBER(AG181),IF(AG181&gt;=AR181,1,0),0))</f>
        <v/>
      </c>
      <c r="AZ181" s="345">
        <f>IF($A181="",0,G181)</f>
        <v/>
      </c>
      <c r="BA181" s="345">
        <f>IF($A181="",0,J181)</f>
        <v/>
      </c>
      <c r="BB181" s="345">
        <f>IF($A181="",0,K181)</f>
        <v/>
      </c>
      <c r="BC181" s="345">
        <f>IF($A181="",0,MAX(L181,AE181))</f>
        <v/>
      </c>
      <c r="BD181" s="344">
        <f>IF($A181="","",(AU181+AV181+AW181+AX181+AY181+AZ181+BB181+BC181+IF(AS181=1,BA181,0))/(8+AS181))</f>
        <v/>
      </c>
      <c r="BE181" s="344">
        <f>IF($A181="","",(IF(ISNUMBER(AI181),IF(AI181&gt;=WaterMVD,1,0),0)+AV181+IF(ISNUMBER(AH181),IF(AH181&gt;=ProtMVD,1,0),0)+MAX(H181,AD181)+AZ181+BB181+AU181)/7)</f>
        <v/>
      </c>
      <c r="BF181" s="344">
        <f>IF(AO181=0,"",IF(E181="S","",IF(AND(AP181=0,$A181=TODAY()),"",IF(E181="M",BE181,BD181))))</f>
        <v/>
      </c>
      <c r="BG181" s="344">
        <f>IF(AO181=0,"",IFERROR(AVERAGEIFS(Data!$BF$4:$BF$375,Data!$A$4:$A$375,"&gt;"&amp;($A181-7),Data!$A$4:$A$375,"&lt;="&amp;$A181),""))</f>
        <v/>
      </c>
      <c r="BH181" s="344">
        <f>IF(AO181=0,"",IFERROR(AVERAGEIFS(Data!$BF$4:$BF$375,Data!$A$4:$A$375,"&gt;"&amp;($A181-30),Data!$A$4:$A$375,"&lt;="&amp;$A181),""))</f>
        <v/>
      </c>
      <c r="BI181" s="359">
        <f>IF($A181="","",IFERROR(AVERAGEIFS(Data!$AF$4:$AF$375,Data!$A$4:$A$375,"&gt;"&amp;($A181-7),Data!$A$4:$A$375,"&lt;="&amp;$A181,Data!$AF$4:$AF$375,"&gt;0"),""))</f>
        <v/>
      </c>
      <c r="BJ181" s="345">
        <f>IF($A181="","",F181+G181+H181+I181+J181+K181+L181+M181+N181-IF(AS181=1,0,J181))</f>
        <v/>
      </c>
      <c r="BK181" s="345">
        <f>IF($A181="","",8+AS181)</f>
        <v/>
      </c>
      <c r="BL181" s="345">
        <f>IF(ISNUMBER(BF181),BF181,NA())</f>
        <v/>
      </c>
      <c r="BM181" s="345">
        <f>IF(ISNUMBER(AF181),AF181,NA())</f>
        <v/>
      </c>
      <c r="BN181" s="345">
        <f>IF(ISNUMBER(BI181),BI181,NA())</f>
        <v/>
      </c>
      <c r="BO181" s="345">
        <f>IF(ISNUMBER(AL181),AL181,NA())</f>
        <v/>
      </c>
      <c r="BP181" s="345">
        <f>IF(ISNUMBER(AM181),AM181,NA())</f>
        <v/>
      </c>
      <c r="BQ181" s="345">
        <f>IF(ISNUMBER(AN181),AN181,NA())</f>
        <v/>
      </c>
    </row>
    <row r="182">
      <c r="A182" s="358">
        <f>IF('Mar 2027'!AB7="","",'Mar 2027'!AB7)</f>
        <v/>
      </c>
      <c r="B182" s="345" t="n">
        <v>6</v>
      </c>
      <c r="C182" s="345">
        <f>IF($A182="","",24)</f>
        <v/>
      </c>
      <c r="D182" s="345">
        <f>IF($A182="","",WEEKDAY($A182,2))</f>
        <v/>
      </c>
      <c r="E182" s="345">
        <f>IF($A182="","",UPPER(TRIM('Mar 2027'!AB8)))</f>
        <v/>
      </c>
      <c r="F182" s="345">
        <f>IF($A182="","",IF(OR('Mar 2027'!AB10=TRUE,'Mar 2027'!AB10="x",'Mar 2027'!AB10="X"),1,0))</f>
        <v/>
      </c>
      <c r="G182" s="345">
        <f>IF($A182="","",IF(OR('Mar 2027'!AB11=TRUE,'Mar 2027'!AB11="x",'Mar 2027'!AB11="X"),1,0))</f>
        <v/>
      </c>
      <c r="H182" s="345">
        <f>IF($A182="","",IF(OR('Mar 2027'!AB12=TRUE,'Mar 2027'!AB12="x",'Mar 2027'!AB12="X"),1,0))</f>
        <v/>
      </c>
      <c r="I182" s="345">
        <f>IF($A182="","",IF(OR('Mar 2027'!AB13=TRUE,'Mar 2027'!AB13="x",'Mar 2027'!AB13="X"),1,0))</f>
        <v/>
      </c>
      <c r="J182" s="345">
        <f>IF($A182="","",IF(OR('Mar 2027'!AB14=TRUE,'Mar 2027'!AB14="x",'Mar 2027'!AB14="X"),1,0))</f>
        <v/>
      </c>
      <c r="K182" s="345">
        <f>IF($A182="","",IF(OR('Mar 2027'!AB15=TRUE,'Mar 2027'!AB15="x",'Mar 2027'!AB15="X"),1,0))</f>
        <v/>
      </c>
      <c r="L182" s="345">
        <f>IF($A182="","",IF(OR('Mar 2027'!AB16=TRUE,'Mar 2027'!AB16="x",'Mar 2027'!AB16="X"),1,0))</f>
        <v/>
      </c>
      <c r="M182" s="345">
        <f>IF($A182="","",IF(OR('Mar 2027'!AB17=TRUE,'Mar 2027'!AB17="x",'Mar 2027'!AB17="X"),1,0))</f>
        <v/>
      </c>
      <c r="N182" s="345">
        <f>IF($A182="","",IF(OR('Mar 2027'!AB18=TRUE,'Mar 2027'!AB18="x",'Mar 2027'!AB18="X"),1,0))</f>
        <v/>
      </c>
      <c r="O182" s="345">
        <f>IF($A182="","",IF(OR('Mar 2027'!AB20=TRUE,'Mar 2027'!AB20="x",'Mar 2027'!AB20="X"),1,0))</f>
        <v/>
      </c>
      <c r="P182" s="345">
        <f>IF($A182="","",IF(OR('Mar 2027'!AB21=TRUE,'Mar 2027'!AB21="x",'Mar 2027'!AB21="X"),1,0))</f>
        <v/>
      </c>
      <c r="Q182" s="345">
        <f>IF($A182="","",IF(OR('Mar 2027'!AB22=TRUE,'Mar 2027'!AB22="x",'Mar 2027'!AB22="X"),1,0))</f>
        <v/>
      </c>
      <c r="R182" s="345">
        <f>IF($A182="","",IF(OR('Mar 2027'!AB23=TRUE,'Mar 2027'!AB23="x",'Mar 2027'!AB23="X"),1,0))</f>
        <v/>
      </c>
      <c r="S182" s="345">
        <f>IF($A182="","",IF(OR('Mar 2027'!AB24=TRUE,'Mar 2027'!AB24="x",'Mar 2027'!AB24="X"),1,0))</f>
        <v/>
      </c>
      <c r="T182" s="345">
        <f>IF($A182="","",IF(OR('Mar 2027'!AB25=TRUE,'Mar 2027'!AB25="x",'Mar 2027'!AB25="X"),1,0))</f>
        <v/>
      </c>
      <c r="U182" s="345">
        <f>IF($A182="","",IF(OR('Mar 2027'!AB26=TRUE,'Mar 2027'!AB26="x",'Mar 2027'!AB26="X"),1,0))</f>
        <v/>
      </c>
      <c r="V182" s="345">
        <f>IF($A182="","",IF(OR('Mar 2027'!AB27=TRUE,'Mar 2027'!AB27="x",'Mar 2027'!AB27="X"),1,0))</f>
        <v/>
      </c>
      <c r="W182" s="345">
        <f>IF($A182="","",IF(OR('Mar 2027'!AB28=TRUE,'Mar 2027'!AB28="x",'Mar 2027'!AB28="X"),1,0))</f>
        <v/>
      </c>
      <c r="X182" s="345">
        <f>IF($A182="","",IF(OR('Mar 2027'!AB29=TRUE,'Mar 2027'!AB29="x",'Mar 2027'!AB29="X"),1,0))</f>
        <v/>
      </c>
      <c r="Y182" s="345">
        <f>IF($A182="","",IF(OR('Mar 2027'!AB30=TRUE,'Mar 2027'!AB30="x",'Mar 2027'!AB30="X"),1,0))</f>
        <v/>
      </c>
      <c r="Z182" s="345">
        <f>IF($A182="","",IF(OR('Mar 2027'!AB31=TRUE,'Mar 2027'!AB31="x",'Mar 2027'!AB31="X"),1,0))</f>
        <v/>
      </c>
      <c r="AA182" s="345">
        <f>IF($A182="","",IF(OR('Mar 2027'!AB32=TRUE,'Mar 2027'!AB32="x",'Mar 2027'!AB32="X"),1,0))</f>
        <v/>
      </c>
      <c r="AB182" s="345">
        <f>IF($A182="","",IF(OR('Mar 2027'!AB34=TRUE,'Mar 2027'!AB34="x",'Mar 2027'!AB34="X"),1,0))</f>
        <v/>
      </c>
      <c r="AC182" s="345">
        <f>IF($A182="","",IF(OR('Mar 2027'!AB35=TRUE,'Mar 2027'!AB35="x",'Mar 2027'!AB35="X"),1,0))</f>
        <v/>
      </c>
      <c r="AD182" s="345">
        <f>IF($A182="","",IF(OR('Mar 2027'!AB36=TRUE,'Mar 2027'!AB36="x",'Mar 2027'!AB36="X"),1,0))</f>
        <v/>
      </c>
      <c r="AE182" s="345">
        <f>IF($A182="","",IF(OR('Mar 2027'!AB37=TRUE,'Mar 2027'!AB37="x",'Mar 2027'!AB37="X"),1,0))</f>
        <v/>
      </c>
      <c r="AF182" s="345">
        <f>IF($A182="","",IF('Mar 2027'!AB59="","",'Mar 2027'!AB59))</f>
        <v/>
      </c>
      <c r="AG182" s="345">
        <f>IF($A182="","",IF('Mar 2027'!AB60="","",'Mar 2027'!AB60))</f>
        <v/>
      </c>
      <c r="AH182" s="345">
        <f>IF($A182="","",IF('Mar 2027'!AB61="","",'Mar 2027'!AB61))</f>
        <v/>
      </c>
      <c r="AI182" s="345">
        <f>IF($A182="","",IF('Mar 2027'!AB62="","",'Mar 2027'!AB62))</f>
        <v/>
      </c>
      <c r="AJ182" s="345">
        <f>IF($A182="","",IF('Mar 2027'!AB63="","",'Mar 2027'!AB63))</f>
        <v/>
      </c>
      <c r="AK182" s="345">
        <f>IF($A182="","",IF('Mar 2027'!AB64="","",'Mar 2027'!AB64))</f>
        <v/>
      </c>
      <c r="AL182" s="345">
        <f>IF($A182="","",IF('Mar 2027'!AB65="","",'Mar 2027'!AB65))</f>
        <v/>
      </c>
      <c r="AM182" s="345">
        <f>IF($A182="","",IF('Mar 2027'!AB66="","",'Mar 2027'!AB66))</f>
        <v/>
      </c>
      <c r="AN182" s="345">
        <f>IF($A182="","",IF('Mar 2027'!AB67="","",'Mar 2027'!AB67))</f>
        <v/>
      </c>
      <c r="AO182" s="345">
        <f>IF($A182="",0,IF(AND($A182&gt;=TrackStart,$A182&lt;=TODAY()),1,0))</f>
        <v/>
      </c>
      <c r="AP182" s="345">
        <f>IF($A182="",0,IF(SUM(F182:AE182)+COUNT(AF182:AN182)&gt;0,1,0))</f>
        <v/>
      </c>
      <c r="AQ182" s="345">
        <f>IF($A182="","",INT(($A182-TrackStart)/7)+1)</f>
        <v/>
      </c>
      <c r="AR182" s="345">
        <f>IF($A182="","",IF(AQ182&lt;=1,Steps1,IF(AQ182=2,Steps2,Steps3)))</f>
        <v/>
      </c>
      <c r="AS182" s="345">
        <f>IF($A182="",0,IF(ISNUMBER(SEARCH(TEXT(D182,"0"),WorkDays&amp;"")),1,0))</f>
        <v/>
      </c>
      <c r="AT182" s="345">
        <f>IF($A182="",0,IF(ISNUMBER(SEARCH(TEXT(D182,"0"),StrDays&amp;"")),1,0))</f>
        <v/>
      </c>
      <c r="AU182" s="345">
        <f>IF($A182="",0,IF(ISNUMBER(AK182),IF(AK182&gt;=SleepMin,1,0),N182))</f>
        <v/>
      </c>
      <c r="AV182" s="345">
        <f>IF($A182="",0,MAX(I182,O182,S182,AC182))</f>
        <v/>
      </c>
      <c r="AW182" s="345">
        <f>IF($A182="",0,IF(ISNUMBER(AH182),IF(AH182&gt;=ProtHit,1,0),0))</f>
        <v/>
      </c>
      <c r="AX182" s="345">
        <f>IF($A182="",0,IF(ISNUMBER(AI182),IF(AI182&gt;=WaterHit,1,0),0))</f>
        <v/>
      </c>
      <c r="AY182" s="345">
        <f>IF($A182="",0,IF(ISNUMBER(AG182),IF(AG182&gt;=AR182,1,0),0))</f>
        <v/>
      </c>
      <c r="AZ182" s="345">
        <f>IF($A182="",0,G182)</f>
        <v/>
      </c>
      <c r="BA182" s="345">
        <f>IF($A182="",0,J182)</f>
        <v/>
      </c>
      <c r="BB182" s="345">
        <f>IF($A182="",0,K182)</f>
        <v/>
      </c>
      <c r="BC182" s="345">
        <f>IF($A182="",0,MAX(L182,AE182))</f>
        <v/>
      </c>
      <c r="BD182" s="344">
        <f>IF($A182="","",(AU182+AV182+AW182+AX182+AY182+AZ182+BB182+BC182+IF(AS182=1,BA182,0))/(8+AS182))</f>
        <v/>
      </c>
      <c r="BE182" s="344">
        <f>IF($A182="","",(IF(ISNUMBER(AI182),IF(AI182&gt;=WaterMVD,1,0),0)+AV182+IF(ISNUMBER(AH182),IF(AH182&gt;=ProtMVD,1,0),0)+MAX(H182,AD182)+AZ182+BB182+AU182)/7)</f>
        <v/>
      </c>
      <c r="BF182" s="344">
        <f>IF(AO182=0,"",IF(E182="S","",IF(AND(AP182=0,$A182=TODAY()),"",IF(E182="M",BE182,BD182))))</f>
        <v/>
      </c>
      <c r="BG182" s="344">
        <f>IF(AO182=0,"",IFERROR(AVERAGEIFS(Data!$BF$4:$BF$375,Data!$A$4:$A$375,"&gt;"&amp;($A182-7),Data!$A$4:$A$375,"&lt;="&amp;$A182),""))</f>
        <v/>
      </c>
      <c r="BH182" s="344">
        <f>IF(AO182=0,"",IFERROR(AVERAGEIFS(Data!$BF$4:$BF$375,Data!$A$4:$A$375,"&gt;"&amp;($A182-30),Data!$A$4:$A$375,"&lt;="&amp;$A182),""))</f>
        <v/>
      </c>
      <c r="BI182" s="359">
        <f>IF($A182="","",IFERROR(AVERAGEIFS(Data!$AF$4:$AF$375,Data!$A$4:$A$375,"&gt;"&amp;($A182-7),Data!$A$4:$A$375,"&lt;="&amp;$A182,Data!$AF$4:$AF$375,"&gt;0"),""))</f>
        <v/>
      </c>
      <c r="BJ182" s="345">
        <f>IF($A182="","",F182+G182+H182+I182+J182+K182+L182+M182+N182-IF(AS182=1,0,J182))</f>
        <v/>
      </c>
      <c r="BK182" s="345">
        <f>IF($A182="","",8+AS182)</f>
        <v/>
      </c>
      <c r="BL182" s="345">
        <f>IF(ISNUMBER(BF182),BF182,NA())</f>
        <v/>
      </c>
      <c r="BM182" s="345">
        <f>IF(ISNUMBER(AF182),AF182,NA())</f>
        <v/>
      </c>
      <c r="BN182" s="345">
        <f>IF(ISNUMBER(BI182),BI182,NA())</f>
        <v/>
      </c>
      <c r="BO182" s="345">
        <f>IF(ISNUMBER(AL182),AL182,NA())</f>
        <v/>
      </c>
      <c r="BP182" s="345">
        <f>IF(ISNUMBER(AM182),AM182,NA())</f>
        <v/>
      </c>
      <c r="BQ182" s="345">
        <f>IF(ISNUMBER(AN182),AN182,NA())</f>
        <v/>
      </c>
    </row>
    <row r="183">
      <c r="A183" s="358">
        <f>IF('Mar 2027'!AC7="","",'Mar 2027'!AC7)</f>
        <v/>
      </c>
      <c r="B183" s="345" t="n">
        <v>6</v>
      </c>
      <c r="C183" s="345">
        <f>IF($A183="","",25)</f>
        <v/>
      </c>
      <c r="D183" s="345">
        <f>IF($A183="","",WEEKDAY($A183,2))</f>
        <v/>
      </c>
      <c r="E183" s="345">
        <f>IF($A183="","",UPPER(TRIM('Mar 2027'!AC8)))</f>
        <v/>
      </c>
      <c r="F183" s="345">
        <f>IF($A183="","",IF(OR('Mar 2027'!AC10=TRUE,'Mar 2027'!AC10="x",'Mar 2027'!AC10="X"),1,0))</f>
        <v/>
      </c>
      <c r="G183" s="345">
        <f>IF($A183="","",IF(OR('Mar 2027'!AC11=TRUE,'Mar 2027'!AC11="x",'Mar 2027'!AC11="X"),1,0))</f>
        <v/>
      </c>
      <c r="H183" s="345">
        <f>IF($A183="","",IF(OR('Mar 2027'!AC12=TRUE,'Mar 2027'!AC12="x",'Mar 2027'!AC12="X"),1,0))</f>
        <v/>
      </c>
      <c r="I183" s="345">
        <f>IF($A183="","",IF(OR('Mar 2027'!AC13=TRUE,'Mar 2027'!AC13="x",'Mar 2027'!AC13="X"),1,0))</f>
        <v/>
      </c>
      <c r="J183" s="345">
        <f>IF($A183="","",IF(OR('Mar 2027'!AC14=TRUE,'Mar 2027'!AC14="x",'Mar 2027'!AC14="X"),1,0))</f>
        <v/>
      </c>
      <c r="K183" s="345">
        <f>IF($A183="","",IF(OR('Mar 2027'!AC15=TRUE,'Mar 2027'!AC15="x",'Mar 2027'!AC15="X"),1,0))</f>
        <v/>
      </c>
      <c r="L183" s="345">
        <f>IF($A183="","",IF(OR('Mar 2027'!AC16=TRUE,'Mar 2027'!AC16="x",'Mar 2027'!AC16="X"),1,0))</f>
        <v/>
      </c>
      <c r="M183" s="345">
        <f>IF($A183="","",IF(OR('Mar 2027'!AC17=TRUE,'Mar 2027'!AC17="x",'Mar 2027'!AC17="X"),1,0))</f>
        <v/>
      </c>
      <c r="N183" s="345">
        <f>IF($A183="","",IF(OR('Mar 2027'!AC18=TRUE,'Mar 2027'!AC18="x",'Mar 2027'!AC18="X"),1,0))</f>
        <v/>
      </c>
      <c r="O183" s="345">
        <f>IF($A183="","",IF(OR('Mar 2027'!AC20=TRUE,'Mar 2027'!AC20="x",'Mar 2027'!AC20="X"),1,0))</f>
        <v/>
      </c>
      <c r="P183" s="345">
        <f>IF($A183="","",IF(OR('Mar 2027'!AC21=TRUE,'Mar 2027'!AC21="x",'Mar 2027'!AC21="X"),1,0))</f>
        <v/>
      </c>
      <c r="Q183" s="345">
        <f>IF($A183="","",IF(OR('Mar 2027'!AC22=TRUE,'Mar 2027'!AC22="x",'Mar 2027'!AC22="X"),1,0))</f>
        <v/>
      </c>
      <c r="R183" s="345">
        <f>IF($A183="","",IF(OR('Mar 2027'!AC23=TRUE,'Mar 2027'!AC23="x",'Mar 2027'!AC23="X"),1,0))</f>
        <v/>
      </c>
      <c r="S183" s="345">
        <f>IF($A183="","",IF(OR('Mar 2027'!AC24=TRUE,'Mar 2027'!AC24="x",'Mar 2027'!AC24="X"),1,0))</f>
        <v/>
      </c>
      <c r="T183" s="345">
        <f>IF($A183="","",IF(OR('Mar 2027'!AC25=TRUE,'Mar 2027'!AC25="x",'Mar 2027'!AC25="X"),1,0))</f>
        <v/>
      </c>
      <c r="U183" s="345">
        <f>IF($A183="","",IF(OR('Mar 2027'!AC26=TRUE,'Mar 2027'!AC26="x",'Mar 2027'!AC26="X"),1,0))</f>
        <v/>
      </c>
      <c r="V183" s="345">
        <f>IF($A183="","",IF(OR('Mar 2027'!AC27=TRUE,'Mar 2027'!AC27="x",'Mar 2027'!AC27="X"),1,0))</f>
        <v/>
      </c>
      <c r="W183" s="345">
        <f>IF($A183="","",IF(OR('Mar 2027'!AC28=TRUE,'Mar 2027'!AC28="x",'Mar 2027'!AC28="X"),1,0))</f>
        <v/>
      </c>
      <c r="X183" s="345">
        <f>IF($A183="","",IF(OR('Mar 2027'!AC29=TRUE,'Mar 2027'!AC29="x",'Mar 2027'!AC29="X"),1,0))</f>
        <v/>
      </c>
      <c r="Y183" s="345">
        <f>IF($A183="","",IF(OR('Mar 2027'!AC30=TRUE,'Mar 2027'!AC30="x",'Mar 2027'!AC30="X"),1,0))</f>
        <v/>
      </c>
      <c r="Z183" s="345">
        <f>IF($A183="","",IF(OR('Mar 2027'!AC31=TRUE,'Mar 2027'!AC31="x",'Mar 2027'!AC31="X"),1,0))</f>
        <v/>
      </c>
      <c r="AA183" s="345">
        <f>IF($A183="","",IF(OR('Mar 2027'!AC32=TRUE,'Mar 2027'!AC32="x",'Mar 2027'!AC32="X"),1,0))</f>
        <v/>
      </c>
      <c r="AB183" s="345">
        <f>IF($A183="","",IF(OR('Mar 2027'!AC34=TRUE,'Mar 2027'!AC34="x",'Mar 2027'!AC34="X"),1,0))</f>
        <v/>
      </c>
      <c r="AC183" s="345">
        <f>IF($A183="","",IF(OR('Mar 2027'!AC35=TRUE,'Mar 2027'!AC35="x",'Mar 2027'!AC35="X"),1,0))</f>
        <v/>
      </c>
      <c r="AD183" s="345">
        <f>IF($A183="","",IF(OR('Mar 2027'!AC36=TRUE,'Mar 2027'!AC36="x",'Mar 2027'!AC36="X"),1,0))</f>
        <v/>
      </c>
      <c r="AE183" s="345">
        <f>IF($A183="","",IF(OR('Mar 2027'!AC37=TRUE,'Mar 2027'!AC37="x",'Mar 2027'!AC37="X"),1,0))</f>
        <v/>
      </c>
      <c r="AF183" s="345">
        <f>IF($A183="","",IF('Mar 2027'!AC59="","",'Mar 2027'!AC59))</f>
        <v/>
      </c>
      <c r="AG183" s="345">
        <f>IF($A183="","",IF('Mar 2027'!AC60="","",'Mar 2027'!AC60))</f>
        <v/>
      </c>
      <c r="AH183" s="345">
        <f>IF($A183="","",IF('Mar 2027'!AC61="","",'Mar 2027'!AC61))</f>
        <v/>
      </c>
      <c r="AI183" s="345">
        <f>IF($A183="","",IF('Mar 2027'!AC62="","",'Mar 2027'!AC62))</f>
        <v/>
      </c>
      <c r="AJ183" s="345">
        <f>IF($A183="","",IF('Mar 2027'!AC63="","",'Mar 2027'!AC63))</f>
        <v/>
      </c>
      <c r="AK183" s="345">
        <f>IF($A183="","",IF('Mar 2027'!AC64="","",'Mar 2027'!AC64))</f>
        <v/>
      </c>
      <c r="AL183" s="345">
        <f>IF($A183="","",IF('Mar 2027'!AC65="","",'Mar 2027'!AC65))</f>
        <v/>
      </c>
      <c r="AM183" s="345">
        <f>IF($A183="","",IF('Mar 2027'!AC66="","",'Mar 2027'!AC66))</f>
        <v/>
      </c>
      <c r="AN183" s="345">
        <f>IF($A183="","",IF('Mar 2027'!AC67="","",'Mar 2027'!AC67))</f>
        <v/>
      </c>
      <c r="AO183" s="345">
        <f>IF($A183="",0,IF(AND($A183&gt;=TrackStart,$A183&lt;=TODAY()),1,0))</f>
        <v/>
      </c>
      <c r="AP183" s="345">
        <f>IF($A183="",0,IF(SUM(F183:AE183)+COUNT(AF183:AN183)&gt;0,1,0))</f>
        <v/>
      </c>
      <c r="AQ183" s="345">
        <f>IF($A183="","",INT(($A183-TrackStart)/7)+1)</f>
        <v/>
      </c>
      <c r="AR183" s="345">
        <f>IF($A183="","",IF(AQ183&lt;=1,Steps1,IF(AQ183=2,Steps2,Steps3)))</f>
        <v/>
      </c>
      <c r="AS183" s="345">
        <f>IF($A183="",0,IF(ISNUMBER(SEARCH(TEXT(D183,"0"),WorkDays&amp;"")),1,0))</f>
        <v/>
      </c>
      <c r="AT183" s="345">
        <f>IF($A183="",0,IF(ISNUMBER(SEARCH(TEXT(D183,"0"),StrDays&amp;"")),1,0))</f>
        <v/>
      </c>
      <c r="AU183" s="345">
        <f>IF($A183="",0,IF(ISNUMBER(AK183),IF(AK183&gt;=SleepMin,1,0),N183))</f>
        <v/>
      </c>
      <c r="AV183" s="345">
        <f>IF($A183="",0,MAX(I183,O183,S183,AC183))</f>
        <v/>
      </c>
      <c r="AW183" s="345">
        <f>IF($A183="",0,IF(ISNUMBER(AH183),IF(AH183&gt;=ProtHit,1,0),0))</f>
        <v/>
      </c>
      <c r="AX183" s="345">
        <f>IF($A183="",0,IF(ISNUMBER(AI183),IF(AI183&gt;=WaterHit,1,0),0))</f>
        <v/>
      </c>
      <c r="AY183" s="345">
        <f>IF($A183="",0,IF(ISNUMBER(AG183),IF(AG183&gt;=AR183,1,0),0))</f>
        <v/>
      </c>
      <c r="AZ183" s="345">
        <f>IF($A183="",0,G183)</f>
        <v/>
      </c>
      <c r="BA183" s="345">
        <f>IF($A183="",0,J183)</f>
        <v/>
      </c>
      <c r="BB183" s="345">
        <f>IF($A183="",0,K183)</f>
        <v/>
      </c>
      <c r="BC183" s="345">
        <f>IF($A183="",0,MAX(L183,AE183))</f>
        <v/>
      </c>
      <c r="BD183" s="344">
        <f>IF($A183="","",(AU183+AV183+AW183+AX183+AY183+AZ183+BB183+BC183+IF(AS183=1,BA183,0))/(8+AS183))</f>
        <v/>
      </c>
      <c r="BE183" s="344">
        <f>IF($A183="","",(IF(ISNUMBER(AI183),IF(AI183&gt;=WaterMVD,1,0),0)+AV183+IF(ISNUMBER(AH183),IF(AH183&gt;=ProtMVD,1,0),0)+MAX(H183,AD183)+AZ183+BB183+AU183)/7)</f>
        <v/>
      </c>
      <c r="BF183" s="344">
        <f>IF(AO183=0,"",IF(E183="S","",IF(AND(AP183=0,$A183=TODAY()),"",IF(E183="M",BE183,BD183))))</f>
        <v/>
      </c>
      <c r="BG183" s="344">
        <f>IF(AO183=0,"",IFERROR(AVERAGEIFS(Data!$BF$4:$BF$375,Data!$A$4:$A$375,"&gt;"&amp;($A183-7),Data!$A$4:$A$375,"&lt;="&amp;$A183),""))</f>
        <v/>
      </c>
      <c r="BH183" s="344">
        <f>IF(AO183=0,"",IFERROR(AVERAGEIFS(Data!$BF$4:$BF$375,Data!$A$4:$A$375,"&gt;"&amp;($A183-30),Data!$A$4:$A$375,"&lt;="&amp;$A183),""))</f>
        <v/>
      </c>
      <c r="BI183" s="359">
        <f>IF($A183="","",IFERROR(AVERAGEIFS(Data!$AF$4:$AF$375,Data!$A$4:$A$375,"&gt;"&amp;($A183-7),Data!$A$4:$A$375,"&lt;="&amp;$A183,Data!$AF$4:$AF$375,"&gt;0"),""))</f>
        <v/>
      </c>
      <c r="BJ183" s="345">
        <f>IF($A183="","",F183+G183+H183+I183+J183+K183+L183+M183+N183-IF(AS183=1,0,J183))</f>
        <v/>
      </c>
      <c r="BK183" s="345">
        <f>IF($A183="","",8+AS183)</f>
        <v/>
      </c>
      <c r="BL183" s="345">
        <f>IF(ISNUMBER(BF183),BF183,NA())</f>
        <v/>
      </c>
      <c r="BM183" s="345">
        <f>IF(ISNUMBER(AF183),AF183,NA())</f>
        <v/>
      </c>
      <c r="BN183" s="345">
        <f>IF(ISNUMBER(BI183),BI183,NA())</f>
        <v/>
      </c>
      <c r="BO183" s="345">
        <f>IF(ISNUMBER(AL183),AL183,NA())</f>
        <v/>
      </c>
      <c r="BP183" s="345">
        <f>IF(ISNUMBER(AM183),AM183,NA())</f>
        <v/>
      </c>
      <c r="BQ183" s="345">
        <f>IF(ISNUMBER(AN183),AN183,NA())</f>
        <v/>
      </c>
    </row>
    <row r="184">
      <c r="A184" s="358">
        <f>IF('Mar 2027'!AD7="","",'Mar 2027'!AD7)</f>
        <v/>
      </c>
      <c r="B184" s="345" t="n">
        <v>6</v>
      </c>
      <c r="C184" s="345">
        <f>IF($A184="","",26)</f>
        <v/>
      </c>
      <c r="D184" s="345">
        <f>IF($A184="","",WEEKDAY($A184,2))</f>
        <v/>
      </c>
      <c r="E184" s="345">
        <f>IF($A184="","",UPPER(TRIM('Mar 2027'!AD8)))</f>
        <v/>
      </c>
      <c r="F184" s="345">
        <f>IF($A184="","",IF(OR('Mar 2027'!AD10=TRUE,'Mar 2027'!AD10="x",'Mar 2027'!AD10="X"),1,0))</f>
        <v/>
      </c>
      <c r="G184" s="345">
        <f>IF($A184="","",IF(OR('Mar 2027'!AD11=TRUE,'Mar 2027'!AD11="x",'Mar 2027'!AD11="X"),1,0))</f>
        <v/>
      </c>
      <c r="H184" s="345">
        <f>IF($A184="","",IF(OR('Mar 2027'!AD12=TRUE,'Mar 2027'!AD12="x",'Mar 2027'!AD12="X"),1,0))</f>
        <v/>
      </c>
      <c r="I184" s="345">
        <f>IF($A184="","",IF(OR('Mar 2027'!AD13=TRUE,'Mar 2027'!AD13="x",'Mar 2027'!AD13="X"),1,0))</f>
        <v/>
      </c>
      <c r="J184" s="345">
        <f>IF($A184="","",IF(OR('Mar 2027'!AD14=TRUE,'Mar 2027'!AD14="x",'Mar 2027'!AD14="X"),1,0))</f>
        <v/>
      </c>
      <c r="K184" s="345">
        <f>IF($A184="","",IF(OR('Mar 2027'!AD15=TRUE,'Mar 2027'!AD15="x",'Mar 2027'!AD15="X"),1,0))</f>
        <v/>
      </c>
      <c r="L184" s="345">
        <f>IF($A184="","",IF(OR('Mar 2027'!AD16=TRUE,'Mar 2027'!AD16="x",'Mar 2027'!AD16="X"),1,0))</f>
        <v/>
      </c>
      <c r="M184" s="345">
        <f>IF($A184="","",IF(OR('Mar 2027'!AD17=TRUE,'Mar 2027'!AD17="x",'Mar 2027'!AD17="X"),1,0))</f>
        <v/>
      </c>
      <c r="N184" s="345">
        <f>IF($A184="","",IF(OR('Mar 2027'!AD18=TRUE,'Mar 2027'!AD18="x",'Mar 2027'!AD18="X"),1,0))</f>
        <v/>
      </c>
      <c r="O184" s="345">
        <f>IF($A184="","",IF(OR('Mar 2027'!AD20=TRUE,'Mar 2027'!AD20="x",'Mar 2027'!AD20="X"),1,0))</f>
        <v/>
      </c>
      <c r="P184" s="345">
        <f>IF($A184="","",IF(OR('Mar 2027'!AD21=TRUE,'Mar 2027'!AD21="x",'Mar 2027'!AD21="X"),1,0))</f>
        <v/>
      </c>
      <c r="Q184" s="345">
        <f>IF($A184="","",IF(OR('Mar 2027'!AD22=TRUE,'Mar 2027'!AD22="x",'Mar 2027'!AD22="X"),1,0))</f>
        <v/>
      </c>
      <c r="R184" s="345">
        <f>IF($A184="","",IF(OR('Mar 2027'!AD23=TRUE,'Mar 2027'!AD23="x",'Mar 2027'!AD23="X"),1,0))</f>
        <v/>
      </c>
      <c r="S184" s="345">
        <f>IF($A184="","",IF(OR('Mar 2027'!AD24=TRUE,'Mar 2027'!AD24="x",'Mar 2027'!AD24="X"),1,0))</f>
        <v/>
      </c>
      <c r="T184" s="345">
        <f>IF($A184="","",IF(OR('Mar 2027'!AD25=TRUE,'Mar 2027'!AD25="x",'Mar 2027'!AD25="X"),1,0))</f>
        <v/>
      </c>
      <c r="U184" s="345">
        <f>IF($A184="","",IF(OR('Mar 2027'!AD26=TRUE,'Mar 2027'!AD26="x",'Mar 2027'!AD26="X"),1,0))</f>
        <v/>
      </c>
      <c r="V184" s="345">
        <f>IF($A184="","",IF(OR('Mar 2027'!AD27=TRUE,'Mar 2027'!AD27="x",'Mar 2027'!AD27="X"),1,0))</f>
        <v/>
      </c>
      <c r="W184" s="345">
        <f>IF($A184="","",IF(OR('Mar 2027'!AD28=TRUE,'Mar 2027'!AD28="x",'Mar 2027'!AD28="X"),1,0))</f>
        <v/>
      </c>
      <c r="X184" s="345">
        <f>IF($A184="","",IF(OR('Mar 2027'!AD29=TRUE,'Mar 2027'!AD29="x",'Mar 2027'!AD29="X"),1,0))</f>
        <v/>
      </c>
      <c r="Y184" s="345">
        <f>IF($A184="","",IF(OR('Mar 2027'!AD30=TRUE,'Mar 2027'!AD30="x",'Mar 2027'!AD30="X"),1,0))</f>
        <v/>
      </c>
      <c r="Z184" s="345">
        <f>IF($A184="","",IF(OR('Mar 2027'!AD31=TRUE,'Mar 2027'!AD31="x",'Mar 2027'!AD31="X"),1,0))</f>
        <v/>
      </c>
      <c r="AA184" s="345">
        <f>IF($A184="","",IF(OR('Mar 2027'!AD32=TRUE,'Mar 2027'!AD32="x",'Mar 2027'!AD32="X"),1,0))</f>
        <v/>
      </c>
      <c r="AB184" s="345">
        <f>IF($A184="","",IF(OR('Mar 2027'!AD34=TRUE,'Mar 2027'!AD34="x",'Mar 2027'!AD34="X"),1,0))</f>
        <v/>
      </c>
      <c r="AC184" s="345">
        <f>IF($A184="","",IF(OR('Mar 2027'!AD35=TRUE,'Mar 2027'!AD35="x",'Mar 2027'!AD35="X"),1,0))</f>
        <v/>
      </c>
      <c r="AD184" s="345">
        <f>IF($A184="","",IF(OR('Mar 2027'!AD36=TRUE,'Mar 2027'!AD36="x",'Mar 2027'!AD36="X"),1,0))</f>
        <v/>
      </c>
      <c r="AE184" s="345">
        <f>IF($A184="","",IF(OR('Mar 2027'!AD37=TRUE,'Mar 2027'!AD37="x",'Mar 2027'!AD37="X"),1,0))</f>
        <v/>
      </c>
      <c r="AF184" s="345">
        <f>IF($A184="","",IF('Mar 2027'!AD59="","",'Mar 2027'!AD59))</f>
        <v/>
      </c>
      <c r="AG184" s="345">
        <f>IF($A184="","",IF('Mar 2027'!AD60="","",'Mar 2027'!AD60))</f>
        <v/>
      </c>
      <c r="AH184" s="345">
        <f>IF($A184="","",IF('Mar 2027'!AD61="","",'Mar 2027'!AD61))</f>
        <v/>
      </c>
      <c r="AI184" s="345">
        <f>IF($A184="","",IF('Mar 2027'!AD62="","",'Mar 2027'!AD62))</f>
        <v/>
      </c>
      <c r="AJ184" s="345">
        <f>IF($A184="","",IF('Mar 2027'!AD63="","",'Mar 2027'!AD63))</f>
        <v/>
      </c>
      <c r="AK184" s="345">
        <f>IF($A184="","",IF('Mar 2027'!AD64="","",'Mar 2027'!AD64))</f>
        <v/>
      </c>
      <c r="AL184" s="345">
        <f>IF($A184="","",IF('Mar 2027'!AD65="","",'Mar 2027'!AD65))</f>
        <v/>
      </c>
      <c r="AM184" s="345">
        <f>IF($A184="","",IF('Mar 2027'!AD66="","",'Mar 2027'!AD66))</f>
        <v/>
      </c>
      <c r="AN184" s="345">
        <f>IF($A184="","",IF('Mar 2027'!AD67="","",'Mar 2027'!AD67))</f>
        <v/>
      </c>
      <c r="AO184" s="345">
        <f>IF($A184="",0,IF(AND($A184&gt;=TrackStart,$A184&lt;=TODAY()),1,0))</f>
        <v/>
      </c>
      <c r="AP184" s="345">
        <f>IF($A184="",0,IF(SUM(F184:AE184)+COUNT(AF184:AN184)&gt;0,1,0))</f>
        <v/>
      </c>
      <c r="AQ184" s="345">
        <f>IF($A184="","",INT(($A184-TrackStart)/7)+1)</f>
        <v/>
      </c>
      <c r="AR184" s="345">
        <f>IF($A184="","",IF(AQ184&lt;=1,Steps1,IF(AQ184=2,Steps2,Steps3)))</f>
        <v/>
      </c>
      <c r="AS184" s="345">
        <f>IF($A184="",0,IF(ISNUMBER(SEARCH(TEXT(D184,"0"),WorkDays&amp;"")),1,0))</f>
        <v/>
      </c>
      <c r="AT184" s="345">
        <f>IF($A184="",0,IF(ISNUMBER(SEARCH(TEXT(D184,"0"),StrDays&amp;"")),1,0))</f>
        <v/>
      </c>
      <c r="AU184" s="345">
        <f>IF($A184="",0,IF(ISNUMBER(AK184),IF(AK184&gt;=SleepMin,1,0),N184))</f>
        <v/>
      </c>
      <c r="AV184" s="345">
        <f>IF($A184="",0,MAX(I184,O184,S184,AC184))</f>
        <v/>
      </c>
      <c r="AW184" s="345">
        <f>IF($A184="",0,IF(ISNUMBER(AH184),IF(AH184&gt;=ProtHit,1,0),0))</f>
        <v/>
      </c>
      <c r="AX184" s="345">
        <f>IF($A184="",0,IF(ISNUMBER(AI184),IF(AI184&gt;=WaterHit,1,0),0))</f>
        <v/>
      </c>
      <c r="AY184" s="345">
        <f>IF($A184="",0,IF(ISNUMBER(AG184),IF(AG184&gt;=AR184,1,0),0))</f>
        <v/>
      </c>
      <c r="AZ184" s="345">
        <f>IF($A184="",0,G184)</f>
        <v/>
      </c>
      <c r="BA184" s="345">
        <f>IF($A184="",0,J184)</f>
        <v/>
      </c>
      <c r="BB184" s="345">
        <f>IF($A184="",0,K184)</f>
        <v/>
      </c>
      <c r="BC184" s="345">
        <f>IF($A184="",0,MAX(L184,AE184))</f>
        <v/>
      </c>
      <c r="BD184" s="344">
        <f>IF($A184="","",(AU184+AV184+AW184+AX184+AY184+AZ184+BB184+BC184+IF(AS184=1,BA184,0))/(8+AS184))</f>
        <v/>
      </c>
      <c r="BE184" s="344">
        <f>IF($A184="","",(IF(ISNUMBER(AI184),IF(AI184&gt;=WaterMVD,1,0),0)+AV184+IF(ISNUMBER(AH184),IF(AH184&gt;=ProtMVD,1,0),0)+MAX(H184,AD184)+AZ184+BB184+AU184)/7)</f>
        <v/>
      </c>
      <c r="BF184" s="344">
        <f>IF(AO184=0,"",IF(E184="S","",IF(AND(AP184=0,$A184=TODAY()),"",IF(E184="M",BE184,BD184))))</f>
        <v/>
      </c>
      <c r="BG184" s="344">
        <f>IF(AO184=0,"",IFERROR(AVERAGEIFS(Data!$BF$4:$BF$375,Data!$A$4:$A$375,"&gt;"&amp;($A184-7),Data!$A$4:$A$375,"&lt;="&amp;$A184),""))</f>
        <v/>
      </c>
      <c r="BH184" s="344">
        <f>IF(AO184=0,"",IFERROR(AVERAGEIFS(Data!$BF$4:$BF$375,Data!$A$4:$A$375,"&gt;"&amp;($A184-30),Data!$A$4:$A$375,"&lt;="&amp;$A184),""))</f>
        <v/>
      </c>
      <c r="BI184" s="359">
        <f>IF($A184="","",IFERROR(AVERAGEIFS(Data!$AF$4:$AF$375,Data!$A$4:$A$375,"&gt;"&amp;($A184-7),Data!$A$4:$A$375,"&lt;="&amp;$A184,Data!$AF$4:$AF$375,"&gt;0"),""))</f>
        <v/>
      </c>
      <c r="BJ184" s="345">
        <f>IF($A184="","",F184+G184+H184+I184+J184+K184+L184+M184+N184-IF(AS184=1,0,J184))</f>
        <v/>
      </c>
      <c r="BK184" s="345">
        <f>IF($A184="","",8+AS184)</f>
        <v/>
      </c>
      <c r="BL184" s="345">
        <f>IF(ISNUMBER(BF184),BF184,NA())</f>
        <v/>
      </c>
      <c r="BM184" s="345">
        <f>IF(ISNUMBER(AF184),AF184,NA())</f>
        <v/>
      </c>
      <c r="BN184" s="345">
        <f>IF(ISNUMBER(BI184),BI184,NA())</f>
        <v/>
      </c>
      <c r="BO184" s="345">
        <f>IF(ISNUMBER(AL184),AL184,NA())</f>
        <v/>
      </c>
      <c r="BP184" s="345">
        <f>IF(ISNUMBER(AM184),AM184,NA())</f>
        <v/>
      </c>
      <c r="BQ184" s="345">
        <f>IF(ISNUMBER(AN184),AN184,NA())</f>
        <v/>
      </c>
    </row>
    <row r="185">
      <c r="A185" s="358">
        <f>IF('Mar 2027'!AE7="","",'Mar 2027'!AE7)</f>
        <v/>
      </c>
      <c r="B185" s="345" t="n">
        <v>6</v>
      </c>
      <c r="C185" s="345">
        <f>IF($A185="","",27)</f>
        <v/>
      </c>
      <c r="D185" s="345">
        <f>IF($A185="","",WEEKDAY($A185,2))</f>
        <v/>
      </c>
      <c r="E185" s="345">
        <f>IF($A185="","",UPPER(TRIM('Mar 2027'!AE8)))</f>
        <v/>
      </c>
      <c r="F185" s="345">
        <f>IF($A185="","",IF(OR('Mar 2027'!AE10=TRUE,'Mar 2027'!AE10="x",'Mar 2027'!AE10="X"),1,0))</f>
        <v/>
      </c>
      <c r="G185" s="345">
        <f>IF($A185="","",IF(OR('Mar 2027'!AE11=TRUE,'Mar 2027'!AE11="x",'Mar 2027'!AE11="X"),1,0))</f>
        <v/>
      </c>
      <c r="H185" s="345">
        <f>IF($A185="","",IF(OR('Mar 2027'!AE12=TRUE,'Mar 2027'!AE12="x",'Mar 2027'!AE12="X"),1,0))</f>
        <v/>
      </c>
      <c r="I185" s="345">
        <f>IF($A185="","",IF(OR('Mar 2027'!AE13=TRUE,'Mar 2027'!AE13="x",'Mar 2027'!AE13="X"),1,0))</f>
        <v/>
      </c>
      <c r="J185" s="345">
        <f>IF($A185="","",IF(OR('Mar 2027'!AE14=TRUE,'Mar 2027'!AE14="x",'Mar 2027'!AE14="X"),1,0))</f>
        <v/>
      </c>
      <c r="K185" s="345">
        <f>IF($A185="","",IF(OR('Mar 2027'!AE15=TRUE,'Mar 2027'!AE15="x",'Mar 2027'!AE15="X"),1,0))</f>
        <v/>
      </c>
      <c r="L185" s="345">
        <f>IF($A185="","",IF(OR('Mar 2027'!AE16=TRUE,'Mar 2027'!AE16="x",'Mar 2027'!AE16="X"),1,0))</f>
        <v/>
      </c>
      <c r="M185" s="345">
        <f>IF($A185="","",IF(OR('Mar 2027'!AE17=TRUE,'Mar 2027'!AE17="x",'Mar 2027'!AE17="X"),1,0))</f>
        <v/>
      </c>
      <c r="N185" s="345">
        <f>IF($A185="","",IF(OR('Mar 2027'!AE18=TRUE,'Mar 2027'!AE18="x",'Mar 2027'!AE18="X"),1,0))</f>
        <v/>
      </c>
      <c r="O185" s="345">
        <f>IF($A185="","",IF(OR('Mar 2027'!AE20=TRUE,'Mar 2027'!AE20="x",'Mar 2027'!AE20="X"),1,0))</f>
        <v/>
      </c>
      <c r="P185" s="345">
        <f>IF($A185="","",IF(OR('Mar 2027'!AE21=TRUE,'Mar 2027'!AE21="x",'Mar 2027'!AE21="X"),1,0))</f>
        <v/>
      </c>
      <c r="Q185" s="345">
        <f>IF($A185="","",IF(OR('Mar 2027'!AE22=TRUE,'Mar 2027'!AE22="x",'Mar 2027'!AE22="X"),1,0))</f>
        <v/>
      </c>
      <c r="R185" s="345">
        <f>IF($A185="","",IF(OR('Mar 2027'!AE23=TRUE,'Mar 2027'!AE23="x",'Mar 2027'!AE23="X"),1,0))</f>
        <v/>
      </c>
      <c r="S185" s="345">
        <f>IF($A185="","",IF(OR('Mar 2027'!AE24=TRUE,'Mar 2027'!AE24="x",'Mar 2027'!AE24="X"),1,0))</f>
        <v/>
      </c>
      <c r="T185" s="345">
        <f>IF($A185="","",IF(OR('Mar 2027'!AE25=TRUE,'Mar 2027'!AE25="x",'Mar 2027'!AE25="X"),1,0))</f>
        <v/>
      </c>
      <c r="U185" s="345">
        <f>IF($A185="","",IF(OR('Mar 2027'!AE26=TRUE,'Mar 2027'!AE26="x",'Mar 2027'!AE26="X"),1,0))</f>
        <v/>
      </c>
      <c r="V185" s="345">
        <f>IF($A185="","",IF(OR('Mar 2027'!AE27=TRUE,'Mar 2027'!AE27="x",'Mar 2027'!AE27="X"),1,0))</f>
        <v/>
      </c>
      <c r="W185" s="345">
        <f>IF($A185="","",IF(OR('Mar 2027'!AE28=TRUE,'Mar 2027'!AE28="x",'Mar 2027'!AE28="X"),1,0))</f>
        <v/>
      </c>
      <c r="X185" s="345">
        <f>IF($A185="","",IF(OR('Mar 2027'!AE29=TRUE,'Mar 2027'!AE29="x",'Mar 2027'!AE29="X"),1,0))</f>
        <v/>
      </c>
      <c r="Y185" s="345">
        <f>IF($A185="","",IF(OR('Mar 2027'!AE30=TRUE,'Mar 2027'!AE30="x",'Mar 2027'!AE30="X"),1,0))</f>
        <v/>
      </c>
      <c r="Z185" s="345">
        <f>IF($A185="","",IF(OR('Mar 2027'!AE31=TRUE,'Mar 2027'!AE31="x",'Mar 2027'!AE31="X"),1,0))</f>
        <v/>
      </c>
      <c r="AA185" s="345">
        <f>IF($A185="","",IF(OR('Mar 2027'!AE32=TRUE,'Mar 2027'!AE32="x",'Mar 2027'!AE32="X"),1,0))</f>
        <v/>
      </c>
      <c r="AB185" s="345">
        <f>IF($A185="","",IF(OR('Mar 2027'!AE34=TRUE,'Mar 2027'!AE34="x",'Mar 2027'!AE34="X"),1,0))</f>
        <v/>
      </c>
      <c r="AC185" s="345">
        <f>IF($A185="","",IF(OR('Mar 2027'!AE35=TRUE,'Mar 2027'!AE35="x",'Mar 2027'!AE35="X"),1,0))</f>
        <v/>
      </c>
      <c r="AD185" s="345">
        <f>IF($A185="","",IF(OR('Mar 2027'!AE36=TRUE,'Mar 2027'!AE36="x",'Mar 2027'!AE36="X"),1,0))</f>
        <v/>
      </c>
      <c r="AE185" s="345">
        <f>IF($A185="","",IF(OR('Mar 2027'!AE37=TRUE,'Mar 2027'!AE37="x",'Mar 2027'!AE37="X"),1,0))</f>
        <v/>
      </c>
      <c r="AF185" s="345">
        <f>IF($A185="","",IF('Mar 2027'!AE59="","",'Mar 2027'!AE59))</f>
        <v/>
      </c>
      <c r="AG185" s="345">
        <f>IF($A185="","",IF('Mar 2027'!AE60="","",'Mar 2027'!AE60))</f>
        <v/>
      </c>
      <c r="AH185" s="345">
        <f>IF($A185="","",IF('Mar 2027'!AE61="","",'Mar 2027'!AE61))</f>
        <v/>
      </c>
      <c r="AI185" s="345">
        <f>IF($A185="","",IF('Mar 2027'!AE62="","",'Mar 2027'!AE62))</f>
        <v/>
      </c>
      <c r="AJ185" s="345">
        <f>IF($A185="","",IF('Mar 2027'!AE63="","",'Mar 2027'!AE63))</f>
        <v/>
      </c>
      <c r="AK185" s="345">
        <f>IF($A185="","",IF('Mar 2027'!AE64="","",'Mar 2027'!AE64))</f>
        <v/>
      </c>
      <c r="AL185" s="345">
        <f>IF($A185="","",IF('Mar 2027'!AE65="","",'Mar 2027'!AE65))</f>
        <v/>
      </c>
      <c r="AM185" s="345">
        <f>IF($A185="","",IF('Mar 2027'!AE66="","",'Mar 2027'!AE66))</f>
        <v/>
      </c>
      <c r="AN185" s="345">
        <f>IF($A185="","",IF('Mar 2027'!AE67="","",'Mar 2027'!AE67))</f>
        <v/>
      </c>
      <c r="AO185" s="345">
        <f>IF($A185="",0,IF(AND($A185&gt;=TrackStart,$A185&lt;=TODAY()),1,0))</f>
        <v/>
      </c>
      <c r="AP185" s="345">
        <f>IF($A185="",0,IF(SUM(F185:AE185)+COUNT(AF185:AN185)&gt;0,1,0))</f>
        <v/>
      </c>
      <c r="AQ185" s="345">
        <f>IF($A185="","",INT(($A185-TrackStart)/7)+1)</f>
        <v/>
      </c>
      <c r="AR185" s="345">
        <f>IF($A185="","",IF(AQ185&lt;=1,Steps1,IF(AQ185=2,Steps2,Steps3)))</f>
        <v/>
      </c>
      <c r="AS185" s="345">
        <f>IF($A185="",0,IF(ISNUMBER(SEARCH(TEXT(D185,"0"),WorkDays&amp;"")),1,0))</f>
        <v/>
      </c>
      <c r="AT185" s="345">
        <f>IF($A185="",0,IF(ISNUMBER(SEARCH(TEXT(D185,"0"),StrDays&amp;"")),1,0))</f>
        <v/>
      </c>
      <c r="AU185" s="345">
        <f>IF($A185="",0,IF(ISNUMBER(AK185),IF(AK185&gt;=SleepMin,1,0),N185))</f>
        <v/>
      </c>
      <c r="AV185" s="345">
        <f>IF($A185="",0,MAX(I185,O185,S185,AC185))</f>
        <v/>
      </c>
      <c r="AW185" s="345">
        <f>IF($A185="",0,IF(ISNUMBER(AH185),IF(AH185&gt;=ProtHit,1,0),0))</f>
        <v/>
      </c>
      <c r="AX185" s="345">
        <f>IF($A185="",0,IF(ISNUMBER(AI185),IF(AI185&gt;=WaterHit,1,0),0))</f>
        <v/>
      </c>
      <c r="AY185" s="345">
        <f>IF($A185="",0,IF(ISNUMBER(AG185),IF(AG185&gt;=AR185,1,0),0))</f>
        <v/>
      </c>
      <c r="AZ185" s="345">
        <f>IF($A185="",0,G185)</f>
        <v/>
      </c>
      <c r="BA185" s="345">
        <f>IF($A185="",0,J185)</f>
        <v/>
      </c>
      <c r="BB185" s="345">
        <f>IF($A185="",0,K185)</f>
        <v/>
      </c>
      <c r="BC185" s="345">
        <f>IF($A185="",0,MAX(L185,AE185))</f>
        <v/>
      </c>
      <c r="BD185" s="344">
        <f>IF($A185="","",(AU185+AV185+AW185+AX185+AY185+AZ185+BB185+BC185+IF(AS185=1,BA185,0))/(8+AS185))</f>
        <v/>
      </c>
      <c r="BE185" s="344">
        <f>IF($A185="","",(IF(ISNUMBER(AI185),IF(AI185&gt;=WaterMVD,1,0),0)+AV185+IF(ISNUMBER(AH185),IF(AH185&gt;=ProtMVD,1,0),0)+MAX(H185,AD185)+AZ185+BB185+AU185)/7)</f>
        <v/>
      </c>
      <c r="BF185" s="344">
        <f>IF(AO185=0,"",IF(E185="S","",IF(AND(AP185=0,$A185=TODAY()),"",IF(E185="M",BE185,BD185))))</f>
        <v/>
      </c>
      <c r="BG185" s="344">
        <f>IF(AO185=0,"",IFERROR(AVERAGEIFS(Data!$BF$4:$BF$375,Data!$A$4:$A$375,"&gt;"&amp;($A185-7),Data!$A$4:$A$375,"&lt;="&amp;$A185),""))</f>
        <v/>
      </c>
      <c r="BH185" s="344">
        <f>IF(AO185=0,"",IFERROR(AVERAGEIFS(Data!$BF$4:$BF$375,Data!$A$4:$A$375,"&gt;"&amp;($A185-30),Data!$A$4:$A$375,"&lt;="&amp;$A185),""))</f>
        <v/>
      </c>
      <c r="BI185" s="359">
        <f>IF($A185="","",IFERROR(AVERAGEIFS(Data!$AF$4:$AF$375,Data!$A$4:$A$375,"&gt;"&amp;($A185-7),Data!$A$4:$A$375,"&lt;="&amp;$A185,Data!$AF$4:$AF$375,"&gt;0"),""))</f>
        <v/>
      </c>
      <c r="BJ185" s="345">
        <f>IF($A185="","",F185+G185+H185+I185+J185+K185+L185+M185+N185-IF(AS185=1,0,J185))</f>
        <v/>
      </c>
      <c r="BK185" s="345">
        <f>IF($A185="","",8+AS185)</f>
        <v/>
      </c>
      <c r="BL185" s="345">
        <f>IF(ISNUMBER(BF185),BF185,NA())</f>
        <v/>
      </c>
      <c r="BM185" s="345">
        <f>IF(ISNUMBER(AF185),AF185,NA())</f>
        <v/>
      </c>
      <c r="BN185" s="345">
        <f>IF(ISNUMBER(BI185),BI185,NA())</f>
        <v/>
      </c>
      <c r="BO185" s="345">
        <f>IF(ISNUMBER(AL185),AL185,NA())</f>
        <v/>
      </c>
      <c r="BP185" s="345">
        <f>IF(ISNUMBER(AM185),AM185,NA())</f>
        <v/>
      </c>
      <c r="BQ185" s="345">
        <f>IF(ISNUMBER(AN185),AN185,NA())</f>
        <v/>
      </c>
    </row>
    <row r="186">
      <c r="A186" s="358">
        <f>IF('Mar 2027'!AF7="","",'Mar 2027'!AF7)</f>
        <v/>
      </c>
      <c r="B186" s="345" t="n">
        <v>6</v>
      </c>
      <c r="C186" s="345">
        <f>IF($A186="","",28)</f>
        <v/>
      </c>
      <c r="D186" s="345">
        <f>IF($A186="","",WEEKDAY($A186,2))</f>
        <v/>
      </c>
      <c r="E186" s="345">
        <f>IF($A186="","",UPPER(TRIM('Mar 2027'!AF8)))</f>
        <v/>
      </c>
      <c r="F186" s="345">
        <f>IF($A186="","",IF(OR('Mar 2027'!AF10=TRUE,'Mar 2027'!AF10="x",'Mar 2027'!AF10="X"),1,0))</f>
        <v/>
      </c>
      <c r="G186" s="345">
        <f>IF($A186="","",IF(OR('Mar 2027'!AF11=TRUE,'Mar 2027'!AF11="x",'Mar 2027'!AF11="X"),1,0))</f>
        <v/>
      </c>
      <c r="H186" s="345">
        <f>IF($A186="","",IF(OR('Mar 2027'!AF12=TRUE,'Mar 2027'!AF12="x",'Mar 2027'!AF12="X"),1,0))</f>
        <v/>
      </c>
      <c r="I186" s="345">
        <f>IF($A186="","",IF(OR('Mar 2027'!AF13=TRUE,'Mar 2027'!AF13="x",'Mar 2027'!AF13="X"),1,0))</f>
        <v/>
      </c>
      <c r="J186" s="345">
        <f>IF($A186="","",IF(OR('Mar 2027'!AF14=TRUE,'Mar 2027'!AF14="x",'Mar 2027'!AF14="X"),1,0))</f>
        <v/>
      </c>
      <c r="K186" s="345">
        <f>IF($A186="","",IF(OR('Mar 2027'!AF15=TRUE,'Mar 2027'!AF15="x",'Mar 2027'!AF15="X"),1,0))</f>
        <v/>
      </c>
      <c r="L186" s="345">
        <f>IF($A186="","",IF(OR('Mar 2027'!AF16=TRUE,'Mar 2027'!AF16="x",'Mar 2027'!AF16="X"),1,0))</f>
        <v/>
      </c>
      <c r="M186" s="345">
        <f>IF($A186="","",IF(OR('Mar 2027'!AF17=TRUE,'Mar 2027'!AF17="x",'Mar 2027'!AF17="X"),1,0))</f>
        <v/>
      </c>
      <c r="N186" s="345">
        <f>IF($A186="","",IF(OR('Mar 2027'!AF18=TRUE,'Mar 2027'!AF18="x",'Mar 2027'!AF18="X"),1,0))</f>
        <v/>
      </c>
      <c r="O186" s="345">
        <f>IF($A186="","",IF(OR('Mar 2027'!AF20=TRUE,'Mar 2027'!AF20="x",'Mar 2027'!AF20="X"),1,0))</f>
        <v/>
      </c>
      <c r="P186" s="345">
        <f>IF($A186="","",IF(OR('Mar 2027'!AF21=TRUE,'Mar 2027'!AF21="x",'Mar 2027'!AF21="X"),1,0))</f>
        <v/>
      </c>
      <c r="Q186" s="345">
        <f>IF($A186="","",IF(OR('Mar 2027'!AF22=TRUE,'Mar 2027'!AF22="x",'Mar 2027'!AF22="X"),1,0))</f>
        <v/>
      </c>
      <c r="R186" s="345">
        <f>IF($A186="","",IF(OR('Mar 2027'!AF23=TRUE,'Mar 2027'!AF23="x",'Mar 2027'!AF23="X"),1,0))</f>
        <v/>
      </c>
      <c r="S186" s="345">
        <f>IF($A186="","",IF(OR('Mar 2027'!AF24=TRUE,'Mar 2027'!AF24="x",'Mar 2027'!AF24="X"),1,0))</f>
        <v/>
      </c>
      <c r="T186" s="345">
        <f>IF($A186="","",IF(OR('Mar 2027'!AF25=TRUE,'Mar 2027'!AF25="x",'Mar 2027'!AF25="X"),1,0))</f>
        <v/>
      </c>
      <c r="U186" s="345">
        <f>IF($A186="","",IF(OR('Mar 2027'!AF26=TRUE,'Mar 2027'!AF26="x",'Mar 2027'!AF26="X"),1,0))</f>
        <v/>
      </c>
      <c r="V186" s="345">
        <f>IF($A186="","",IF(OR('Mar 2027'!AF27=TRUE,'Mar 2027'!AF27="x",'Mar 2027'!AF27="X"),1,0))</f>
        <v/>
      </c>
      <c r="W186" s="345">
        <f>IF($A186="","",IF(OR('Mar 2027'!AF28=TRUE,'Mar 2027'!AF28="x",'Mar 2027'!AF28="X"),1,0))</f>
        <v/>
      </c>
      <c r="X186" s="345">
        <f>IF($A186="","",IF(OR('Mar 2027'!AF29=TRUE,'Mar 2027'!AF29="x",'Mar 2027'!AF29="X"),1,0))</f>
        <v/>
      </c>
      <c r="Y186" s="345">
        <f>IF($A186="","",IF(OR('Mar 2027'!AF30=TRUE,'Mar 2027'!AF30="x",'Mar 2027'!AF30="X"),1,0))</f>
        <v/>
      </c>
      <c r="Z186" s="345">
        <f>IF($A186="","",IF(OR('Mar 2027'!AF31=TRUE,'Mar 2027'!AF31="x",'Mar 2027'!AF31="X"),1,0))</f>
        <v/>
      </c>
      <c r="AA186" s="345">
        <f>IF($A186="","",IF(OR('Mar 2027'!AF32=TRUE,'Mar 2027'!AF32="x",'Mar 2027'!AF32="X"),1,0))</f>
        <v/>
      </c>
      <c r="AB186" s="345">
        <f>IF($A186="","",IF(OR('Mar 2027'!AF34=TRUE,'Mar 2027'!AF34="x",'Mar 2027'!AF34="X"),1,0))</f>
        <v/>
      </c>
      <c r="AC186" s="345">
        <f>IF($A186="","",IF(OR('Mar 2027'!AF35=TRUE,'Mar 2027'!AF35="x",'Mar 2027'!AF35="X"),1,0))</f>
        <v/>
      </c>
      <c r="AD186" s="345">
        <f>IF($A186="","",IF(OR('Mar 2027'!AF36=TRUE,'Mar 2027'!AF36="x",'Mar 2027'!AF36="X"),1,0))</f>
        <v/>
      </c>
      <c r="AE186" s="345">
        <f>IF($A186="","",IF(OR('Mar 2027'!AF37=TRUE,'Mar 2027'!AF37="x",'Mar 2027'!AF37="X"),1,0))</f>
        <v/>
      </c>
      <c r="AF186" s="345">
        <f>IF($A186="","",IF('Mar 2027'!AF59="","",'Mar 2027'!AF59))</f>
        <v/>
      </c>
      <c r="AG186" s="345">
        <f>IF($A186="","",IF('Mar 2027'!AF60="","",'Mar 2027'!AF60))</f>
        <v/>
      </c>
      <c r="AH186" s="345">
        <f>IF($A186="","",IF('Mar 2027'!AF61="","",'Mar 2027'!AF61))</f>
        <v/>
      </c>
      <c r="AI186" s="345">
        <f>IF($A186="","",IF('Mar 2027'!AF62="","",'Mar 2027'!AF62))</f>
        <v/>
      </c>
      <c r="AJ186" s="345">
        <f>IF($A186="","",IF('Mar 2027'!AF63="","",'Mar 2027'!AF63))</f>
        <v/>
      </c>
      <c r="AK186" s="345">
        <f>IF($A186="","",IF('Mar 2027'!AF64="","",'Mar 2027'!AF64))</f>
        <v/>
      </c>
      <c r="AL186" s="345">
        <f>IF($A186="","",IF('Mar 2027'!AF65="","",'Mar 2027'!AF65))</f>
        <v/>
      </c>
      <c r="AM186" s="345">
        <f>IF($A186="","",IF('Mar 2027'!AF66="","",'Mar 2027'!AF66))</f>
        <v/>
      </c>
      <c r="AN186" s="345">
        <f>IF($A186="","",IF('Mar 2027'!AF67="","",'Mar 2027'!AF67))</f>
        <v/>
      </c>
      <c r="AO186" s="345">
        <f>IF($A186="",0,IF(AND($A186&gt;=TrackStart,$A186&lt;=TODAY()),1,0))</f>
        <v/>
      </c>
      <c r="AP186" s="345">
        <f>IF($A186="",0,IF(SUM(F186:AE186)+COUNT(AF186:AN186)&gt;0,1,0))</f>
        <v/>
      </c>
      <c r="AQ186" s="345">
        <f>IF($A186="","",INT(($A186-TrackStart)/7)+1)</f>
        <v/>
      </c>
      <c r="AR186" s="345">
        <f>IF($A186="","",IF(AQ186&lt;=1,Steps1,IF(AQ186=2,Steps2,Steps3)))</f>
        <v/>
      </c>
      <c r="AS186" s="345">
        <f>IF($A186="",0,IF(ISNUMBER(SEARCH(TEXT(D186,"0"),WorkDays&amp;"")),1,0))</f>
        <v/>
      </c>
      <c r="AT186" s="345">
        <f>IF($A186="",0,IF(ISNUMBER(SEARCH(TEXT(D186,"0"),StrDays&amp;"")),1,0))</f>
        <v/>
      </c>
      <c r="AU186" s="345">
        <f>IF($A186="",0,IF(ISNUMBER(AK186),IF(AK186&gt;=SleepMin,1,0),N186))</f>
        <v/>
      </c>
      <c r="AV186" s="345">
        <f>IF($A186="",0,MAX(I186,O186,S186,AC186))</f>
        <v/>
      </c>
      <c r="AW186" s="345">
        <f>IF($A186="",0,IF(ISNUMBER(AH186),IF(AH186&gt;=ProtHit,1,0),0))</f>
        <v/>
      </c>
      <c r="AX186" s="345">
        <f>IF($A186="",0,IF(ISNUMBER(AI186),IF(AI186&gt;=WaterHit,1,0),0))</f>
        <v/>
      </c>
      <c r="AY186" s="345">
        <f>IF($A186="",0,IF(ISNUMBER(AG186),IF(AG186&gt;=AR186,1,0),0))</f>
        <v/>
      </c>
      <c r="AZ186" s="345">
        <f>IF($A186="",0,G186)</f>
        <v/>
      </c>
      <c r="BA186" s="345">
        <f>IF($A186="",0,J186)</f>
        <v/>
      </c>
      <c r="BB186" s="345">
        <f>IF($A186="",0,K186)</f>
        <v/>
      </c>
      <c r="BC186" s="345">
        <f>IF($A186="",0,MAX(L186,AE186))</f>
        <v/>
      </c>
      <c r="BD186" s="344">
        <f>IF($A186="","",(AU186+AV186+AW186+AX186+AY186+AZ186+BB186+BC186+IF(AS186=1,BA186,0))/(8+AS186))</f>
        <v/>
      </c>
      <c r="BE186" s="344">
        <f>IF($A186="","",(IF(ISNUMBER(AI186),IF(AI186&gt;=WaterMVD,1,0),0)+AV186+IF(ISNUMBER(AH186),IF(AH186&gt;=ProtMVD,1,0),0)+MAX(H186,AD186)+AZ186+BB186+AU186)/7)</f>
        <v/>
      </c>
      <c r="BF186" s="344">
        <f>IF(AO186=0,"",IF(E186="S","",IF(AND(AP186=0,$A186=TODAY()),"",IF(E186="M",BE186,BD186))))</f>
        <v/>
      </c>
      <c r="BG186" s="344">
        <f>IF(AO186=0,"",IFERROR(AVERAGEIFS(Data!$BF$4:$BF$375,Data!$A$4:$A$375,"&gt;"&amp;($A186-7),Data!$A$4:$A$375,"&lt;="&amp;$A186),""))</f>
        <v/>
      </c>
      <c r="BH186" s="344">
        <f>IF(AO186=0,"",IFERROR(AVERAGEIFS(Data!$BF$4:$BF$375,Data!$A$4:$A$375,"&gt;"&amp;($A186-30),Data!$A$4:$A$375,"&lt;="&amp;$A186),""))</f>
        <v/>
      </c>
      <c r="BI186" s="359">
        <f>IF($A186="","",IFERROR(AVERAGEIFS(Data!$AF$4:$AF$375,Data!$A$4:$A$375,"&gt;"&amp;($A186-7),Data!$A$4:$A$375,"&lt;="&amp;$A186,Data!$AF$4:$AF$375,"&gt;0"),""))</f>
        <v/>
      </c>
      <c r="BJ186" s="345">
        <f>IF($A186="","",F186+G186+H186+I186+J186+K186+L186+M186+N186-IF(AS186=1,0,J186))</f>
        <v/>
      </c>
      <c r="BK186" s="345">
        <f>IF($A186="","",8+AS186)</f>
        <v/>
      </c>
      <c r="BL186" s="345">
        <f>IF(ISNUMBER(BF186),BF186,NA())</f>
        <v/>
      </c>
      <c r="BM186" s="345">
        <f>IF(ISNUMBER(AF186),AF186,NA())</f>
        <v/>
      </c>
      <c r="BN186" s="345">
        <f>IF(ISNUMBER(BI186),BI186,NA())</f>
        <v/>
      </c>
      <c r="BO186" s="345">
        <f>IF(ISNUMBER(AL186),AL186,NA())</f>
        <v/>
      </c>
      <c r="BP186" s="345">
        <f>IF(ISNUMBER(AM186),AM186,NA())</f>
        <v/>
      </c>
      <c r="BQ186" s="345">
        <f>IF(ISNUMBER(AN186),AN186,NA())</f>
        <v/>
      </c>
    </row>
    <row r="187">
      <c r="A187" s="358">
        <f>IF('Mar 2027'!AG7="","",'Mar 2027'!AG7)</f>
        <v/>
      </c>
      <c r="B187" s="345" t="n">
        <v>6</v>
      </c>
      <c r="C187" s="345">
        <f>IF($A187="","",29)</f>
        <v/>
      </c>
      <c r="D187" s="345">
        <f>IF($A187="","",WEEKDAY($A187,2))</f>
        <v/>
      </c>
      <c r="E187" s="345">
        <f>IF($A187="","",UPPER(TRIM('Mar 2027'!AG8)))</f>
        <v/>
      </c>
      <c r="F187" s="345">
        <f>IF($A187="","",IF(OR('Mar 2027'!AG10=TRUE,'Mar 2027'!AG10="x",'Mar 2027'!AG10="X"),1,0))</f>
        <v/>
      </c>
      <c r="G187" s="345">
        <f>IF($A187="","",IF(OR('Mar 2027'!AG11=TRUE,'Mar 2027'!AG11="x",'Mar 2027'!AG11="X"),1,0))</f>
        <v/>
      </c>
      <c r="H187" s="345">
        <f>IF($A187="","",IF(OR('Mar 2027'!AG12=TRUE,'Mar 2027'!AG12="x",'Mar 2027'!AG12="X"),1,0))</f>
        <v/>
      </c>
      <c r="I187" s="345">
        <f>IF($A187="","",IF(OR('Mar 2027'!AG13=TRUE,'Mar 2027'!AG13="x",'Mar 2027'!AG13="X"),1,0))</f>
        <v/>
      </c>
      <c r="J187" s="345">
        <f>IF($A187="","",IF(OR('Mar 2027'!AG14=TRUE,'Mar 2027'!AG14="x",'Mar 2027'!AG14="X"),1,0))</f>
        <v/>
      </c>
      <c r="K187" s="345">
        <f>IF($A187="","",IF(OR('Mar 2027'!AG15=TRUE,'Mar 2027'!AG15="x",'Mar 2027'!AG15="X"),1,0))</f>
        <v/>
      </c>
      <c r="L187" s="345">
        <f>IF($A187="","",IF(OR('Mar 2027'!AG16=TRUE,'Mar 2027'!AG16="x",'Mar 2027'!AG16="X"),1,0))</f>
        <v/>
      </c>
      <c r="M187" s="345">
        <f>IF($A187="","",IF(OR('Mar 2027'!AG17=TRUE,'Mar 2027'!AG17="x",'Mar 2027'!AG17="X"),1,0))</f>
        <v/>
      </c>
      <c r="N187" s="345">
        <f>IF($A187="","",IF(OR('Mar 2027'!AG18=TRUE,'Mar 2027'!AG18="x",'Mar 2027'!AG18="X"),1,0))</f>
        <v/>
      </c>
      <c r="O187" s="345">
        <f>IF($A187="","",IF(OR('Mar 2027'!AG20=TRUE,'Mar 2027'!AG20="x",'Mar 2027'!AG20="X"),1,0))</f>
        <v/>
      </c>
      <c r="P187" s="345">
        <f>IF($A187="","",IF(OR('Mar 2027'!AG21=TRUE,'Mar 2027'!AG21="x",'Mar 2027'!AG21="X"),1,0))</f>
        <v/>
      </c>
      <c r="Q187" s="345">
        <f>IF($A187="","",IF(OR('Mar 2027'!AG22=TRUE,'Mar 2027'!AG22="x",'Mar 2027'!AG22="X"),1,0))</f>
        <v/>
      </c>
      <c r="R187" s="345">
        <f>IF($A187="","",IF(OR('Mar 2027'!AG23=TRUE,'Mar 2027'!AG23="x",'Mar 2027'!AG23="X"),1,0))</f>
        <v/>
      </c>
      <c r="S187" s="345">
        <f>IF($A187="","",IF(OR('Mar 2027'!AG24=TRUE,'Mar 2027'!AG24="x",'Mar 2027'!AG24="X"),1,0))</f>
        <v/>
      </c>
      <c r="T187" s="345">
        <f>IF($A187="","",IF(OR('Mar 2027'!AG25=TRUE,'Mar 2027'!AG25="x",'Mar 2027'!AG25="X"),1,0))</f>
        <v/>
      </c>
      <c r="U187" s="345">
        <f>IF($A187="","",IF(OR('Mar 2027'!AG26=TRUE,'Mar 2027'!AG26="x",'Mar 2027'!AG26="X"),1,0))</f>
        <v/>
      </c>
      <c r="V187" s="345">
        <f>IF($A187="","",IF(OR('Mar 2027'!AG27=TRUE,'Mar 2027'!AG27="x",'Mar 2027'!AG27="X"),1,0))</f>
        <v/>
      </c>
      <c r="W187" s="345">
        <f>IF($A187="","",IF(OR('Mar 2027'!AG28=TRUE,'Mar 2027'!AG28="x",'Mar 2027'!AG28="X"),1,0))</f>
        <v/>
      </c>
      <c r="X187" s="345">
        <f>IF($A187="","",IF(OR('Mar 2027'!AG29=TRUE,'Mar 2027'!AG29="x",'Mar 2027'!AG29="X"),1,0))</f>
        <v/>
      </c>
      <c r="Y187" s="345">
        <f>IF($A187="","",IF(OR('Mar 2027'!AG30=TRUE,'Mar 2027'!AG30="x",'Mar 2027'!AG30="X"),1,0))</f>
        <v/>
      </c>
      <c r="Z187" s="345">
        <f>IF($A187="","",IF(OR('Mar 2027'!AG31=TRUE,'Mar 2027'!AG31="x",'Mar 2027'!AG31="X"),1,0))</f>
        <v/>
      </c>
      <c r="AA187" s="345">
        <f>IF($A187="","",IF(OR('Mar 2027'!AG32=TRUE,'Mar 2027'!AG32="x",'Mar 2027'!AG32="X"),1,0))</f>
        <v/>
      </c>
      <c r="AB187" s="345">
        <f>IF($A187="","",IF(OR('Mar 2027'!AG34=TRUE,'Mar 2027'!AG34="x",'Mar 2027'!AG34="X"),1,0))</f>
        <v/>
      </c>
      <c r="AC187" s="345">
        <f>IF($A187="","",IF(OR('Mar 2027'!AG35=TRUE,'Mar 2027'!AG35="x",'Mar 2027'!AG35="X"),1,0))</f>
        <v/>
      </c>
      <c r="AD187" s="345">
        <f>IF($A187="","",IF(OR('Mar 2027'!AG36=TRUE,'Mar 2027'!AG36="x",'Mar 2027'!AG36="X"),1,0))</f>
        <v/>
      </c>
      <c r="AE187" s="345">
        <f>IF($A187="","",IF(OR('Mar 2027'!AG37=TRUE,'Mar 2027'!AG37="x",'Mar 2027'!AG37="X"),1,0))</f>
        <v/>
      </c>
      <c r="AF187" s="345">
        <f>IF($A187="","",IF('Mar 2027'!AG59="","",'Mar 2027'!AG59))</f>
        <v/>
      </c>
      <c r="AG187" s="345">
        <f>IF($A187="","",IF('Mar 2027'!AG60="","",'Mar 2027'!AG60))</f>
        <v/>
      </c>
      <c r="AH187" s="345">
        <f>IF($A187="","",IF('Mar 2027'!AG61="","",'Mar 2027'!AG61))</f>
        <v/>
      </c>
      <c r="AI187" s="345">
        <f>IF($A187="","",IF('Mar 2027'!AG62="","",'Mar 2027'!AG62))</f>
        <v/>
      </c>
      <c r="AJ187" s="345">
        <f>IF($A187="","",IF('Mar 2027'!AG63="","",'Mar 2027'!AG63))</f>
        <v/>
      </c>
      <c r="AK187" s="345">
        <f>IF($A187="","",IF('Mar 2027'!AG64="","",'Mar 2027'!AG64))</f>
        <v/>
      </c>
      <c r="AL187" s="345">
        <f>IF($A187="","",IF('Mar 2027'!AG65="","",'Mar 2027'!AG65))</f>
        <v/>
      </c>
      <c r="AM187" s="345">
        <f>IF($A187="","",IF('Mar 2027'!AG66="","",'Mar 2027'!AG66))</f>
        <v/>
      </c>
      <c r="AN187" s="345">
        <f>IF($A187="","",IF('Mar 2027'!AG67="","",'Mar 2027'!AG67))</f>
        <v/>
      </c>
      <c r="AO187" s="345">
        <f>IF($A187="",0,IF(AND($A187&gt;=TrackStart,$A187&lt;=TODAY()),1,0))</f>
        <v/>
      </c>
      <c r="AP187" s="345">
        <f>IF($A187="",0,IF(SUM(F187:AE187)+COUNT(AF187:AN187)&gt;0,1,0))</f>
        <v/>
      </c>
      <c r="AQ187" s="345">
        <f>IF($A187="","",INT(($A187-TrackStart)/7)+1)</f>
        <v/>
      </c>
      <c r="AR187" s="345">
        <f>IF($A187="","",IF(AQ187&lt;=1,Steps1,IF(AQ187=2,Steps2,Steps3)))</f>
        <v/>
      </c>
      <c r="AS187" s="345">
        <f>IF($A187="",0,IF(ISNUMBER(SEARCH(TEXT(D187,"0"),WorkDays&amp;"")),1,0))</f>
        <v/>
      </c>
      <c r="AT187" s="345">
        <f>IF($A187="",0,IF(ISNUMBER(SEARCH(TEXT(D187,"0"),StrDays&amp;"")),1,0))</f>
        <v/>
      </c>
      <c r="AU187" s="345">
        <f>IF($A187="",0,IF(ISNUMBER(AK187),IF(AK187&gt;=SleepMin,1,0),N187))</f>
        <v/>
      </c>
      <c r="AV187" s="345">
        <f>IF($A187="",0,MAX(I187,O187,S187,AC187))</f>
        <v/>
      </c>
      <c r="AW187" s="345">
        <f>IF($A187="",0,IF(ISNUMBER(AH187),IF(AH187&gt;=ProtHit,1,0),0))</f>
        <v/>
      </c>
      <c r="AX187" s="345">
        <f>IF($A187="",0,IF(ISNUMBER(AI187),IF(AI187&gt;=WaterHit,1,0),0))</f>
        <v/>
      </c>
      <c r="AY187" s="345">
        <f>IF($A187="",0,IF(ISNUMBER(AG187),IF(AG187&gt;=AR187,1,0),0))</f>
        <v/>
      </c>
      <c r="AZ187" s="345">
        <f>IF($A187="",0,G187)</f>
        <v/>
      </c>
      <c r="BA187" s="345">
        <f>IF($A187="",0,J187)</f>
        <v/>
      </c>
      <c r="BB187" s="345">
        <f>IF($A187="",0,K187)</f>
        <v/>
      </c>
      <c r="BC187" s="345">
        <f>IF($A187="",0,MAX(L187,AE187))</f>
        <v/>
      </c>
      <c r="BD187" s="344">
        <f>IF($A187="","",(AU187+AV187+AW187+AX187+AY187+AZ187+BB187+BC187+IF(AS187=1,BA187,0))/(8+AS187))</f>
        <v/>
      </c>
      <c r="BE187" s="344">
        <f>IF($A187="","",(IF(ISNUMBER(AI187),IF(AI187&gt;=WaterMVD,1,0),0)+AV187+IF(ISNUMBER(AH187),IF(AH187&gt;=ProtMVD,1,0),0)+MAX(H187,AD187)+AZ187+BB187+AU187)/7)</f>
        <v/>
      </c>
      <c r="BF187" s="344">
        <f>IF(AO187=0,"",IF(E187="S","",IF(AND(AP187=0,$A187=TODAY()),"",IF(E187="M",BE187,BD187))))</f>
        <v/>
      </c>
      <c r="BG187" s="344">
        <f>IF(AO187=0,"",IFERROR(AVERAGEIFS(Data!$BF$4:$BF$375,Data!$A$4:$A$375,"&gt;"&amp;($A187-7),Data!$A$4:$A$375,"&lt;="&amp;$A187),""))</f>
        <v/>
      </c>
      <c r="BH187" s="344">
        <f>IF(AO187=0,"",IFERROR(AVERAGEIFS(Data!$BF$4:$BF$375,Data!$A$4:$A$375,"&gt;"&amp;($A187-30),Data!$A$4:$A$375,"&lt;="&amp;$A187),""))</f>
        <v/>
      </c>
      <c r="BI187" s="359">
        <f>IF($A187="","",IFERROR(AVERAGEIFS(Data!$AF$4:$AF$375,Data!$A$4:$A$375,"&gt;"&amp;($A187-7),Data!$A$4:$A$375,"&lt;="&amp;$A187,Data!$AF$4:$AF$375,"&gt;0"),""))</f>
        <v/>
      </c>
      <c r="BJ187" s="345">
        <f>IF($A187="","",F187+G187+H187+I187+J187+K187+L187+M187+N187-IF(AS187=1,0,J187))</f>
        <v/>
      </c>
      <c r="BK187" s="345">
        <f>IF($A187="","",8+AS187)</f>
        <v/>
      </c>
      <c r="BL187" s="345">
        <f>IF(ISNUMBER(BF187),BF187,NA())</f>
        <v/>
      </c>
      <c r="BM187" s="345">
        <f>IF(ISNUMBER(AF187),AF187,NA())</f>
        <v/>
      </c>
      <c r="BN187" s="345">
        <f>IF(ISNUMBER(BI187),BI187,NA())</f>
        <v/>
      </c>
      <c r="BO187" s="345">
        <f>IF(ISNUMBER(AL187),AL187,NA())</f>
        <v/>
      </c>
      <c r="BP187" s="345">
        <f>IF(ISNUMBER(AM187),AM187,NA())</f>
        <v/>
      </c>
      <c r="BQ187" s="345">
        <f>IF(ISNUMBER(AN187),AN187,NA())</f>
        <v/>
      </c>
    </row>
    <row r="188">
      <c r="A188" s="358">
        <f>IF('Mar 2027'!AH7="","",'Mar 2027'!AH7)</f>
        <v/>
      </c>
      <c r="B188" s="345" t="n">
        <v>6</v>
      </c>
      <c r="C188" s="345">
        <f>IF($A188="","",30)</f>
        <v/>
      </c>
      <c r="D188" s="345">
        <f>IF($A188="","",WEEKDAY($A188,2))</f>
        <v/>
      </c>
      <c r="E188" s="345">
        <f>IF($A188="","",UPPER(TRIM('Mar 2027'!AH8)))</f>
        <v/>
      </c>
      <c r="F188" s="345">
        <f>IF($A188="","",IF(OR('Mar 2027'!AH10=TRUE,'Mar 2027'!AH10="x",'Mar 2027'!AH10="X"),1,0))</f>
        <v/>
      </c>
      <c r="G188" s="345">
        <f>IF($A188="","",IF(OR('Mar 2027'!AH11=TRUE,'Mar 2027'!AH11="x",'Mar 2027'!AH11="X"),1,0))</f>
        <v/>
      </c>
      <c r="H188" s="345">
        <f>IF($A188="","",IF(OR('Mar 2027'!AH12=TRUE,'Mar 2027'!AH12="x",'Mar 2027'!AH12="X"),1,0))</f>
        <v/>
      </c>
      <c r="I188" s="345">
        <f>IF($A188="","",IF(OR('Mar 2027'!AH13=TRUE,'Mar 2027'!AH13="x",'Mar 2027'!AH13="X"),1,0))</f>
        <v/>
      </c>
      <c r="J188" s="345">
        <f>IF($A188="","",IF(OR('Mar 2027'!AH14=TRUE,'Mar 2027'!AH14="x",'Mar 2027'!AH14="X"),1,0))</f>
        <v/>
      </c>
      <c r="K188" s="345">
        <f>IF($A188="","",IF(OR('Mar 2027'!AH15=TRUE,'Mar 2027'!AH15="x",'Mar 2027'!AH15="X"),1,0))</f>
        <v/>
      </c>
      <c r="L188" s="345">
        <f>IF($A188="","",IF(OR('Mar 2027'!AH16=TRUE,'Mar 2027'!AH16="x",'Mar 2027'!AH16="X"),1,0))</f>
        <v/>
      </c>
      <c r="M188" s="345">
        <f>IF($A188="","",IF(OR('Mar 2027'!AH17=TRUE,'Mar 2027'!AH17="x",'Mar 2027'!AH17="X"),1,0))</f>
        <v/>
      </c>
      <c r="N188" s="345">
        <f>IF($A188="","",IF(OR('Mar 2027'!AH18=TRUE,'Mar 2027'!AH18="x",'Mar 2027'!AH18="X"),1,0))</f>
        <v/>
      </c>
      <c r="O188" s="345">
        <f>IF($A188="","",IF(OR('Mar 2027'!AH20=TRUE,'Mar 2027'!AH20="x",'Mar 2027'!AH20="X"),1,0))</f>
        <v/>
      </c>
      <c r="P188" s="345">
        <f>IF($A188="","",IF(OR('Mar 2027'!AH21=TRUE,'Mar 2027'!AH21="x",'Mar 2027'!AH21="X"),1,0))</f>
        <v/>
      </c>
      <c r="Q188" s="345">
        <f>IF($A188="","",IF(OR('Mar 2027'!AH22=TRUE,'Mar 2027'!AH22="x",'Mar 2027'!AH22="X"),1,0))</f>
        <v/>
      </c>
      <c r="R188" s="345">
        <f>IF($A188="","",IF(OR('Mar 2027'!AH23=TRUE,'Mar 2027'!AH23="x",'Mar 2027'!AH23="X"),1,0))</f>
        <v/>
      </c>
      <c r="S188" s="345">
        <f>IF($A188="","",IF(OR('Mar 2027'!AH24=TRUE,'Mar 2027'!AH24="x",'Mar 2027'!AH24="X"),1,0))</f>
        <v/>
      </c>
      <c r="T188" s="345">
        <f>IF($A188="","",IF(OR('Mar 2027'!AH25=TRUE,'Mar 2027'!AH25="x",'Mar 2027'!AH25="X"),1,0))</f>
        <v/>
      </c>
      <c r="U188" s="345">
        <f>IF($A188="","",IF(OR('Mar 2027'!AH26=TRUE,'Mar 2027'!AH26="x",'Mar 2027'!AH26="X"),1,0))</f>
        <v/>
      </c>
      <c r="V188" s="345">
        <f>IF($A188="","",IF(OR('Mar 2027'!AH27=TRUE,'Mar 2027'!AH27="x",'Mar 2027'!AH27="X"),1,0))</f>
        <v/>
      </c>
      <c r="W188" s="345">
        <f>IF($A188="","",IF(OR('Mar 2027'!AH28=TRUE,'Mar 2027'!AH28="x",'Mar 2027'!AH28="X"),1,0))</f>
        <v/>
      </c>
      <c r="X188" s="345">
        <f>IF($A188="","",IF(OR('Mar 2027'!AH29=TRUE,'Mar 2027'!AH29="x",'Mar 2027'!AH29="X"),1,0))</f>
        <v/>
      </c>
      <c r="Y188" s="345">
        <f>IF($A188="","",IF(OR('Mar 2027'!AH30=TRUE,'Mar 2027'!AH30="x",'Mar 2027'!AH30="X"),1,0))</f>
        <v/>
      </c>
      <c r="Z188" s="345">
        <f>IF($A188="","",IF(OR('Mar 2027'!AH31=TRUE,'Mar 2027'!AH31="x",'Mar 2027'!AH31="X"),1,0))</f>
        <v/>
      </c>
      <c r="AA188" s="345">
        <f>IF($A188="","",IF(OR('Mar 2027'!AH32=TRUE,'Mar 2027'!AH32="x",'Mar 2027'!AH32="X"),1,0))</f>
        <v/>
      </c>
      <c r="AB188" s="345">
        <f>IF($A188="","",IF(OR('Mar 2027'!AH34=TRUE,'Mar 2027'!AH34="x",'Mar 2027'!AH34="X"),1,0))</f>
        <v/>
      </c>
      <c r="AC188" s="345">
        <f>IF($A188="","",IF(OR('Mar 2027'!AH35=TRUE,'Mar 2027'!AH35="x",'Mar 2027'!AH35="X"),1,0))</f>
        <v/>
      </c>
      <c r="AD188" s="345">
        <f>IF($A188="","",IF(OR('Mar 2027'!AH36=TRUE,'Mar 2027'!AH36="x",'Mar 2027'!AH36="X"),1,0))</f>
        <v/>
      </c>
      <c r="AE188" s="345">
        <f>IF($A188="","",IF(OR('Mar 2027'!AH37=TRUE,'Mar 2027'!AH37="x",'Mar 2027'!AH37="X"),1,0))</f>
        <v/>
      </c>
      <c r="AF188" s="345">
        <f>IF($A188="","",IF('Mar 2027'!AH59="","",'Mar 2027'!AH59))</f>
        <v/>
      </c>
      <c r="AG188" s="345">
        <f>IF($A188="","",IF('Mar 2027'!AH60="","",'Mar 2027'!AH60))</f>
        <v/>
      </c>
      <c r="AH188" s="345">
        <f>IF($A188="","",IF('Mar 2027'!AH61="","",'Mar 2027'!AH61))</f>
        <v/>
      </c>
      <c r="AI188" s="345">
        <f>IF($A188="","",IF('Mar 2027'!AH62="","",'Mar 2027'!AH62))</f>
        <v/>
      </c>
      <c r="AJ188" s="345">
        <f>IF($A188="","",IF('Mar 2027'!AH63="","",'Mar 2027'!AH63))</f>
        <v/>
      </c>
      <c r="AK188" s="345">
        <f>IF($A188="","",IF('Mar 2027'!AH64="","",'Mar 2027'!AH64))</f>
        <v/>
      </c>
      <c r="AL188" s="345">
        <f>IF($A188="","",IF('Mar 2027'!AH65="","",'Mar 2027'!AH65))</f>
        <v/>
      </c>
      <c r="AM188" s="345">
        <f>IF($A188="","",IF('Mar 2027'!AH66="","",'Mar 2027'!AH66))</f>
        <v/>
      </c>
      <c r="AN188" s="345">
        <f>IF($A188="","",IF('Mar 2027'!AH67="","",'Mar 2027'!AH67))</f>
        <v/>
      </c>
      <c r="AO188" s="345">
        <f>IF($A188="",0,IF(AND($A188&gt;=TrackStart,$A188&lt;=TODAY()),1,0))</f>
        <v/>
      </c>
      <c r="AP188" s="345">
        <f>IF($A188="",0,IF(SUM(F188:AE188)+COUNT(AF188:AN188)&gt;0,1,0))</f>
        <v/>
      </c>
      <c r="AQ188" s="345">
        <f>IF($A188="","",INT(($A188-TrackStart)/7)+1)</f>
        <v/>
      </c>
      <c r="AR188" s="345">
        <f>IF($A188="","",IF(AQ188&lt;=1,Steps1,IF(AQ188=2,Steps2,Steps3)))</f>
        <v/>
      </c>
      <c r="AS188" s="345">
        <f>IF($A188="",0,IF(ISNUMBER(SEARCH(TEXT(D188,"0"),WorkDays&amp;"")),1,0))</f>
        <v/>
      </c>
      <c r="AT188" s="345">
        <f>IF($A188="",0,IF(ISNUMBER(SEARCH(TEXT(D188,"0"),StrDays&amp;"")),1,0))</f>
        <v/>
      </c>
      <c r="AU188" s="345">
        <f>IF($A188="",0,IF(ISNUMBER(AK188),IF(AK188&gt;=SleepMin,1,0),N188))</f>
        <v/>
      </c>
      <c r="AV188" s="345">
        <f>IF($A188="",0,MAX(I188,O188,S188,AC188))</f>
        <v/>
      </c>
      <c r="AW188" s="345">
        <f>IF($A188="",0,IF(ISNUMBER(AH188),IF(AH188&gt;=ProtHit,1,0),0))</f>
        <v/>
      </c>
      <c r="AX188" s="345">
        <f>IF($A188="",0,IF(ISNUMBER(AI188),IF(AI188&gt;=WaterHit,1,0),0))</f>
        <v/>
      </c>
      <c r="AY188" s="345">
        <f>IF($A188="",0,IF(ISNUMBER(AG188),IF(AG188&gt;=AR188,1,0),0))</f>
        <v/>
      </c>
      <c r="AZ188" s="345">
        <f>IF($A188="",0,G188)</f>
        <v/>
      </c>
      <c r="BA188" s="345">
        <f>IF($A188="",0,J188)</f>
        <v/>
      </c>
      <c r="BB188" s="345">
        <f>IF($A188="",0,K188)</f>
        <v/>
      </c>
      <c r="BC188" s="345">
        <f>IF($A188="",0,MAX(L188,AE188))</f>
        <v/>
      </c>
      <c r="BD188" s="344">
        <f>IF($A188="","",(AU188+AV188+AW188+AX188+AY188+AZ188+BB188+BC188+IF(AS188=1,BA188,0))/(8+AS188))</f>
        <v/>
      </c>
      <c r="BE188" s="344">
        <f>IF($A188="","",(IF(ISNUMBER(AI188),IF(AI188&gt;=WaterMVD,1,0),0)+AV188+IF(ISNUMBER(AH188),IF(AH188&gt;=ProtMVD,1,0),0)+MAX(H188,AD188)+AZ188+BB188+AU188)/7)</f>
        <v/>
      </c>
      <c r="BF188" s="344">
        <f>IF(AO188=0,"",IF(E188="S","",IF(AND(AP188=0,$A188=TODAY()),"",IF(E188="M",BE188,BD188))))</f>
        <v/>
      </c>
      <c r="BG188" s="344">
        <f>IF(AO188=0,"",IFERROR(AVERAGEIFS(Data!$BF$4:$BF$375,Data!$A$4:$A$375,"&gt;"&amp;($A188-7),Data!$A$4:$A$375,"&lt;="&amp;$A188),""))</f>
        <v/>
      </c>
      <c r="BH188" s="344">
        <f>IF(AO188=0,"",IFERROR(AVERAGEIFS(Data!$BF$4:$BF$375,Data!$A$4:$A$375,"&gt;"&amp;($A188-30),Data!$A$4:$A$375,"&lt;="&amp;$A188),""))</f>
        <v/>
      </c>
      <c r="BI188" s="359">
        <f>IF($A188="","",IFERROR(AVERAGEIFS(Data!$AF$4:$AF$375,Data!$A$4:$A$375,"&gt;"&amp;($A188-7),Data!$A$4:$A$375,"&lt;="&amp;$A188,Data!$AF$4:$AF$375,"&gt;0"),""))</f>
        <v/>
      </c>
      <c r="BJ188" s="345">
        <f>IF($A188="","",F188+G188+H188+I188+J188+K188+L188+M188+N188-IF(AS188=1,0,J188))</f>
        <v/>
      </c>
      <c r="BK188" s="345">
        <f>IF($A188="","",8+AS188)</f>
        <v/>
      </c>
      <c r="BL188" s="345">
        <f>IF(ISNUMBER(BF188),BF188,NA())</f>
        <v/>
      </c>
      <c r="BM188" s="345">
        <f>IF(ISNUMBER(AF188),AF188,NA())</f>
        <v/>
      </c>
      <c r="BN188" s="345">
        <f>IF(ISNUMBER(BI188),BI188,NA())</f>
        <v/>
      </c>
      <c r="BO188" s="345">
        <f>IF(ISNUMBER(AL188),AL188,NA())</f>
        <v/>
      </c>
      <c r="BP188" s="345">
        <f>IF(ISNUMBER(AM188),AM188,NA())</f>
        <v/>
      </c>
      <c r="BQ188" s="345">
        <f>IF(ISNUMBER(AN188),AN188,NA())</f>
        <v/>
      </c>
    </row>
    <row r="189">
      <c r="A189" s="358">
        <f>IF('Mar 2027'!AI7="","",'Mar 2027'!AI7)</f>
        <v/>
      </c>
      <c r="B189" s="345" t="n">
        <v>6</v>
      </c>
      <c r="C189" s="345">
        <f>IF($A189="","",31)</f>
        <v/>
      </c>
      <c r="D189" s="345">
        <f>IF($A189="","",WEEKDAY($A189,2))</f>
        <v/>
      </c>
      <c r="E189" s="345">
        <f>IF($A189="","",UPPER(TRIM('Mar 2027'!AI8)))</f>
        <v/>
      </c>
      <c r="F189" s="345">
        <f>IF($A189="","",IF(OR('Mar 2027'!AI10=TRUE,'Mar 2027'!AI10="x",'Mar 2027'!AI10="X"),1,0))</f>
        <v/>
      </c>
      <c r="G189" s="345">
        <f>IF($A189="","",IF(OR('Mar 2027'!AI11=TRUE,'Mar 2027'!AI11="x",'Mar 2027'!AI11="X"),1,0))</f>
        <v/>
      </c>
      <c r="H189" s="345">
        <f>IF($A189="","",IF(OR('Mar 2027'!AI12=TRUE,'Mar 2027'!AI12="x",'Mar 2027'!AI12="X"),1,0))</f>
        <v/>
      </c>
      <c r="I189" s="345">
        <f>IF($A189="","",IF(OR('Mar 2027'!AI13=TRUE,'Mar 2027'!AI13="x",'Mar 2027'!AI13="X"),1,0))</f>
        <v/>
      </c>
      <c r="J189" s="345">
        <f>IF($A189="","",IF(OR('Mar 2027'!AI14=TRUE,'Mar 2027'!AI14="x",'Mar 2027'!AI14="X"),1,0))</f>
        <v/>
      </c>
      <c r="K189" s="345">
        <f>IF($A189="","",IF(OR('Mar 2027'!AI15=TRUE,'Mar 2027'!AI15="x",'Mar 2027'!AI15="X"),1,0))</f>
        <v/>
      </c>
      <c r="L189" s="345">
        <f>IF($A189="","",IF(OR('Mar 2027'!AI16=TRUE,'Mar 2027'!AI16="x",'Mar 2027'!AI16="X"),1,0))</f>
        <v/>
      </c>
      <c r="M189" s="345">
        <f>IF($A189="","",IF(OR('Mar 2027'!AI17=TRUE,'Mar 2027'!AI17="x",'Mar 2027'!AI17="X"),1,0))</f>
        <v/>
      </c>
      <c r="N189" s="345">
        <f>IF($A189="","",IF(OR('Mar 2027'!AI18=TRUE,'Mar 2027'!AI18="x",'Mar 2027'!AI18="X"),1,0))</f>
        <v/>
      </c>
      <c r="O189" s="345">
        <f>IF($A189="","",IF(OR('Mar 2027'!AI20=TRUE,'Mar 2027'!AI20="x",'Mar 2027'!AI20="X"),1,0))</f>
        <v/>
      </c>
      <c r="P189" s="345">
        <f>IF($A189="","",IF(OR('Mar 2027'!AI21=TRUE,'Mar 2027'!AI21="x",'Mar 2027'!AI21="X"),1,0))</f>
        <v/>
      </c>
      <c r="Q189" s="345">
        <f>IF($A189="","",IF(OR('Mar 2027'!AI22=TRUE,'Mar 2027'!AI22="x",'Mar 2027'!AI22="X"),1,0))</f>
        <v/>
      </c>
      <c r="R189" s="345">
        <f>IF($A189="","",IF(OR('Mar 2027'!AI23=TRUE,'Mar 2027'!AI23="x",'Mar 2027'!AI23="X"),1,0))</f>
        <v/>
      </c>
      <c r="S189" s="345">
        <f>IF($A189="","",IF(OR('Mar 2027'!AI24=TRUE,'Mar 2027'!AI24="x",'Mar 2027'!AI24="X"),1,0))</f>
        <v/>
      </c>
      <c r="T189" s="345">
        <f>IF($A189="","",IF(OR('Mar 2027'!AI25=TRUE,'Mar 2027'!AI25="x",'Mar 2027'!AI25="X"),1,0))</f>
        <v/>
      </c>
      <c r="U189" s="345">
        <f>IF($A189="","",IF(OR('Mar 2027'!AI26=TRUE,'Mar 2027'!AI26="x",'Mar 2027'!AI26="X"),1,0))</f>
        <v/>
      </c>
      <c r="V189" s="345">
        <f>IF($A189="","",IF(OR('Mar 2027'!AI27=TRUE,'Mar 2027'!AI27="x",'Mar 2027'!AI27="X"),1,0))</f>
        <v/>
      </c>
      <c r="W189" s="345">
        <f>IF($A189="","",IF(OR('Mar 2027'!AI28=TRUE,'Mar 2027'!AI28="x",'Mar 2027'!AI28="X"),1,0))</f>
        <v/>
      </c>
      <c r="X189" s="345">
        <f>IF($A189="","",IF(OR('Mar 2027'!AI29=TRUE,'Mar 2027'!AI29="x",'Mar 2027'!AI29="X"),1,0))</f>
        <v/>
      </c>
      <c r="Y189" s="345">
        <f>IF($A189="","",IF(OR('Mar 2027'!AI30=TRUE,'Mar 2027'!AI30="x",'Mar 2027'!AI30="X"),1,0))</f>
        <v/>
      </c>
      <c r="Z189" s="345">
        <f>IF($A189="","",IF(OR('Mar 2027'!AI31=TRUE,'Mar 2027'!AI31="x",'Mar 2027'!AI31="X"),1,0))</f>
        <v/>
      </c>
      <c r="AA189" s="345">
        <f>IF($A189="","",IF(OR('Mar 2027'!AI32=TRUE,'Mar 2027'!AI32="x",'Mar 2027'!AI32="X"),1,0))</f>
        <v/>
      </c>
      <c r="AB189" s="345">
        <f>IF($A189="","",IF(OR('Mar 2027'!AI34=TRUE,'Mar 2027'!AI34="x",'Mar 2027'!AI34="X"),1,0))</f>
        <v/>
      </c>
      <c r="AC189" s="345">
        <f>IF($A189="","",IF(OR('Mar 2027'!AI35=TRUE,'Mar 2027'!AI35="x",'Mar 2027'!AI35="X"),1,0))</f>
        <v/>
      </c>
      <c r="AD189" s="345">
        <f>IF($A189="","",IF(OR('Mar 2027'!AI36=TRUE,'Mar 2027'!AI36="x",'Mar 2027'!AI36="X"),1,0))</f>
        <v/>
      </c>
      <c r="AE189" s="345">
        <f>IF($A189="","",IF(OR('Mar 2027'!AI37=TRUE,'Mar 2027'!AI37="x",'Mar 2027'!AI37="X"),1,0))</f>
        <v/>
      </c>
      <c r="AF189" s="345">
        <f>IF($A189="","",IF('Mar 2027'!AI59="","",'Mar 2027'!AI59))</f>
        <v/>
      </c>
      <c r="AG189" s="345">
        <f>IF($A189="","",IF('Mar 2027'!AI60="","",'Mar 2027'!AI60))</f>
        <v/>
      </c>
      <c r="AH189" s="345">
        <f>IF($A189="","",IF('Mar 2027'!AI61="","",'Mar 2027'!AI61))</f>
        <v/>
      </c>
      <c r="AI189" s="345">
        <f>IF($A189="","",IF('Mar 2027'!AI62="","",'Mar 2027'!AI62))</f>
        <v/>
      </c>
      <c r="AJ189" s="345">
        <f>IF($A189="","",IF('Mar 2027'!AI63="","",'Mar 2027'!AI63))</f>
        <v/>
      </c>
      <c r="AK189" s="345">
        <f>IF($A189="","",IF('Mar 2027'!AI64="","",'Mar 2027'!AI64))</f>
        <v/>
      </c>
      <c r="AL189" s="345">
        <f>IF($A189="","",IF('Mar 2027'!AI65="","",'Mar 2027'!AI65))</f>
        <v/>
      </c>
      <c r="AM189" s="345">
        <f>IF($A189="","",IF('Mar 2027'!AI66="","",'Mar 2027'!AI66))</f>
        <v/>
      </c>
      <c r="AN189" s="345">
        <f>IF($A189="","",IF('Mar 2027'!AI67="","",'Mar 2027'!AI67))</f>
        <v/>
      </c>
      <c r="AO189" s="345">
        <f>IF($A189="",0,IF(AND($A189&gt;=TrackStart,$A189&lt;=TODAY()),1,0))</f>
        <v/>
      </c>
      <c r="AP189" s="345">
        <f>IF($A189="",0,IF(SUM(F189:AE189)+COUNT(AF189:AN189)&gt;0,1,0))</f>
        <v/>
      </c>
      <c r="AQ189" s="345">
        <f>IF($A189="","",INT(($A189-TrackStart)/7)+1)</f>
        <v/>
      </c>
      <c r="AR189" s="345">
        <f>IF($A189="","",IF(AQ189&lt;=1,Steps1,IF(AQ189=2,Steps2,Steps3)))</f>
        <v/>
      </c>
      <c r="AS189" s="345">
        <f>IF($A189="",0,IF(ISNUMBER(SEARCH(TEXT(D189,"0"),WorkDays&amp;"")),1,0))</f>
        <v/>
      </c>
      <c r="AT189" s="345">
        <f>IF($A189="",0,IF(ISNUMBER(SEARCH(TEXT(D189,"0"),StrDays&amp;"")),1,0))</f>
        <v/>
      </c>
      <c r="AU189" s="345">
        <f>IF($A189="",0,IF(ISNUMBER(AK189),IF(AK189&gt;=SleepMin,1,0),N189))</f>
        <v/>
      </c>
      <c r="AV189" s="345">
        <f>IF($A189="",0,MAX(I189,O189,S189,AC189))</f>
        <v/>
      </c>
      <c r="AW189" s="345">
        <f>IF($A189="",0,IF(ISNUMBER(AH189),IF(AH189&gt;=ProtHit,1,0),0))</f>
        <v/>
      </c>
      <c r="AX189" s="345">
        <f>IF($A189="",0,IF(ISNUMBER(AI189),IF(AI189&gt;=WaterHit,1,0),0))</f>
        <v/>
      </c>
      <c r="AY189" s="345">
        <f>IF($A189="",0,IF(ISNUMBER(AG189),IF(AG189&gt;=AR189,1,0),0))</f>
        <v/>
      </c>
      <c r="AZ189" s="345">
        <f>IF($A189="",0,G189)</f>
        <v/>
      </c>
      <c r="BA189" s="345">
        <f>IF($A189="",0,J189)</f>
        <v/>
      </c>
      <c r="BB189" s="345">
        <f>IF($A189="",0,K189)</f>
        <v/>
      </c>
      <c r="BC189" s="345">
        <f>IF($A189="",0,MAX(L189,AE189))</f>
        <v/>
      </c>
      <c r="BD189" s="344">
        <f>IF($A189="","",(AU189+AV189+AW189+AX189+AY189+AZ189+BB189+BC189+IF(AS189=1,BA189,0))/(8+AS189))</f>
        <v/>
      </c>
      <c r="BE189" s="344">
        <f>IF($A189="","",(IF(ISNUMBER(AI189),IF(AI189&gt;=WaterMVD,1,0),0)+AV189+IF(ISNUMBER(AH189),IF(AH189&gt;=ProtMVD,1,0),0)+MAX(H189,AD189)+AZ189+BB189+AU189)/7)</f>
        <v/>
      </c>
      <c r="BF189" s="344">
        <f>IF(AO189=0,"",IF(E189="S","",IF(AND(AP189=0,$A189=TODAY()),"",IF(E189="M",BE189,BD189))))</f>
        <v/>
      </c>
      <c r="BG189" s="344">
        <f>IF(AO189=0,"",IFERROR(AVERAGEIFS(Data!$BF$4:$BF$375,Data!$A$4:$A$375,"&gt;"&amp;($A189-7),Data!$A$4:$A$375,"&lt;="&amp;$A189),""))</f>
        <v/>
      </c>
      <c r="BH189" s="344">
        <f>IF(AO189=0,"",IFERROR(AVERAGEIFS(Data!$BF$4:$BF$375,Data!$A$4:$A$375,"&gt;"&amp;($A189-30),Data!$A$4:$A$375,"&lt;="&amp;$A189),""))</f>
        <v/>
      </c>
      <c r="BI189" s="359">
        <f>IF($A189="","",IFERROR(AVERAGEIFS(Data!$AF$4:$AF$375,Data!$A$4:$A$375,"&gt;"&amp;($A189-7),Data!$A$4:$A$375,"&lt;="&amp;$A189,Data!$AF$4:$AF$375,"&gt;0"),""))</f>
        <v/>
      </c>
      <c r="BJ189" s="345">
        <f>IF($A189="","",F189+G189+H189+I189+J189+K189+L189+M189+N189-IF(AS189=1,0,J189))</f>
        <v/>
      </c>
      <c r="BK189" s="345">
        <f>IF($A189="","",8+AS189)</f>
        <v/>
      </c>
      <c r="BL189" s="345">
        <f>IF(ISNUMBER(BF189),BF189,NA())</f>
        <v/>
      </c>
      <c r="BM189" s="345">
        <f>IF(ISNUMBER(AF189),AF189,NA())</f>
        <v/>
      </c>
      <c r="BN189" s="345">
        <f>IF(ISNUMBER(BI189),BI189,NA())</f>
        <v/>
      </c>
      <c r="BO189" s="345">
        <f>IF(ISNUMBER(AL189),AL189,NA())</f>
        <v/>
      </c>
      <c r="BP189" s="345">
        <f>IF(ISNUMBER(AM189),AM189,NA())</f>
        <v/>
      </c>
      <c r="BQ189" s="345">
        <f>IF(ISNUMBER(AN189),AN189,NA())</f>
        <v/>
      </c>
    </row>
    <row r="190">
      <c r="A190" s="358">
        <f>IF('Apr 2027'!E7="","",'Apr 2027'!E7)</f>
        <v/>
      </c>
      <c r="B190" s="345" t="n">
        <v>7</v>
      </c>
      <c r="C190" s="345">
        <f>IF($A190="","",1)</f>
        <v/>
      </c>
      <c r="D190" s="345">
        <f>IF($A190="","",WEEKDAY($A190,2))</f>
        <v/>
      </c>
      <c r="E190" s="345">
        <f>IF($A190="","",UPPER(TRIM('Apr 2027'!E8)))</f>
        <v/>
      </c>
      <c r="F190" s="345">
        <f>IF($A190="","",IF(OR('Apr 2027'!E10=TRUE,'Apr 2027'!E10="x",'Apr 2027'!E10="X"),1,0))</f>
        <v/>
      </c>
      <c r="G190" s="345">
        <f>IF($A190="","",IF(OR('Apr 2027'!E11=TRUE,'Apr 2027'!E11="x",'Apr 2027'!E11="X"),1,0))</f>
        <v/>
      </c>
      <c r="H190" s="345">
        <f>IF($A190="","",IF(OR('Apr 2027'!E12=TRUE,'Apr 2027'!E12="x",'Apr 2027'!E12="X"),1,0))</f>
        <v/>
      </c>
      <c r="I190" s="345">
        <f>IF($A190="","",IF(OR('Apr 2027'!E13=TRUE,'Apr 2027'!E13="x",'Apr 2027'!E13="X"),1,0))</f>
        <v/>
      </c>
      <c r="J190" s="345">
        <f>IF($A190="","",IF(OR('Apr 2027'!E14=TRUE,'Apr 2027'!E14="x",'Apr 2027'!E14="X"),1,0))</f>
        <v/>
      </c>
      <c r="K190" s="345">
        <f>IF($A190="","",IF(OR('Apr 2027'!E15=TRUE,'Apr 2027'!E15="x",'Apr 2027'!E15="X"),1,0))</f>
        <v/>
      </c>
      <c r="L190" s="345">
        <f>IF($A190="","",IF(OR('Apr 2027'!E16=TRUE,'Apr 2027'!E16="x",'Apr 2027'!E16="X"),1,0))</f>
        <v/>
      </c>
      <c r="M190" s="345">
        <f>IF($A190="","",IF(OR('Apr 2027'!E17=TRUE,'Apr 2027'!E17="x",'Apr 2027'!E17="X"),1,0))</f>
        <v/>
      </c>
      <c r="N190" s="345">
        <f>IF($A190="","",IF(OR('Apr 2027'!E18=TRUE,'Apr 2027'!E18="x",'Apr 2027'!E18="X"),1,0))</f>
        <v/>
      </c>
      <c r="O190" s="345">
        <f>IF($A190="","",IF(OR('Apr 2027'!E20=TRUE,'Apr 2027'!E20="x",'Apr 2027'!E20="X"),1,0))</f>
        <v/>
      </c>
      <c r="P190" s="345">
        <f>IF($A190="","",IF(OR('Apr 2027'!E21=TRUE,'Apr 2027'!E21="x",'Apr 2027'!E21="X"),1,0))</f>
        <v/>
      </c>
      <c r="Q190" s="345">
        <f>IF($A190="","",IF(OR('Apr 2027'!E22=TRUE,'Apr 2027'!E22="x",'Apr 2027'!E22="X"),1,0))</f>
        <v/>
      </c>
      <c r="R190" s="345">
        <f>IF($A190="","",IF(OR('Apr 2027'!E23=TRUE,'Apr 2027'!E23="x",'Apr 2027'!E23="X"),1,0))</f>
        <v/>
      </c>
      <c r="S190" s="345">
        <f>IF($A190="","",IF(OR('Apr 2027'!E24=TRUE,'Apr 2027'!E24="x",'Apr 2027'!E24="X"),1,0))</f>
        <v/>
      </c>
      <c r="T190" s="345">
        <f>IF($A190="","",IF(OR('Apr 2027'!E25=TRUE,'Apr 2027'!E25="x",'Apr 2027'!E25="X"),1,0))</f>
        <v/>
      </c>
      <c r="U190" s="345">
        <f>IF($A190="","",IF(OR('Apr 2027'!E26=TRUE,'Apr 2027'!E26="x",'Apr 2027'!E26="X"),1,0))</f>
        <v/>
      </c>
      <c r="V190" s="345">
        <f>IF($A190="","",IF(OR('Apr 2027'!E27=TRUE,'Apr 2027'!E27="x",'Apr 2027'!E27="X"),1,0))</f>
        <v/>
      </c>
      <c r="W190" s="345">
        <f>IF($A190="","",IF(OR('Apr 2027'!E28=TRUE,'Apr 2027'!E28="x",'Apr 2027'!E28="X"),1,0))</f>
        <v/>
      </c>
      <c r="X190" s="345">
        <f>IF($A190="","",IF(OR('Apr 2027'!E29=TRUE,'Apr 2027'!E29="x",'Apr 2027'!E29="X"),1,0))</f>
        <v/>
      </c>
      <c r="Y190" s="345">
        <f>IF($A190="","",IF(OR('Apr 2027'!E30=TRUE,'Apr 2027'!E30="x",'Apr 2027'!E30="X"),1,0))</f>
        <v/>
      </c>
      <c r="Z190" s="345">
        <f>IF($A190="","",IF(OR('Apr 2027'!E31=TRUE,'Apr 2027'!E31="x",'Apr 2027'!E31="X"),1,0))</f>
        <v/>
      </c>
      <c r="AA190" s="345">
        <f>IF($A190="","",IF(OR('Apr 2027'!E32=TRUE,'Apr 2027'!E32="x",'Apr 2027'!E32="X"),1,0))</f>
        <v/>
      </c>
      <c r="AB190" s="345">
        <f>IF($A190="","",IF(OR('Apr 2027'!E34=TRUE,'Apr 2027'!E34="x",'Apr 2027'!E34="X"),1,0))</f>
        <v/>
      </c>
      <c r="AC190" s="345">
        <f>IF($A190="","",IF(OR('Apr 2027'!E35=TRUE,'Apr 2027'!E35="x",'Apr 2027'!E35="X"),1,0))</f>
        <v/>
      </c>
      <c r="AD190" s="345">
        <f>IF($A190="","",IF(OR('Apr 2027'!E36=TRUE,'Apr 2027'!E36="x",'Apr 2027'!E36="X"),1,0))</f>
        <v/>
      </c>
      <c r="AE190" s="345">
        <f>IF($A190="","",IF(OR('Apr 2027'!E37=TRUE,'Apr 2027'!E37="x",'Apr 2027'!E37="X"),1,0))</f>
        <v/>
      </c>
      <c r="AF190" s="345">
        <f>IF($A190="","",IF('Apr 2027'!E59="","",'Apr 2027'!E59))</f>
        <v/>
      </c>
      <c r="AG190" s="345">
        <f>IF($A190="","",IF('Apr 2027'!E60="","",'Apr 2027'!E60))</f>
        <v/>
      </c>
      <c r="AH190" s="345">
        <f>IF($A190="","",IF('Apr 2027'!E61="","",'Apr 2027'!E61))</f>
        <v/>
      </c>
      <c r="AI190" s="345">
        <f>IF($A190="","",IF('Apr 2027'!E62="","",'Apr 2027'!E62))</f>
        <v/>
      </c>
      <c r="AJ190" s="345">
        <f>IF($A190="","",IF('Apr 2027'!E63="","",'Apr 2027'!E63))</f>
        <v/>
      </c>
      <c r="AK190" s="345">
        <f>IF($A190="","",IF('Apr 2027'!E64="","",'Apr 2027'!E64))</f>
        <v/>
      </c>
      <c r="AL190" s="345">
        <f>IF($A190="","",IF('Apr 2027'!E65="","",'Apr 2027'!E65))</f>
        <v/>
      </c>
      <c r="AM190" s="345">
        <f>IF($A190="","",IF('Apr 2027'!E66="","",'Apr 2027'!E66))</f>
        <v/>
      </c>
      <c r="AN190" s="345">
        <f>IF($A190="","",IF('Apr 2027'!E67="","",'Apr 2027'!E67))</f>
        <v/>
      </c>
      <c r="AO190" s="345">
        <f>IF($A190="",0,IF(AND($A190&gt;=TrackStart,$A190&lt;=TODAY()),1,0))</f>
        <v/>
      </c>
      <c r="AP190" s="345">
        <f>IF($A190="",0,IF(SUM(F190:AE190)+COUNT(AF190:AN190)&gt;0,1,0))</f>
        <v/>
      </c>
      <c r="AQ190" s="345">
        <f>IF($A190="","",INT(($A190-TrackStart)/7)+1)</f>
        <v/>
      </c>
      <c r="AR190" s="345">
        <f>IF($A190="","",IF(AQ190&lt;=1,Steps1,IF(AQ190=2,Steps2,Steps3)))</f>
        <v/>
      </c>
      <c r="AS190" s="345">
        <f>IF($A190="",0,IF(ISNUMBER(SEARCH(TEXT(D190,"0"),WorkDays&amp;"")),1,0))</f>
        <v/>
      </c>
      <c r="AT190" s="345">
        <f>IF($A190="",0,IF(ISNUMBER(SEARCH(TEXT(D190,"0"),StrDays&amp;"")),1,0))</f>
        <v/>
      </c>
      <c r="AU190" s="345">
        <f>IF($A190="",0,IF(ISNUMBER(AK190),IF(AK190&gt;=SleepMin,1,0),N190))</f>
        <v/>
      </c>
      <c r="AV190" s="345">
        <f>IF($A190="",0,MAX(I190,O190,S190,AC190))</f>
        <v/>
      </c>
      <c r="AW190" s="345">
        <f>IF($A190="",0,IF(ISNUMBER(AH190),IF(AH190&gt;=ProtHit,1,0),0))</f>
        <v/>
      </c>
      <c r="AX190" s="345">
        <f>IF($A190="",0,IF(ISNUMBER(AI190),IF(AI190&gt;=WaterHit,1,0),0))</f>
        <v/>
      </c>
      <c r="AY190" s="345">
        <f>IF($A190="",0,IF(ISNUMBER(AG190),IF(AG190&gt;=AR190,1,0),0))</f>
        <v/>
      </c>
      <c r="AZ190" s="345">
        <f>IF($A190="",0,G190)</f>
        <v/>
      </c>
      <c r="BA190" s="345">
        <f>IF($A190="",0,J190)</f>
        <v/>
      </c>
      <c r="BB190" s="345">
        <f>IF($A190="",0,K190)</f>
        <v/>
      </c>
      <c r="BC190" s="345">
        <f>IF($A190="",0,MAX(L190,AE190))</f>
        <v/>
      </c>
      <c r="BD190" s="344">
        <f>IF($A190="","",(AU190+AV190+AW190+AX190+AY190+AZ190+BB190+BC190+IF(AS190=1,BA190,0))/(8+AS190))</f>
        <v/>
      </c>
      <c r="BE190" s="344">
        <f>IF($A190="","",(IF(ISNUMBER(AI190),IF(AI190&gt;=WaterMVD,1,0),0)+AV190+IF(ISNUMBER(AH190),IF(AH190&gt;=ProtMVD,1,0),0)+MAX(H190,AD190)+AZ190+BB190+AU190)/7)</f>
        <v/>
      </c>
      <c r="BF190" s="344">
        <f>IF(AO190=0,"",IF(E190="S","",IF(AND(AP190=0,$A190=TODAY()),"",IF(E190="M",BE190,BD190))))</f>
        <v/>
      </c>
      <c r="BG190" s="344">
        <f>IF(AO190=0,"",IFERROR(AVERAGEIFS(Data!$BF$4:$BF$375,Data!$A$4:$A$375,"&gt;"&amp;($A190-7),Data!$A$4:$A$375,"&lt;="&amp;$A190),""))</f>
        <v/>
      </c>
      <c r="BH190" s="344">
        <f>IF(AO190=0,"",IFERROR(AVERAGEIFS(Data!$BF$4:$BF$375,Data!$A$4:$A$375,"&gt;"&amp;($A190-30),Data!$A$4:$A$375,"&lt;="&amp;$A190),""))</f>
        <v/>
      </c>
      <c r="BI190" s="359">
        <f>IF($A190="","",IFERROR(AVERAGEIFS(Data!$AF$4:$AF$375,Data!$A$4:$A$375,"&gt;"&amp;($A190-7),Data!$A$4:$A$375,"&lt;="&amp;$A190,Data!$AF$4:$AF$375,"&gt;0"),""))</f>
        <v/>
      </c>
      <c r="BJ190" s="345">
        <f>IF($A190="","",F190+G190+H190+I190+J190+K190+L190+M190+N190-IF(AS190=1,0,J190))</f>
        <v/>
      </c>
      <c r="BK190" s="345">
        <f>IF($A190="","",8+AS190)</f>
        <v/>
      </c>
      <c r="BL190" s="345">
        <f>IF(ISNUMBER(BF190),BF190,NA())</f>
        <v/>
      </c>
      <c r="BM190" s="345">
        <f>IF(ISNUMBER(AF190),AF190,NA())</f>
        <v/>
      </c>
      <c r="BN190" s="345">
        <f>IF(ISNUMBER(BI190),BI190,NA())</f>
        <v/>
      </c>
      <c r="BO190" s="345">
        <f>IF(ISNUMBER(AL190),AL190,NA())</f>
        <v/>
      </c>
      <c r="BP190" s="345">
        <f>IF(ISNUMBER(AM190),AM190,NA())</f>
        <v/>
      </c>
      <c r="BQ190" s="345">
        <f>IF(ISNUMBER(AN190),AN190,NA())</f>
        <v/>
      </c>
    </row>
    <row r="191">
      <c r="A191" s="358">
        <f>IF('Apr 2027'!F7="","",'Apr 2027'!F7)</f>
        <v/>
      </c>
      <c r="B191" s="345" t="n">
        <v>7</v>
      </c>
      <c r="C191" s="345">
        <f>IF($A191="","",2)</f>
        <v/>
      </c>
      <c r="D191" s="345">
        <f>IF($A191="","",WEEKDAY($A191,2))</f>
        <v/>
      </c>
      <c r="E191" s="345">
        <f>IF($A191="","",UPPER(TRIM('Apr 2027'!F8)))</f>
        <v/>
      </c>
      <c r="F191" s="345">
        <f>IF($A191="","",IF(OR('Apr 2027'!F10=TRUE,'Apr 2027'!F10="x",'Apr 2027'!F10="X"),1,0))</f>
        <v/>
      </c>
      <c r="G191" s="345">
        <f>IF($A191="","",IF(OR('Apr 2027'!F11=TRUE,'Apr 2027'!F11="x",'Apr 2027'!F11="X"),1,0))</f>
        <v/>
      </c>
      <c r="H191" s="345">
        <f>IF($A191="","",IF(OR('Apr 2027'!F12=TRUE,'Apr 2027'!F12="x",'Apr 2027'!F12="X"),1,0))</f>
        <v/>
      </c>
      <c r="I191" s="345">
        <f>IF($A191="","",IF(OR('Apr 2027'!F13=TRUE,'Apr 2027'!F13="x",'Apr 2027'!F13="X"),1,0))</f>
        <v/>
      </c>
      <c r="J191" s="345">
        <f>IF($A191="","",IF(OR('Apr 2027'!F14=TRUE,'Apr 2027'!F14="x",'Apr 2027'!F14="X"),1,0))</f>
        <v/>
      </c>
      <c r="K191" s="345">
        <f>IF($A191="","",IF(OR('Apr 2027'!F15=TRUE,'Apr 2027'!F15="x",'Apr 2027'!F15="X"),1,0))</f>
        <v/>
      </c>
      <c r="L191" s="345">
        <f>IF($A191="","",IF(OR('Apr 2027'!F16=TRUE,'Apr 2027'!F16="x",'Apr 2027'!F16="X"),1,0))</f>
        <v/>
      </c>
      <c r="M191" s="345">
        <f>IF($A191="","",IF(OR('Apr 2027'!F17=TRUE,'Apr 2027'!F17="x",'Apr 2027'!F17="X"),1,0))</f>
        <v/>
      </c>
      <c r="N191" s="345">
        <f>IF($A191="","",IF(OR('Apr 2027'!F18=TRUE,'Apr 2027'!F18="x",'Apr 2027'!F18="X"),1,0))</f>
        <v/>
      </c>
      <c r="O191" s="345">
        <f>IF($A191="","",IF(OR('Apr 2027'!F20=TRUE,'Apr 2027'!F20="x",'Apr 2027'!F20="X"),1,0))</f>
        <v/>
      </c>
      <c r="P191" s="345">
        <f>IF($A191="","",IF(OR('Apr 2027'!F21=TRUE,'Apr 2027'!F21="x",'Apr 2027'!F21="X"),1,0))</f>
        <v/>
      </c>
      <c r="Q191" s="345">
        <f>IF($A191="","",IF(OR('Apr 2027'!F22=TRUE,'Apr 2027'!F22="x",'Apr 2027'!F22="X"),1,0))</f>
        <v/>
      </c>
      <c r="R191" s="345">
        <f>IF($A191="","",IF(OR('Apr 2027'!F23=TRUE,'Apr 2027'!F23="x",'Apr 2027'!F23="X"),1,0))</f>
        <v/>
      </c>
      <c r="S191" s="345">
        <f>IF($A191="","",IF(OR('Apr 2027'!F24=TRUE,'Apr 2027'!F24="x",'Apr 2027'!F24="X"),1,0))</f>
        <v/>
      </c>
      <c r="T191" s="345">
        <f>IF($A191="","",IF(OR('Apr 2027'!F25=TRUE,'Apr 2027'!F25="x",'Apr 2027'!F25="X"),1,0))</f>
        <v/>
      </c>
      <c r="U191" s="345">
        <f>IF($A191="","",IF(OR('Apr 2027'!F26=TRUE,'Apr 2027'!F26="x",'Apr 2027'!F26="X"),1,0))</f>
        <v/>
      </c>
      <c r="V191" s="345">
        <f>IF($A191="","",IF(OR('Apr 2027'!F27=TRUE,'Apr 2027'!F27="x",'Apr 2027'!F27="X"),1,0))</f>
        <v/>
      </c>
      <c r="W191" s="345">
        <f>IF($A191="","",IF(OR('Apr 2027'!F28=TRUE,'Apr 2027'!F28="x",'Apr 2027'!F28="X"),1,0))</f>
        <v/>
      </c>
      <c r="X191" s="345">
        <f>IF($A191="","",IF(OR('Apr 2027'!F29=TRUE,'Apr 2027'!F29="x",'Apr 2027'!F29="X"),1,0))</f>
        <v/>
      </c>
      <c r="Y191" s="345">
        <f>IF($A191="","",IF(OR('Apr 2027'!F30=TRUE,'Apr 2027'!F30="x",'Apr 2027'!F30="X"),1,0))</f>
        <v/>
      </c>
      <c r="Z191" s="345">
        <f>IF($A191="","",IF(OR('Apr 2027'!F31=TRUE,'Apr 2027'!F31="x",'Apr 2027'!F31="X"),1,0))</f>
        <v/>
      </c>
      <c r="AA191" s="345">
        <f>IF($A191="","",IF(OR('Apr 2027'!F32=TRUE,'Apr 2027'!F32="x",'Apr 2027'!F32="X"),1,0))</f>
        <v/>
      </c>
      <c r="AB191" s="345">
        <f>IF($A191="","",IF(OR('Apr 2027'!F34=TRUE,'Apr 2027'!F34="x",'Apr 2027'!F34="X"),1,0))</f>
        <v/>
      </c>
      <c r="AC191" s="345">
        <f>IF($A191="","",IF(OR('Apr 2027'!F35=TRUE,'Apr 2027'!F35="x",'Apr 2027'!F35="X"),1,0))</f>
        <v/>
      </c>
      <c r="AD191" s="345">
        <f>IF($A191="","",IF(OR('Apr 2027'!F36=TRUE,'Apr 2027'!F36="x",'Apr 2027'!F36="X"),1,0))</f>
        <v/>
      </c>
      <c r="AE191" s="345">
        <f>IF($A191="","",IF(OR('Apr 2027'!F37=TRUE,'Apr 2027'!F37="x",'Apr 2027'!F37="X"),1,0))</f>
        <v/>
      </c>
      <c r="AF191" s="345">
        <f>IF($A191="","",IF('Apr 2027'!F59="","",'Apr 2027'!F59))</f>
        <v/>
      </c>
      <c r="AG191" s="345">
        <f>IF($A191="","",IF('Apr 2027'!F60="","",'Apr 2027'!F60))</f>
        <v/>
      </c>
      <c r="AH191" s="345">
        <f>IF($A191="","",IF('Apr 2027'!F61="","",'Apr 2027'!F61))</f>
        <v/>
      </c>
      <c r="AI191" s="345">
        <f>IF($A191="","",IF('Apr 2027'!F62="","",'Apr 2027'!F62))</f>
        <v/>
      </c>
      <c r="AJ191" s="345">
        <f>IF($A191="","",IF('Apr 2027'!F63="","",'Apr 2027'!F63))</f>
        <v/>
      </c>
      <c r="AK191" s="345">
        <f>IF($A191="","",IF('Apr 2027'!F64="","",'Apr 2027'!F64))</f>
        <v/>
      </c>
      <c r="AL191" s="345">
        <f>IF($A191="","",IF('Apr 2027'!F65="","",'Apr 2027'!F65))</f>
        <v/>
      </c>
      <c r="AM191" s="345">
        <f>IF($A191="","",IF('Apr 2027'!F66="","",'Apr 2027'!F66))</f>
        <v/>
      </c>
      <c r="AN191" s="345">
        <f>IF($A191="","",IF('Apr 2027'!F67="","",'Apr 2027'!F67))</f>
        <v/>
      </c>
      <c r="AO191" s="345">
        <f>IF($A191="",0,IF(AND($A191&gt;=TrackStart,$A191&lt;=TODAY()),1,0))</f>
        <v/>
      </c>
      <c r="AP191" s="345">
        <f>IF($A191="",0,IF(SUM(F191:AE191)+COUNT(AF191:AN191)&gt;0,1,0))</f>
        <v/>
      </c>
      <c r="AQ191" s="345">
        <f>IF($A191="","",INT(($A191-TrackStart)/7)+1)</f>
        <v/>
      </c>
      <c r="AR191" s="345">
        <f>IF($A191="","",IF(AQ191&lt;=1,Steps1,IF(AQ191=2,Steps2,Steps3)))</f>
        <v/>
      </c>
      <c r="AS191" s="345">
        <f>IF($A191="",0,IF(ISNUMBER(SEARCH(TEXT(D191,"0"),WorkDays&amp;"")),1,0))</f>
        <v/>
      </c>
      <c r="AT191" s="345">
        <f>IF($A191="",0,IF(ISNUMBER(SEARCH(TEXT(D191,"0"),StrDays&amp;"")),1,0))</f>
        <v/>
      </c>
      <c r="AU191" s="345">
        <f>IF($A191="",0,IF(ISNUMBER(AK191),IF(AK191&gt;=SleepMin,1,0),N191))</f>
        <v/>
      </c>
      <c r="AV191" s="345">
        <f>IF($A191="",0,MAX(I191,O191,S191,AC191))</f>
        <v/>
      </c>
      <c r="AW191" s="345">
        <f>IF($A191="",0,IF(ISNUMBER(AH191),IF(AH191&gt;=ProtHit,1,0),0))</f>
        <v/>
      </c>
      <c r="AX191" s="345">
        <f>IF($A191="",0,IF(ISNUMBER(AI191),IF(AI191&gt;=WaterHit,1,0),0))</f>
        <v/>
      </c>
      <c r="AY191" s="345">
        <f>IF($A191="",0,IF(ISNUMBER(AG191),IF(AG191&gt;=AR191,1,0),0))</f>
        <v/>
      </c>
      <c r="AZ191" s="345">
        <f>IF($A191="",0,G191)</f>
        <v/>
      </c>
      <c r="BA191" s="345">
        <f>IF($A191="",0,J191)</f>
        <v/>
      </c>
      <c r="BB191" s="345">
        <f>IF($A191="",0,K191)</f>
        <v/>
      </c>
      <c r="BC191" s="345">
        <f>IF($A191="",0,MAX(L191,AE191))</f>
        <v/>
      </c>
      <c r="BD191" s="344">
        <f>IF($A191="","",(AU191+AV191+AW191+AX191+AY191+AZ191+BB191+BC191+IF(AS191=1,BA191,0))/(8+AS191))</f>
        <v/>
      </c>
      <c r="BE191" s="344">
        <f>IF($A191="","",(IF(ISNUMBER(AI191),IF(AI191&gt;=WaterMVD,1,0),0)+AV191+IF(ISNUMBER(AH191),IF(AH191&gt;=ProtMVD,1,0),0)+MAX(H191,AD191)+AZ191+BB191+AU191)/7)</f>
        <v/>
      </c>
      <c r="BF191" s="344">
        <f>IF(AO191=0,"",IF(E191="S","",IF(AND(AP191=0,$A191=TODAY()),"",IF(E191="M",BE191,BD191))))</f>
        <v/>
      </c>
      <c r="BG191" s="344">
        <f>IF(AO191=0,"",IFERROR(AVERAGEIFS(Data!$BF$4:$BF$375,Data!$A$4:$A$375,"&gt;"&amp;($A191-7),Data!$A$4:$A$375,"&lt;="&amp;$A191),""))</f>
        <v/>
      </c>
      <c r="BH191" s="344">
        <f>IF(AO191=0,"",IFERROR(AVERAGEIFS(Data!$BF$4:$BF$375,Data!$A$4:$A$375,"&gt;"&amp;($A191-30),Data!$A$4:$A$375,"&lt;="&amp;$A191),""))</f>
        <v/>
      </c>
      <c r="BI191" s="359">
        <f>IF($A191="","",IFERROR(AVERAGEIFS(Data!$AF$4:$AF$375,Data!$A$4:$A$375,"&gt;"&amp;($A191-7),Data!$A$4:$A$375,"&lt;="&amp;$A191,Data!$AF$4:$AF$375,"&gt;0"),""))</f>
        <v/>
      </c>
      <c r="BJ191" s="345">
        <f>IF($A191="","",F191+G191+H191+I191+J191+K191+L191+M191+N191-IF(AS191=1,0,J191))</f>
        <v/>
      </c>
      <c r="BK191" s="345">
        <f>IF($A191="","",8+AS191)</f>
        <v/>
      </c>
      <c r="BL191" s="345">
        <f>IF(ISNUMBER(BF191),BF191,NA())</f>
        <v/>
      </c>
      <c r="BM191" s="345">
        <f>IF(ISNUMBER(AF191),AF191,NA())</f>
        <v/>
      </c>
      <c r="BN191" s="345">
        <f>IF(ISNUMBER(BI191),BI191,NA())</f>
        <v/>
      </c>
      <c r="BO191" s="345">
        <f>IF(ISNUMBER(AL191),AL191,NA())</f>
        <v/>
      </c>
      <c r="BP191" s="345">
        <f>IF(ISNUMBER(AM191),AM191,NA())</f>
        <v/>
      </c>
      <c r="BQ191" s="345">
        <f>IF(ISNUMBER(AN191),AN191,NA())</f>
        <v/>
      </c>
    </row>
    <row r="192">
      <c r="A192" s="358">
        <f>IF('Apr 2027'!G7="","",'Apr 2027'!G7)</f>
        <v/>
      </c>
      <c r="B192" s="345" t="n">
        <v>7</v>
      </c>
      <c r="C192" s="345">
        <f>IF($A192="","",3)</f>
        <v/>
      </c>
      <c r="D192" s="345">
        <f>IF($A192="","",WEEKDAY($A192,2))</f>
        <v/>
      </c>
      <c r="E192" s="345">
        <f>IF($A192="","",UPPER(TRIM('Apr 2027'!G8)))</f>
        <v/>
      </c>
      <c r="F192" s="345">
        <f>IF($A192="","",IF(OR('Apr 2027'!G10=TRUE,'Apr 2027'!G10="x",'Apr 2027'!G10="X"),1,0))</f>
        <v/>
      </c>
      <c r="G192" s="345">
        <f>IF($A192="","",IF(OR('Apr 2027'!G11=TRUE,'Apr 2027'!G11="x",'Apr 2027'!G11="X"),1,0))</f>
        <v/>
      </c>
      <c r="H192" s="345">
        <f>IF($A192="","",IF(OR('Apr 2027'!G12=TRUE,'Apr 2027'!G12="x",'Apr 2027'!G12="X"),1,0))</f>
        <v/>
      </c>
      <c r="I192" s="345">
        <f>IF($A192="","",IF(OR('Apr 2027'!G13=TRUE,'Apr 2027'!G13="x",'Apr 2027'!G13="X"),1,0))</f>
        <v/>
      </c>
      <c r="J192" s="345">
        <f>IF($A192="","",IF(OR('Apr 2027'!G14=TRUE,'Apr 2027'!G14="x",'Apr 2027'!G14="X"),1,0))</f>
        <v/>
      </c>
      <c r="K192" s="345">
        <f>IF($A192="","",IF(OR('Apr 2027'!G15=TRUE,'Apr 2027'!G15="x",'Apr 2027'!G15="X"),1,0))</f>
        <v/>
      </c>
      <c r="L192" s="345">
        <f>IF($A192="","",IF(OR('Apr 2027'!G16=TRUE,'Apr 2027'!G16="x",'Apr 2027'!G16="X"),1,0))</f>
        <v/>
      </c>
      <c r="M192" s="345">
        <f>IF($A192="","",IF(OR('Apr 2027'!G17=TRUE,'Apr 2027'!G17="x",'Apr 2027'!G17="X"),1,0))</f>
        <v/>
      </c>
      <c r="N192" s="345">
        <f>IF($A192="","",IF(OR('Apr 2027'!G18=TRUE,'Apr 2027'!G18="x",'Apr 2027'!G18="X"),1,0))</f>
        <v/>
      </c>
      <c r="O192" s="345">
        <f>IF($A192="","",IF(OR('Apr 2027'!G20=TRUE,'Apr 2027'!G20="x",'Apr 2027'!G20="X"),1,0))</f>
        <v/>
      </c>
      <c r="P192" s="345">
        <f>IF($A192="","",IF(OR('Apr 2027'!G21=TRUE,'Apr 2027'!G21="x",'Apr 2027'!G21="X"),1,0))</f>
        <v/>
      </c>
      <c r="Q192" s="345">
        <f>IF($A192="","",IF(OR('Apr 2027'!G22=TRUE,'Apr 2027'!G22="x",'Apr 2027'!G22="X"),1,0))</f>
        <v/>
      </c>
      <c r="R192" s="345">
        <f>IF($A192="","",IF(OR('Apr 2027'!G23=TRUE,'Apr 2027'!G23="x",'Apr 2027'!G23="X"),1,0))</f>
        <v/>
      </c>
      <c r="S192" s="345">
        <f>IF($A192="","",IF(OR('Apr 2027'!G24=TRUE,'Apr 2027'!G24="x",'Apr 2027'!G24="X"),1,0))</f>
        <v/>
      </c>
      <c r="T192" s="345">
        <f>IF($A192="","",IF(OR('Apr 2027'!G25=TRUE,'Apr 2027'!G25="x",'Apr 2027'!G25="X"),1,0))</f>
        <v/>
      </c>
      <c r="U192" s="345">
        <f>IF($A192="","",IF(OR('Apr 2027'!G26=TRUE,'Apr 2027'!G26="x",'Apr 2027'!G26="X"),1,0))</f>
        <v/>
      </c>
      <c r="V192" s="345">
        <f>IF($A192="","",IF(OR('Apr 2027'!G27=TRUE,'Apr 2027'!G27="x",'Apr 2027'!G27="X"),1,0))</f>
        <v/>
      </c>
      <c r="W192" s="345">
        <f>IF($A192="","",IF(OR('Apr 2027'!G28=TRUE,'Apr 2027'!G28="x",'Apr 2027'!G28="X"),1,0))</f>
        <v/>
      </c>
      <c r="X192" s="345">
        <f>IF($A192="","",IF(OR('Apr 2027'!G29=TRUE,'Apr 2027'!G29="x",'Apr 2027'!G29="X"),1,0))</f>
        <v/>
      </c>
      <c r="Y192" s="345">
        <f>IF($A192="","",IF(OR('Apr 2027'!G30=TRUE,'Apr 2027'!G30="x",'Apr 2027'!G30="X"),1,0))</f>
        <v/>
      </c>
      <c r="Z192" s="345">
        <f>IF($A192="","",IF(OR('Apr 2027'!G31=TRUE,'Apr 2027'!G31="x",'Apr 2027'!G31="X"),1,0))</f>
        <v/>
      </c>
      <c r="AA192" s="345">
        <f>IF($A192="","",IF(OR('Apr 2027'!G32=TRUE,'Apr 2027'!G32="x",'Apr 2027'!G32="X"),1,0))</f>
        <v/>
      </c>
      <c r="AB192" s="345">
        <f>IF($A192="","",IF(OR('Apr 2027'!G34=TRUE,'Apr 2027'!G34="x",'Apr 2027'!G34="X"),1,0))</f>
        <v/>
      </c>
      <c r="AC192" s="345">
        <f>IF($A192="","",IF(OR('Apr 2027'!G35=TRUE,'Apr 2027'!G35="x",'Apr 2027'!G35="X"),1,0))</f>
        <v/>
      </c>
      <c r="AD192" s="345">
        <f>IF($A192="","",IF(OR('Apr 2027'!G36=TRUE,'Apr 2027'!G36="x",'Apr 2027'!G36="X"),1,0))</f>
        <v/>
      </c>
      <c r="AE192" s="345">
        <f>IF($A192="","",IF(OR('Apr 2027'!G37=TRUE,'Apr 2027'!G37="x",'Apr 2027'!G37="X"),1,0))</f>
        <v/>
      </c>
      <c r="AF192" s="345">
        <f>IF($A192="","",IF('Apr 2027'!G59="","",'Apr 2027'!G59))</f>
        <v/>
      </c>
      <c r="AG192" s="345">
        <f>IF($A192="","",IF('Apr 2027'!G60="","",'Apr 2027'!G60))</f>
        <v/>
      </c>
      <c r="AH192" s="345">
        <f>IF($A192="","",IF('Apr 2027'!G61="","",'Apr 2027'!G61))</f>
        <v/>
      </c>
      <c r="AI192" s="345">
        <f>IF($A192="","",IF('Apr 2027'!G62="","",'Apr 2027'!G62))</f>
        <v/>
      </c>
      <c r="AJ192" s="345">
        <f>IF($A192="","",IF('Apr 2027'!G63="","",'Apr 2027'!G63))</f>
        <v/>
      </c>
      <c r="AK192" s="345">
        <f>IF($A192="","",IF('Apr 2027'!G64="","",'Apr 2027'!G64))</f>
        <v/>
      </c>
      <c r="AL192" s="345">
        <f>IF($A192="","",IF('Apr 2027'!G65="","",'Apr 2027'!G65))</f>
        <v/>
      </c>
      <c r="AM192" s="345">
        <f>IF($A192="","",IF('Apr 2027'!G66="","",'Apr 2027'!G66))</f>
        <v/>
      </c>
      <c r="AN192" s="345">
        <f>IF($A192="","",IF('Apr 2027'!G67="","",'Apr 2027'!G67))</f>
        <v/>
      </c>
      <c r="AO192" s="345">
        <f>IF($A192="",0,IF(AND($A192&gt;=TrackStart,$A192&lt;=TODAY()),1,0))</f>
        <v/>
      </c>
      <c r="AP192" s="345">
        <f>IF($A192="",0,IF(SUM(F192:AE192)+COUNT(AF192:AN192)&gt;0,1,0))</f>
        <v/>
      </c>
      <c r="AQ192" s="345">
        <f>IF($A192="","",INT(($A192-TrackStart)/7)+1)</f>
        <v/>
      </c>
      <c r="AR192" s="345">
        <f>IF($A192="","",IF(AQ192&lt;=1,Steps1,IF(AQ192=2,Steps2,Steps3)))</f>
        <v/>
      </c>
      <c r="AS192" s="345">
        <f>IF($A192="",0,IF(ISNUMBER(SEARCH(TEXT(D192,"0"),WorkDays&amp;"")),1,0))</f>
        <v/>
      </c>
      <c r="AT192" s="345">
        <f>IF($A192="",0,IF(ISNUMBER(SEARCH(TEXT(D192,"0"),StrDays&amp;"")),1,0))</f>
        <v/>
      </c>
      <c r="AU192" s="345">
        <f>IF($A192="",0,IF(ISNUMBER(AK192),IF(AK192&gt;=SleepMin,1,0),N192))</f>
        <v/>
      </c>
      <c r="AV192" s="345">
        <f>IF($A192="",0,MAX(I192,O192,S192,AC192))</f>
        <v/>
      </c>
      <c r="AW192" s="345">
        <f>IF($A192="",0,IF(ISNUMBER(AH192),IF(AH192&gt;=ProtHit,1,0),0))</f>
        <v/>
      </c>
      <c r="AX192" s="345">
        <f>IF($A192="",0,IF(ISNUMBER(AI192),IF(AI192&gt;=WaterHit,1,0),0))</f>
        <v/>
      </c>
      <c r="AY192" s="345">
        <f>IF($A192="",0,IF(ISNUMBER(AG192),IF(AG192&gt;=AR192,1,0),0))</f>
        <v/>
      </c>
      <c r="AZ192" s="345">
        <f>IF($A192="",0,G192)</f>
        <v/>
      </c>
      <c r="BA192" s="345">
        <f>IF($A192="",0,J192)</f>
        <v/>
      </c>
      <c r="BB192" s="345">
        <f>IF($A192="",0,K192)</f>
        <v/>
      </c>
      <c r="BC192" s="345">
        <f>IF($A192="",0,MAX(L192,AE192))</f>
        <v/>
      </c>
      <c r="BD192" s="344">
        <f>IF($A192="","",(AU192+AV192+AW192+AX192+AY192+AZ192+BB192+BC192+IF(AS192=1,BA192,0))/(8+AS192))</f>
        <v/>
      </c>
      <c r="BE192" s="344">
        <f>IF($A192="","",(IF(ISNUMBER(AI192),IF(AI192&gt;=WaterMVD,1,0),0)+AV192+IF(ISNUMBER(AH192),IF(AH192&gt;=ProtMVD,1,0),0)+MAX(H192,AD192)+AZ192+BB192+AU192)/7)</f>
        <v/>
      </c>
      <c r="BF192" s="344">
        <f>IF(AO192=0,"",IF(E192="S","",IF(AND(AP192=0,$A192=TODAY()),"",IF(E192="M",BE192,BD192))))</f>
        <v/>
      </c>
      <c r="BG192" s="344">
        <f>IF(AO192=0,"",IFERROR(AVERAGEIFS(Data!$BF$4:$BF$375,Data!$A$4:$A$375,"&gt;"&amp;($A192-7),Data!$A$4:$A$375,"&lt;="&amp;$A192),""))</f>
        <v/>
      </c>
      <c r="BH192" s="344">
        <f>IF(AO192=0,"",IFERROR(AVERAGEIFS(Data!$BF$4:$BF$375,Data!$A$4:$A$375,"&gt;"&amp;($A192-30),Data!$A$4:$A$375,"&lt;="&amp;$A192),""))</f>
        <v/>
      </c>
      <c r="BI192" s="359">
        <f>IF($A192="","",IFERROR(AVERAGEIFS(Data!$AF$4:$AF$375,Data!$A$4:$A$375,"&gt;"&amp;($A192-7),Data!$A$4:$A$375,"&lt;="&amp;$A192,Data!$AF$4:$AF$375,"&gt;0"),""))</f>
        <v/>
      </c>
      <c r="BJ192" s="345">
        <f>IF($A192="","",F192+G192+H192+I192+J192+K192+L192+M192+N192-IF(AS192=1,0,J192))</f>
        <v/>
      </c>
      <c r="BK192" s="345">
        <f>IF($A192="","",8+AS192)</f>
        <v/>
      </c>
      <c r="BL192" s="345">
        <f>IF(ISNUMBER(BF192),BF192,NA())</f>
        <v/>
      </c>
      <c r="BM192" s="345">
        <f>IF(ISNUMBER(AF192),AF192,NA())</f>
        <v/>
      </c>
      <c r="BN192" s="345">
        <f>IF(ISNUMBER(BI192),BI192,NA())</f>
        <v/>
      </c>
      <c r="BO192" s="345">
        <f>IF(ISNUMBER(AL192),AL192,NA())</f>
        <v/>
      </c>
      <c r="BP192" s="345">
        <f>IF(ISNUMBER(AM192),AM192,NA())</f>
        <v/>
      </c>
      <c r="BQ192" s="345">
        <f>IF(ISNUMBER(AN192),AN192,NA())</f>
        <v/>
      </c>
    </row>
    <row r="193">
      <c r="A193" s="358">
        <f>IF('Apr 2027'!H7="","",'Apr 2027'!H7)</f>
        <v/>
      </c>
      <c r="B193" s="345" t="n">
        <v>7</v>
      </c>
      <c r="C193" s="345">
        <f>IF($A193="","",4)</f>
        <v/>
      </c>
      <c r="D193" s="345">
        <f>IF($A193="","",WEEKDAY($A193,2))</f>
        <v/>
      </c>
      <c r="E193" s="345">
        <f>IF($A193="","",UPPER(TRIM('Apr 2027'!H8)))</f>
        <v/>
      </c>
      <c r="F193" s="345">
        <f>IF($A193="","",IF(OR('Apr 2027'!H10=TRUE,'Apr 2027'!H10="x",'Apr 2027'!H10="X"),1,0))</f>
        <v/>
      </c>
      <c r="G193" s="345">
        <f>IF($A193="","",IF(OR('Apr 2027'!H11=TRUE,'Apr 2027'!H11="x",'Apr 2027'!H11="X"),1,0))</f>
        <v/>
      </c>
      <c r="H193" s="345">
        <f>IF($A193="","",IF(OR('Apr 2027'!H12=TRUE,'Apr 2027'!H12="x",'Apr 2027'!H12="X"),1,0))</f>
        <v/>
      </c>
      <c r="I193" s="345">
        <f>IF($A193="","",IF(OR('Apr 2027'!H13=TRUE,'Apr 2027'!H13="x",'Apr 2027'!H13="X"),1,0))</f>
        <v/>
      </c>
      <c r="J193" s="345">
        <f>IF($A193="","",IF(OR('Apr 2027'!H14=TRUE,'Apr 2027'!H14="x",'Apr 2027'!H14="X"),1,0))</f>
        <v/>
      </c>
      <c r="K193" s="345">
        <f>IF($A193="","",IF(OR('Apr 2027'!H15=TRUE,'Apr 2027'!H15="x",'Apr 2027'!H15="X"),1,0))</f>
        <v/>
      </c>
      <c r="L193" s="345">
        <f>IF($A193="","",IF(OR('Apr 2027'!H16=TRUE,'Apr 2027'!H16="x",'Apr 2027'!H16="X"),1,0))</f>
        <v/>
      </c>
      <c r="M193" s="345">
        <f>IF($A193="","",IF(OR('Apr 2027'!H17=TRUE,'Apr 2027'!H17="x",'Apr 2027'!H17="X"),1,0))</f>
        <v/>
      </c>
      <c r="N193" s="345">
        <f>IF($A193="","",IF(OR('Apr 2027'!H18=TRUE,'Apr 2027'!H18="x",'Apr 2027'!H18="X"),1,0))</f>
        <v/>
      </c>
      <c r="O193" s="345">
        <f>IF($A193="","",IF(OR('Apr 2027'!H20=TRUE,'Apr 2027'!H20="x",'Apr 2027'!H20="X"),1,0))</f>
        <v/>
      </c>
      <c r="P193" s="345">
        <f>IF($A193="","",IF(OR('Apr 2027'!H21=TRUE,'Apr 2027'!H21="x",'Apr 2027'!H21="X"),1,0))</f>
        <v/>
      </c>
      <c r="Q193" s="345">
        <f>IF($A193="","",IF(OR('Apr 2027'!H22=TRUE,'Apr 2027'!H22="x",'Apr 2027'!H22="X"),1,0))</f>
        <v/>
      </c>
      <c r="R193" s="345">
        <f>IF($A193="","",IF(OR('Apr 2027'!H23=TRUE,'Apr 2027'!H23="x",'Apr 2027'!H23="X"),1,0))</f>
        <v/>
      </c>
      <c r="S193" s="345">
        <f>IF($A193="","",IF(OR('Apr 2027'!H24=TRUE,'Apr 2027'!H24="x",'Apr 2027'!H24="X"),1,0))</f>
        <v/>
      </c>
      <c r="T193" s="345">
        <f>IF($A193="","",IF(OR('Apr 2027'!H25=TRUE,'Apr 2027'!H25="x",'Apr 2027'!H25="X"),1,0))</f>
        <v/>
      </c>
      <c r="U193" s="345">
        <f>IF($A193="","",IF(OR('Apr 2027'!H26=TRUE,'Apr 2027'!H26="x",'Apr 2027'!H26="X"),1,0))</f>
        <v/>
      </c>
      <c r="V193" s="345">
        <f>IF($A193="","",IF(OR('Apr 2027'!H27=TRUE,'Apr 2027'!H27="x",'Apr 2027'!H27="X"),1,0))</f>
        <v/>
      </c>
      <c r="W193" s="345">
        <f>IF($A193="","",IF(OR('Apr 2027'!H28=TRUE,'Apr 2027'!H28="x",'Apr 2027'!H28="X"),1,0))</f>
        <v/>
      </c>
      <c r="X193" s="345">
        <f>IF($A193="","",IF(OR('Apr 2027'!H29=TRUE,'Apr 2027'!H29="x",'Apr 2027'!H29="X"),1,0))</f>
        <v/>
      </c>
      <c r="Y193" s="345">
        <f>IF($A193="","",IF(OR('Apr 2027'!H30=TRUE,'Apr 2027'!H30="x",'Apr 2027'!H30="X"),1,0))</f>
        <v/>
      </c>
      <c r="Z193" s="345">
        <f>IF($A193="","",IF(OR('Apr 2027'!H31=TRUE,'Apr 2027'!H31="x",'Apr 2027'!H31="X"),1,0))</f>
        <v/>
      </c>
      <c r="AA193" s="345">
        <f>IF($A193="","",IF(OR('Apr 2027'!H32=TRUE,'Apr 2027'!H32="x",'Apr 2027'!H32="X"),1,0))</f>
        <v/>
      </c>
      <c r="AB193" s="345">
        <f>IF($A193="","",IF(OR('Apr 2027'!H34=TRUE,'Apr 2027'!H34="x",'Apr 2027'!H34="X"),1,0))</f>
        <v/>
      </c>
      <c r="AC193" s="345">
        <f>IF($A193="","",IF(OR('Apr 2027'!H35=TRUE,'Apr 2027'!H35="x",'Apr 2027'!H35="X"),1,0))</f>
        <v/>
      </c>
      <c r="AD193" s="345">
        <f>IF($A193="","",IF(OR('Apr 2027'!H36=TRUE,'Apr 2027'!H36="x",'Apr 2027'!H36="X"),1,0))</f>
        <v/>
      </c>
      <c r="AE193" s="345">
        <f>IF($A193="","",IF(OR('Apr 2027'!H37=TRUE,'Apr 2027'!H37="x",'Apr 2027'!H37="X"),1,0))</f>
        <v/>
      </c>
      <c r="AF193" s="345">
        <f>IF($A193="","",IF('Apr 2027'!H59="","",'Apr 2027'!H59))</f>
        <v/>
      </c>
      <c r="AG193" s="345">
        <f>IF($A193="","",IF('Apr 2027'!H60="","",'Apr 2027'!H60))</f>
        <v/>
      </c>
      <c r="AH193" s="345">
        <f>IF($A193="","",IF('Apr 2027'!H61="","",'Apr 2027'!H61))</f>
        <v/>
      </c>
      <c r="AI193" s="345">
        <f>IF($A193="","",IF('Apr 2027'!H62="","",'Apr 2027'!H62))</f>
        <v/>
      </c>
      <c r="AJ193" s="345">
        <f>IF($A193="","",IF('Apr 2027'!H63="","",'Apr 2027'!H63))</f>
        <v/>
      </c>
      <c r="AK193" s="345">
        <f>IF($A193="","",IF('Apr 2027'!H64="","",'Apr 2027'!H64))</f>
        <v/>
      </c>
      <c r="AL193" s="345">
        <f>IF($A193="","",IF('Apr 2027'!H65="","",'Apr 2027'!H65))</f>
        <v/>
      </c>
      <c r="AM193" s="345">
        <f>IF($A193="","",IF('Apr 2027'!H66="","",'Apr 2027'!H66))</f>
        <v/>
      </c>
      <c r="AN193" s="345">
        <f>IF($A193="","",IF('Apr 2027'!H67="","",'Apr 2027'!H67))</f>
        <v/>
      </c>
      <c r="AO193" s="345">
        <f>IF($A193="",0,IF(AND($A193&gt;=TrackStart,$A193&lt;=TODAY()),1,0))</f>
        <v/>
      </c>
      <c r="AP193" s="345">
        <f>IF($A193="",0,IF(SUM(F193:AE193)+COUNT(AF193:AN193)&gt;0,1,0))</f>
        <v/>
      </c>
      <c r="AQ193" s="345">
        <f>IF($A193="","",INT(($A193-TrackStart)/7)+1)</f>
        <v/>
      </c>
      <c r="AR193" s="345">
        <f>IF($A193="","",IF(AQ193&lt;=1,Steps1,IF(AQ193=2,Steps2,Steps3)))</f>
        <v/>
      </c>
      <c r="AS193" s="345">
        <f>IF($A193="",0,IF(ISNUMBER(SEARCH(TEXT(D193,"0"),WorkDays&amp;"")),1,0))</f>
        <v/>
      </c>
      <c r="AT193" s="345">
        <f>IF($A193="",0,IF(ISNUMBER(SEARCH(TEXT(D193,"0"),StrDays&amp;"")),1,0))</f>
        <v/>
      </c>
      <c r="AU193" s="345">
        <f>IF($A193="",0,IF(ISNUMBER(AK193),IF(AK193&gt;=SleepMin,1,0),N193))</f>
        <v/>
      </c>
      <c r="AV193" s="345">
        <f>IF($A193="",0,MAX(I193,O193,S193,AC193))</f>
        <v/>
      </c>
      <c r="AW193" s="345">
        <f>IF($A193="",0,IF(ISNUMBER(AH193),IF(AH193&gt;=ProtHit,1,0),0))</f>
        <v/>
      </c>
      <c r="AX193" s="345">
        <f>IF($A193="",0,IF(ISNUMBER(AI193),IF(AI193&gt;=WaterHit,1,0),0))</f>
        <v/>
      </c>
      <c r="AY193" s="345">
        <f>IF($A193="",0,IF(ISNUMBER(AG193),IF(AG193&gt;=AR193,1,0),0))</f>
        <v/>
      </c>
      <c r="AZ193" s="345">
        <f>IF($A193="",0,G193)</f>
        <v/>
      </c>
      <c r="BA193" s="345">
        <f>IF($A193="",0,J193)</f>
        <v/>
      </c>
      <c r="BB193" s="345">
        <f>IF($A193="",0,K193)</f>
        <v/>
      </c>
      <c r="BC193" s="345">
        <f>IF($A193="",0,MAX(L193,AE193))</f>
        <v/>
      </c>
      <c r="BD193" s="344">
        <f>IF($A193="","",(AU193+AV193+AW193+AX193+AY193+AZ193+BB193+BC193+IF(AS193=1,BA193,0))/(8+AS193))</f>
        <v/>
      </c>
      <c r="BE193" s="344">
        <f>IF($A193="","",(IF(ISNUMBER(AI193),IF(AI193&gt;=WaterMVD,1,0),0)+AV193+IF(ISNUMBER(AH193),IF(AH193&gt;=ProtMVD,1,0),0)+MAX(H193,AD193)+AZ193+BB193+AU193)/7)</f>
        <v/>
      </c>
      <c r="BF193" s="344">
        <f>IF(AO193=0,"",IF(E193="S","",IF(AND(AP193=0,$A193=TODAY()),"",IF(E193="M",BE193,BD193))))</f>
        <v/>
      </c>
      <c r="BG193" s="344">
        <f>IF(AO193=0,"",IFERROR(AVERAGEIFS(Data!$BF$4:$BF$375,Data!$A$4:$A$375,"&gt;"&amp;($A193-7),Data!$A$4:$A$375,"&lt;="&amp;$A193),""))</f>
        <v/>
      </c>
      <c r="BH193" s="344">
        <f>IF(AO193=0,"",IFERROR(AVERAGEIFS(Data!$BF$4:$BF$375,Data!$A$4:$A$375,"&gt;"&amp;($A193-30),Data!$A$4:$A$375,"&lt;="&amp;$A193),""))</f>
        <v/>
      </c>
      <c r="BI193" s="359">
        <f>IF($A193="","",IFERROR(AVERAGEIFS(Data!$AF$4:$AF$375,Data!$A$4:$A$375,"&gt;"&amp;($A193-7),Data!$A$4:$A$375,"&lt;="&amp;$A193,Data!$AF$4:$AF$375,"&gt;0"),""))</f>
        <v/>
      </c>
      <c r="BJ193" s="345">
        <f>IF($A193="","",F193+G193+H193+I193+J193+K193+L193+M193+N193-IF(AS193=1,0,J193))</f>
        <v/>
      </c>
      <c r="BK193" s="345">
        <f>IF($A193="","",8+AS193)</f>
        <v/>
      </c>
      <c r="BL193" s="345">
        <f>IF(ISNUMBER(BF193),BF193,NA())</f>
        <v/>
      </c>
      <c r="BM193" s="345">
        <f>IF(ISNUMBER(AF193),AF193,NA())</f>
        <v/>
      </c>
      <c r="BN193" s="345">
        <f>IF(ISNUMBER(BI193),BI193,NA())</f>
        <v/>
      </c>
      <c r="BO193" s="345">
        <f>IF(ISNUMBER(AL193),AL193,NA())</f>
        <v/>
      </c>
      <c r="BP193" s="345">
        <f>IF(ISNUMBER(AM193),AM193,NA())</f>
        <v/>
      </c>
      <c r="BQ193" s="345">
        <f>IF(ISNUMBER(AN193),AN193,NA())</f>
        <v/>
      </c>
    </row>
    <row r="194">
      <c r="A194" s="358">
        <f>IF('Apr 2027'!I7="","",'Apr 2027'!I7)</f>
        <v/>
      </c>
      <c r="B194" s="345" t="n">
        <v>7</v>
      </c>
      <c r="C194" s="345">
        <f>IF($A194="","",5)</f>
        <v/>
      </c>
      <c r="D194" s="345">
        <f>IF($A194="","",WEEKDAY($A194,2))</f>
        <v/>
      </c>
      <c r="E194" s="345">
        <f>IF($A194="","",UPPER(TRIM('Apr 2027'!I8)))</f>
        <v/>
      </c>
      <c r="F194" s="345">
        <f>IF($A194="","",IF(OR('Apr 2027'!I10=TRUE,'Apr 2027'!I10="x",'Apr 2027'!I10="X"),1,0))</f>
        <v/>
      </c>
      <c r="G194" s="345">
        <f>IF($A194="","",IF(OR('Apr 2027'!I11=TRUE,'Apr 2027'!I11="x",'Apr 2027'!I11="X"),1,0))</f>
        <v/>
      </c>
      <c r="H194" s="345">
        <f>IF($A194="","",IF(OR('Apr 2027'!I12=TRUE,'Apr 2027'!I12="x",'Apr 2027'!I12="X"),1,0))</f>
        <v/>
      </c>
      <c r="I194" s="345">
        <f>IF($A194="","",IF(OR('Apr 2027'!I13=TRUE,'Apr 2027'!I13="x",'Apr 2027'!I13="X"),1,0))</f>
        <v/>
      </c>
      <c r="J194" s="345">
        <f>IF($A194="","",IF(OR('Apr 2027'!I14=TRUE,'Apr 2027'!I14="x",'Apr 2027'!I14="X"),1,0))</f>
        <v/>
      </c>
      <c r="K194" s="345">
        <f>IF($A194="","",IF(OR('Apr 2027'!I15=TRUE,'Apr 2027'!I15="x",'Apr 2027'!I15="X"),1,0))</f>
        <v/>
      </c>
      <c r="L194" s="345">
        <f>IF($A194="","",IF(OR('Apr 2027'!I16=TRUE,'Apr 2027'!I16="x",'Apr 2027'!I16="X"),1,0))</f>
        <v/>
      </c>
      <c r="M194" s="345">
        <f>IF($A194="","",IF(OR('Apr 2027'!I17=TRUE,'Apr 2027'!I17="x",'Apr 2027'!I17="X"),1,0))</f>
        <v/>
      </c>
      <c r="N194" s="345">
        <f>IF($A194="","",IF(OR('Apr 2027'!I18=TRUE,'Apr 2027'!I18="x",'Apr 2027'!I18="X"),1,0))</f>
        <v/>
      </c>
      <c r="O194" s="345">
        <f>IF($A194="","",IF(OR('Apr 2027'!I20=TRUE,'Apr 2027'!I20="x",'Apr 2027'!I20="X"),1,0))</f>
        <v/>
      </c>
      <c r="P194" s="345">
        <f>IF($A194="","",IF(OR('Apr 2027'!I21=TRUE,'Apr 2027'!I21="x",'Apr 2027'!I21="X"),1,0))</f>
        <v/>
      </c>
      <c r="Q194" s="345">
        <f>IF($A194="","",IF(OR('Apr 2027'!I22=TRUE,'Apr 2027'!I22="x",'Apr 2027'!I22="X"),1,0))</f>
        <v/>
      </c>
      <c r="R194" s="345">
        <f>IF($A194="","",IF(OR('Apr 2027'!I23=TRUE,'Apr 2027'!I23="x",'Apr 2027'!I23="X"),1,0))</f>
        <v/>
      </c>
      <c r="S194" s="345">
        <f>IF($A194="","",IF(OR('Apr 2027'!I24=TRUE,'Apr 2027'!I24="x",'Apr 2027'!I24="X"),1,0))</f>
        <v/>
      </c>
      <c r="T194" s="345">
        <f>IF($A194="","",IF(OR('Apr 2027'!I25=TRUE,'Apr 2027'!I25="x",'Apr 2027'!I25="X"),1,0))</f>
        <v/>
      </c>
      <c r="U194" s="345">
        <f>IF($A194="","",IF(OR('Apr 2027'!I26=TRUE,'Apr 2027'!I26="x",'Apr 2027'!I26="X"),1,0))</f>
        <v/>
      </c>
      <c r="V194" s="345">
        <f>IF($A194="","",IF(OR('Apr 2027'!I27=TRUE,'Apr 2027'!I27="x",'Apr 2027'!I27="X"),1,0))</f>
        <v/>
      </c>
      <c r="W194" s="345">
        <f>IF($A194="","",IF(OR('Apr 2027'!I28=TRUE,'Apr 2027'!I28="x",'Apr 2027'!I28="X"),1,0))</f>
        <v/>
      </c>
      <c r="X194" s="345">
        <f>IF($A194="","",IF(OR('Apr 2027'!I29=TRUE,'Apr 2027'!I29="x",'Apr 2027'!I29="X"),1,0))</f>
        <v/>
      </c>
      <c r="Y194" s="345">
        <f>IF($A194="","",IF(OR('Apr 2027'!I30=TRUE,'Apr 2027'!I30="x",'Apr 2027'!I30="X"),1,0))</f>
        <v/>
      </c>
      <c r="Z194" s="345">
        <f>IF($A194="","",IF(OR('Apr 2027'!I31=TRUE,'Apr 2027'!I31="x",'Apr 2027'!I31="X"),1,0))</f>
        <v/>
      </c>
      <c r="AA194" s="345">
        <f>IF($A194="","",IF(OR('Apr 2027'!I32=TRUE,'Apr 2027'!I32="x",'Apr 2027'!I32="X"),1,0))</f>
        <v/>
      </c>
      <c r="AB194" s="345">
        <f>IF($A194="","",IF(OR('Apr 2027'!I34=TRUE,'Apr 2027'!I34="x",'Apr 2027'!I34="X"),1,0))</f>
        <v/>
      </c>
      <c r="AC194" s="345">
        <f>IF($A194="","",IF(OR('Apr 2027'!I35=TRUE,'Apr 2027'!I35="x",'Apr 2027'!I35="X"),1,0))</f>
        <v/>
      </c>
      <c r="AD194" s="345">
        <f>IF($A194="","",IF(OR('Apr 2027'!I36=TRUE,'Apr 2027'!I36="x",'Apr 2027'!I36="X"),1,0))</f>
        <v/>
      </c>
      <c r="AE194" s="345">
        <f>IF($A194="","",IF(OR('Apr 2027'!I37=TRUE,'Apr 2027'!I37="x",'Apr 2027'!I37="X"),1,0))</f>
        <v/>
      </c>
      <c r="AF194" s="345">
        <f>IF($A194="","",IF('Apr 2027'!I59="","",'Apr 2027'!I59))</f>
        <v/>
      </c>
      <c r="AG194" s="345">
        <f>IF($A194="","",IF('Apr 2027'!I60="","",'Apr 2027'!I60))</f>
        <v/>
      </c>
      <c r="AH194" s="345">
        <f>IF($A194="","",IF('Apr 2027'!I61="","",'Apr 2027'!I61))</f>
        <v/>
      </c>
      <c r="AI194" s="345">
        <f>IF($A194="","",IF('Apr 2027'!I62="","",'Apr 2027'!I62))</f>
        <v/>
      </c>
      <c r="AJ194" s="345">
        <f>IF($A194="","",IF('Apr 2027'!I63="","",'Apr 2027'!I63))</f>
        <v/>
      </c>
      <c r="AK194" s="345">
        <f>IF($A194="","",IF('Apr 2027'!I64="","",'Apr 2027'!I64))</f>
        <v/>
      </c>
      <c r="AL194" s="345">
        <f>IF($A194="","",IF('Apr 2027'!I65="","",'Apr 2027'!I65))</f>
        <v/>
      </c>
      <c r="AM194" s="345">
        <f>IF($A194="","",IF('Apr 2027'!I66="","",'Apr 2027'!I66))</f>
        <v/>
      </c>
      <c r="AN194" s="345">
        <f>IF($A194="","",IF('Apr 2027'!I67="","",'Apr 2027'!I67))</f>
        <v/>
      </c>
      <c r="AO194" s="345">
        <f>IF($A194="",0,IF(AND($A194&gt;=TrackStart,$A194&lt;=TODAY()),1,0))</f>
        <v/>
      </c>
      <c r="AP194" s="345">
        <f>IF($A194="",0,IF(SUM(F194:AE194)+COUNT(AF194:AN194)&gt;0,1,0))</f>
        <v/>
      </c>
      <c r="AQ194" s="345">
        <f>IF($A194="","",INT(($A194-TrackStart)/7)+1)</f>
        <v/>
      </c>
      <c r="AR194" s="345">
        <f>IF($A194="","",IF(AQ194&lt;=1,Steps1,IF(AQ194=2,Steps2,Steps3)))</f>
        <v/>
      </c>
      <c r="AS194" s="345">
        <f>IF($A194="",0,IF(ISNUMBER(SEARCH(TEXT(D194,"0"),WorkDays&amp;"")),1,0))</f>
        <v/>
      </c>
      <c r="AT194" s="345">
        <f>IF($A194="",0,IF(ISNUMBER(SEARCH(TEXT(D194,"0"),StrDays&amp;"")),1,0))</f>
        <v/>
      </c>
      <c r="AU194" s="345">
        <f>IF($A194="",0,IF(ISNUMBER(AK194),IF(AK194&gt;=SleepMin,1,0),N194))</f>
        <v/>
      </c>
      <c r="AV194" s="345">
        <f>IF($A194="",0,MAX(I194,O194,S194,AC194))</f>
        <v/>
      </c>
      <c r="AW194" s="345">
        <f>IF($A194="",0,IF(ISNUMBER(AH194),IF(AH194&gt;=ProtHit,1,0),0))</f>
        <v/>
      </c>
      <c r="AX194" s="345">
        <f>IF($A194="",0,IF(ISNUMBER(AI194),IF(AI194&gt;=WaterHit,1,0),0))</f>
        <v/>
      </c>
      <c r="AY194" s="345">
        <f>IF($A194="",0,IF(ISNUMBER(AG194),IF(AG194&gt;=AR194,1,0),0))</f>
        <v/>
      </c>
      <c r="AZ194" s="345">
        <f>IF($A194="",0,G194)</f>
        <v/>
      </c>
      <c r="BA194" s="345">
        <f>IF($A194="",0,J194)</f>
        <v/>
      </c>
      <c r="BB194" s="345">
        <f>IF($A194="",0,K194)</f>
        <v/>
      </c>
      <c r="BC194" s="345">
        <f>IF($A194="",0,MAX(L194,AE194))</f>
        <v/>
      </c>
      <c r="BD194" s="344">
        <f>IF($A194="","",(AU194+AV194+AW194+AX194+AY194+AZ194+BB194+BC194+IF(AS194=1,BA194,0))/(8+AS194))</f>
        <v/>
      </c>
      <c r="BE194" s="344">
        <f>IF($A194="","",(IF(ISNUMBER(AI194),IF(AI194&gt;=WaterMVD,1,0),0)+AV194+IF(ISNUMBER(AH194),IF(AH194&gt;=ProtMVD,1,0),0)+MAX(H194,AD194)+AZ194+BB194+AU194)/7)</f>
        <v/>
      </c>
      <c r="BF194" s="344">
        <f>IF(AO194=0,"",IF(E194="S","",IF(AND(AP194=0,$A194=TODAY()),"",IF(E194="M",BE194,BD194))))</f>
        <v/>
      </c>
      <c r="BG194" s="344">
        <f>IF(AO194=0,"",IFERROR(AVERAGEIFS(Data!$BF$4:$BF$375,Data!$A$4:$A$375,"&gt;"&amp;($A194-7),Data!$A$4:$A$375,"&lt;="&amp;$A194),""))</f>
        <v/>
      </c>
      <c r="BH194" s="344">
        <f>IF(AO194=0,"",IFERROR(AVERAGEIFS(Data!$BF$4:$BF$375,Data!$A$4:$A$375,"&gt;"&amp;($A194-30),Data!$A$4:$A$375,"&lt;="&amp;$A194),""))</f>
        <v/>
      </c>
      <c r="BI194" s="359">
        <f>IF($A194="","",IFERROR(AVERAGEIFS(Data!$AF$4:$AF$375,Data!$A$4:$A$375,"&gt;"&amp;($A194-7),Data!$A$4:$A$375,"&lt;="&amp;$A194,Data!$AF$4:$AF$375,"&gt;0"),""))</f>
        <v/>
      </c>
      <c r="BJ194" s="345">
        <f>IF($A194="","",F194+G194+H194+I194+J194+K194+L194+M194+N194-IF(AS194=1,0,J194))</f>
        <v/>
      </c>
      <c r="BK194" s="345">
        <f>IF($A194="","",8+AS194)</f>
        <v/>
      </c>
      <c r="BL194" s="345">
        <f>IF(ISNUMBER(BF194),BF194,NA())</f>
        <v/>
      </c>
      <c r="BM194" s="345">
        <f>IF(ISNUMBER(AF194),AF194,NA())</f>
        <v/>
      </c>
      <c r="BN194" s="345">
        <f>IF(ISNUMBER(BI194),BI194,NA())</f>
        <v/>
      </c>
      <c r="BO194" s="345">
        <f>IF(ISNUMBER(AL194),AL194,NA())</f>
        <v/>
      </c>
      <c r="BP194" s="345">
        <f>IF(ISNUMBER(AM194),AM194,NA())</f>
        <v/>
      </c>
      <c r="BQ194" s="345">
        <f>IF(ISNUMBER(AN194),AN194,NA())</f>
        <v/>
      </c>
    </row>
    <row r="195">
      <c r="A195" s="358">
        <f>IF('Apr 2027'!J7="","",'Apr 2027'!J7)</f>
        <v/>
      </c>
      <c r="B195" s="345" t="n">
        <v>7</v>
      </c>
      <c r="C195" s="345">
        <f>IF($A195="","",6)</f>
        <v/>
      </c>
      <c r="D195" s="345">
        <f>IF($A195="","",WEEKDAY($A195,2))</f>
        <v/>
      </c>
      <c r="E195" s="345">
        <f>IF($A195="","",UPPER(TRIM('Apr 2027'!J8)))</f>
        <v/>
      </c>
      <c r="F195" s="345">
        <f>IF($A195="","",IF(OR('Apr 2027'!J10=TRUE,'Apr 2027'!J10="x",'Apr 2027'!J10="X"),1,0))</f>
        <v/>
      </c>
      <c r="G195" s="345">
        <f>IF($A195="","",IF(OR('Apr 2027'!J11=TRUE,'Apr 2027'!J11="x",'Apr 2027'!J11="X"),1,0))</f>
        <v/>
      </c>
      <c r="H195" s="345">
        <f>IF($A195="","",IF(OR('Apr 2027'!J12=TRUE,'Apr 2027'!J12="x",'Apr 2027'!J12="X"),1,0))</f>
        <v/>
      </c>
      <c r="I195" s="345">
        <f>IF($A195="","",IF(OR('Apr 2027'!J13=TRUE,'Apr 2027'!J13="x",'Apr 2027'!J13="X"),1,0))</f>
        <v/>
      </c>
      <c r="J195" s="345">
        <f>IF($A195="","",IF(OR('Apr 2027'!J14=TRUE,'Apr 2027'!J14="x",'Apr 2027'!J14="X"),1,0))</f>
        <v/>
      </c>
      <c r="K195" s="345">
        <f>IF($A195="","",IF(OR('Apr 2027'!J15=TRUE,'Apr 2027'!J15="x",'Apr 2027'!J15="X"),1,0))</f>
        <v/>
      </c>
      <c r="L195" s="345">
        <f>IF($A195="","",IF(OR('Apr 2027'!J16=TRUE,'Apr 2027'!J16="x",'Apr 2027'!J16="X"),1,0))</f>
        <v/>
      </c>
      <c r="M195" s="345">
        <f>IF($A195="","",IF(OR('Apr 2027'!J17=TRUE,'Apr 2027'!J17="x",'Apr 2027'!J17="X"),1,0))</f>
        <v/>
      </c>
      <c r="N195" s="345">
        <f>IF($A195="","",IF(OR('Apr 2027'!J18=TRUE,'Apr 2027'!J18="x",'Apr 2027'!J18="X"),1,0))</f>
        <v/>
      </c>
      <c r="O195" s="345">
        <f>IF($A195="","",IF(OR('Apr 2027'!J20=TRUE,'Apr 2027'!J20="x",'Apr 2027'!J20="X"),1,0))</f>
        <v/>
      </c>
      <c r="P195" s="345">
        <f>IF($A195="","",IF(OR('Apr 2027'!J21=TRUE,'Apr 2027'!J21="x",'Apr 2027'!J21="X"),1,0))</f>
        <v/>
      </c>
      <c r="Q195" s="345">
        <f>IF($A195="","",IF(OR('Apr 2027'!J22=TRUE,'Apr 2027'!J22="x",'Apr 2027'!J22="X"),1,0))</f>
        <v/>
      </c>
      <c r="R195" s="345">
        <f>IF($A195="","",IF(OR('Apr 2027'!J23=TRUE,'Apr 2027'!J23="x",'Apr 2027'!J23="X"),1,0))</f>
        <v/>
      </c>
      <c r="S195" s="345">
        <f>IF($A195="","",IF(OR('Apr 2027'!J24=TRUE,'Apr 2027'!J24="x",'Apr 2027'!J24="X"),1,0))</f>
        <v/>
      </c>
      <c r="T195" s="345">
        <f>IF($A195="","",IF(OR('Apr 2027'!J25=TRUE,'Apr 2027'!J25="x",'Apr 2027'!J25="X"),1,0))</f>
        <v/>
      </c>
      <c r="U195" s="345">
        <f>IF($A195="","",IF(OR('Apr 2027'!J26=TRUE,'Apr 2027'!J26="x",'Apr 2027'!J26="X"),1,0))</f>
        <v/>
      </c>
      <c r="V195" s="345">
        <f>IF($A195="","",IF(OR('Apr 2027'!J27=TRUE,'Apr 2027'!J27="x",'Apr 2027'!J27="X"),1,0))</f>
        <v/>
      </c>
      <c r="W195" s="345">
        <f>IF($A195="","",IF(OR('Apr 2027'!J28=TRUE,'Apr 2027'!J28="x",'Apr 2027'!J28="X"),1,0))</f>
        <v/>
      </c>
      <c r="X195" s="345">
        <f>IF($A195="","",IF(OR('Apr 2027'!J29=TRUE,'Apr 2027'!J29="x",'Apr 2027'!J29="X"),1,0))</f>
        <v/>
      </c>
      <c r="Y195" s="345">
        <f>IF($A195="","",IF(OR('Apr 2027'!J30=TRUE,'Apr 2027'!J30="x",'Apr 2027'!J30="X"),1,0))</f>
        <v/>
      </c>
      <c r="Z195" s="345">
        <f>IF($A195="","",IF(OR('Apr 2027'!J31=TRUE,'Apr 2027'!J31="x",'Apr 2027'!J31="X"),1,0))</f>
        <v/>
      </c>
      <c r="AA195" s="345">
        <f>IF($A195="","",IF(OR('Apr 2027'!J32=TRUE,'Apr 2027'!J32="x",'Apr 2027'!J32="X"),1,0))</f>
        <v/>
      </c>
      <c r="AB195" s="345">
        <f>IF($A195="","",IF(OR('Apr 2027'!J34=TRUE,'Apr 2027'!J34="x",'Apr 2027'!J34="X"),1,0))</f>
        <v/>
      </c>
      <c r="AC195" s="345">
        <f>IF($A195="","",IF(OR('Apr 2027'!J35=TRUE,'Apr 2027'!J35="x",'Apr 2027'!J35="X"),1,0))</f>
        <v/>
      </c>
      <c r="AD195" s="345">
        <f>IF($A195="","",IF(OR('Apr 2027'!J36=TRUE,'Apr 2027'!J36="x",'Apr 2027'!J36="X"),1,0))</f>
        <v/>
      </c>
      <c r="AE195" s="345">
        <f>IF($A195="","",IF(OR('Apr 2027'!J37=TRUE,'Apr 2027'!J37="x",'Apr 2027'!J37="X"),1,0))</f>
        <v/>
      </c>
      <c r="AF195" s="345">
        <f>IF($A195="","",IF('Apr 2027'!J59="","",'Apr 2027'!J59))</f>
        <v/>
      </c>
      <c r="AG195" s="345">
        <f>IF($A195="","",IF('Apr 2027'!J60="","",'Apr 2027'!J60))</f>
        <v/>
      </c>
      <c r="AH195" s="345">
        <f>IF($A195="","",IF('Apr 2027'!J61="","",'Apr 2027'!J61))</f>
        <v/>
      </c>
      <c r="AI195" s="345">
        <f>IF($A195="","",IF('Apr 2027'!J62="","",'Apr 2027'!J62))</f>
        <v/>
      </c>
      <c r="AJ195" s="345">
        <f>IF($A195="","",IF('Apr 2027'!J63="","",'Apr 2027'!J63))</f>
        <v/>
      </c>
      <c r="AK195" s="345">
        <f>IF($A195="","",IF('Apr 2027'!J64="","",'Apr 2027'!J64))</f>
        <v/>
      </c>
      <c r="AL195" s="345">
        <f>IF($A195="","",IF('Apr 2027'!J65="","",'Apr 2027'!J65))</f>
        <v/>
      </c>
      <c r="AM195" s="345">
        <f>IF($A195="","",IF('Apr 2027'!J66="","",'Apr 2027'!J66))</f>
        <v/>
      </c>
      <c r="AN195" s="345">
        <f>IF($A195="","",IF('Apr 2027'!J67="","",'Apr 2027'!J67))</f>
        <v/>
      </c>
      <c r="AO195" s="345">
        <f>IF($A195="",0,IF(AND($A195&gt;=TrackStart,$A195&lt;=TODAY()),1,0))</f>
        <v/>
      </c>
      <c r="AP195" s="345">
        <f>IF($A195="",0,IF(SUM(F195:AE195)+COUNT(AF195:AN195)&gt;0,1,0))</f>
        <v/>
      </c>
      <c r="AQ195" s="345">
        <f>IF($A195="","",INT(($A195-TrackStart)/7)+1)</f>
        <v/>
      </c>
      <c r="AR195" s="345">
        <f>IF($A195="","",IF(AQ195&lt;=1,Steps1,IF(AQ195=2,Steps2,Steps3)))</f>
        <v/>
      </c>
      <c r="AS195" s="345">
        <f>IF($A195="",0,IF(ISNUMBER(SEARCH(TEXT(D195,"0"),WorkDays&amp;"")),1,0))</f>
        <v/>
      </c>
      <c r="AT195" s="345">
        <f>IF($A195="",0,IF(ISNUMBER(SEARCH(TEXT(D195,"0"),StrDays&amp;"")),1,0))</f>
        <v/>
      </c>
      <c r="AU195" s="345">
        <f>IF($A195="",0,IF(ISNUMBER(AK195),IF(AK195&gt;=SleepMin,1,0),N195))</f>
        <v/>
      </c>
      <c r="AV195" s="345">
        <f>IF($A195="",0,MAX(I195,O195,S195,AC195))</f>
        <v/>
      </c>
      <c r="AW195" s="345">
        <f>IF($A195="",0,IF(ISNUMBER(AH195),IF(AH195&gt;=ProtHit,1,0),0))</f>
        <v/>
      </c>
      <c r="AX195" s="345">
        <f>IF($A195="",0,IF(ISNUMBER(AI195),IF(AI195&gt;=WaterHit,1,0),0))</f>
        <v/>
      </c>
      <c r="AY195" s="345">
        <f>IF($A195="",0,IF(ISNUMBER(AG195),IF(AG195&gt;=AR195,1,0),0))</f>
        <v/>
      </c>
      <c r="AZ195" s="345">
        <f>IF($A195="",0,G195)</f>
        <v/>
      </c>
      <c r="BA195" s="345">
        <f>IF($A195="",0,J195)</f>
        <v/>
      </c>
      <c r="BB195" s="345">
        <f>IF($A195="",0,K195)</f>
        <v/>
      </c>
      <c r="BC195" s="345">
        <f>IF($A195="",0,MAX(L195,AE195))</f>
        <v/>
      </c>
      <c r="BD195" s="344">
        <f>IF($A195="","",(AU195+AV195+AW195+AX195+AY195+AZ195+BB195+BC195+IF(AS195=1,BA195,0))/(8+AS195))</f>
        <v/>
      </c>
      <c r="BE195" s="344">
        <f>IF($A195="","",(IF(ISNUMBER(AI195),IF(AI195&gt;=WaterMVD,1,0),0)+AV195+IF(ISNUMBER(AH195),IF(AH195&gt;=ProtMVD,1,0),0)+MAX(H195,AD195)+AZ195+BB195+AU195)/7)</f>
        <v/>
      </c>
      <c r="BF195" s="344">
        <f>IF(AO195=0,"",IF(E195="S","",IF(AND(AP195=0,$A195=TODAY()),"",IF(E195="M",BE195,BD195))))</f>
        <v/>
      </c>
      <c r="BG195" s="344">
        <f>IF(AO195=0,"",IFERROR(AVERAGEIFS(Data!$BF$4:$BF$375,Data!$A$4:$A$375,"&gt;"&amp;($A195-7),Data!$A$4:$A$375,"&lt;="&amp;$A195),""))</f>
        <v/>
      </c>
      <c r="BH195" s="344">
        <f>IF(AO195=0,"",IFERROR(AVERAGEIFS(Data!$BF$4:$BF$375,Data!$A$4:$A$375,"&gt;"&amp;($A195-30),Data!$A$4:$A$375,"&lt;="&amp;$A195),""))</f>
        <v/>
      </c>
      <c r="BI195" s="359">
        <f>IF($A195="","",IFERROR(AVERAGEIFS(Data!$AF$4:$AF$375,Data!$A$4:$A$375,"&gt;"&amp;($A195-7),Data!$A$4:$A$375,"&lt;="&amp;$A195,Data!$AF$4:$AF$375,"&gt;0"),""))</f>
        <v/>
      </c>
      <c r="BJ195" s="345">
        <f>IF($A195="","",F195+G195+H195+I195+J195+K195+L195+M195+N195-IF(AS195=1,0,J195))</f>
        <v/>
      </c>
      <c r="BK195" s="345">
        <f>IF($A195="","",8+AS195)</f>
        <v/>
      </c>
      <c r="BL195" s="345">
        <f>IF(ISNUMBER(BF195),BF195,NA())</f>
        <v/>
      </c>
      <c r="BM195" s="345">
        <f>IF(ISNUMBER(AF195),AF195,NA())</f>
        <v/>
      </c>
      <c r="BN195" s="345">
        <f>IF(ISNUMBER(BI195),BI195,NA())</f>
        <v/>
      </c>
      <c r="BO195" s="345">
        <f>IF(ISNUMBER(AL195),AL195,NA())</f>
        <v/>
      </c>
      <c r="BP195" s="345">
        <f>IF(ISNUMBER(AM195),AM195,NA())</f>
        <v/>
      </c>
      <c r="BQ195" s="345">
        <f>IF(ISNUMBER(AN195),AN195,NA())</f>
        <v/>
      </c>
    </row>
    <row r="196">
      <c r="A196" s="358">
        <f>IF('Apr 2027'!K7="","",'Apr 2027'!K7)</f>
        <v/>
      </c>
      <c r="B196" s="345" t="n">
        <v>7</v>
      </c>
      <c r="C196" s="345">
        <f>IF($A196="","",7)</f>
        <v/>
      </c>
      <c r="D196" s="345">
        <f>IF($A196="","",WEEKDAY($A196,2))</f>
        <v/>
      </c>
      <c r="E196" s="345">
        <f>IF($A196="","",UPPER(TRIM('Apr 2027'!K8)))</f>
        <v/>
      </c>
      <c r="F196" s="345">
        <f>IF($A196="","",IF(OR('Apr 2027'!K10=TRUE,'Apr 2027'!K10="x",'Apr 2027'!K10="X"),1,0))</f>
        <v/>
      </c>
      <c r="G196" s="345">
        <f>IF($A196="","",IF(OR('Apr 2027'!K11=TRUE,'Apr 2027'!K11="x",'Apr 2027'!K11="X"),1,0))</f>
        <v/>
      </c>
      <c r="H196" s="345">
        <f>IF($A196="","",IF(OR('Apr 2027'!K12=TRUE,'Apr 2027'!K12="x",'Apr 2027'!K12="X"),1,0))</f>
        <v/>
      </c>
      <c r="I196" s="345">
        <f>IF($A196="","",IF(OR('Apr 2027'!K13=TRUE,'Apr 2027'!K13="x",'Apr 2027'!K13="X"),1,0))</f>
        <v/>
      </c>
      <c r="J196" s="345">
        <f>IF($A196="","",IF(OR('Apr 2027'!K14=TRUE,'Apr 2027'!K14="x",'Apr 2027'!K14="X"),1,0))</f>
        <v/>
      </c>
      <c r="K196" s="345">
        <f>IF($A196="","",IF(OR('Apr 2027'!K15=TRUE,'Apr 2027'!K15="x",'Apr 2027'!K15="X"),1,0))</f>
        <v/>
      </c>
      <c r="L196" s="345">
        <f>IF($A196="","",IF(OR('Apr 2027'!K16=TRUE,'Apr 2027'!K16="x",'Apr 2027'!K16="X"),1,0))</f>
        <v/>
      </c>
      <c r="M196" s="345">
        <f>IF($A196="","",IF(OR('Apr 2027'!K17=TRUE,'Apr 2027'!K17="x",'Apr 2027'!K17="X"),1,0))</f>
        <v/>
      </c>
      <c r="N196" s="345">
        <f>IF($A196="","",IF(OR('Apr 2027'!K18=TRUE,'Apr 2027'!K18="x",'Apr 2027'!K18="X"),1,0))</f>
        <v/>
      </c>
      <c r="O196" s="345">
        <f>IF($A196="","",IF(OR('Apr 2027'!K20=TRUE,'Apr 2027'!K20="x",'Apr 2027'!K20="X"),1,0))</f>
        <v/>
      </c>
      <c r="P196" s="345">
        <f>IF($A196="","",IF(OR('Apr 2027'!K21=TRUE,'Apr 2027'!K21="x",'Apr 2027'!K21="X"),1,0))</f>
        <v/>
      </c>
      <c r="Q196" s="345">
        <f>IF($A196="","",IF(OR('Apr 2027'!K22=TRUE,'Apr 2027'!K22="x",'Apr 2027'!K22="X"),1,0))</f>
        <v/>
      </c>
      <c r="R196" s="345">
        <f>IF($A196="","",IF(OR('Apr 2027'!K23=TRUE,'Apr 2027'!K23="x",'Apr 2027'!K23="X"),1,0))</f>
        <v/>
      </c>
      <c r="S196" s="345">
        <f>IF($A196="","",IF(OR('Apr 2027'!K24=TRUE,'Apr 2027'!K24="x",'Apr 2027'!K24="X"),1,0))</f>
        <v/>
      </c>
      <c r="T196" s="345">
        <f>IF($A196="","",IF(OR('Apr 2027'!K25=TRUE,'Apr 2027'!K25="x",'Apr 2027'!K25="X"),1,0))</f>
        <v/>
      </c>
      <c r="U196" s="345">
        <f>IF($A196="","",IF(OR('Apr 2027'!K26=TRUE,'Apr 2027'!K26="x",'Apr 2027'!K26="X"),1,0))</f>
        <v/>
      </c>
      <c r="V196" s="345">
        <f>IF($A196="","",IF(OR('Apr 2027'!K27=TRUE,'Apr 2027'!K27="x",'Apr 2027'!K27="X"),1,0))</f>
        <v/>
      </c>
      <c r="W196" s="345">
        <f>IF($A196="","",IF(OR('Apr 2027'!K28=TRUE,'Apr 2027'!K28="x",'Apr 2027'!K28="X"),1,0))</f>
        <v/>
      </c>
      <c r="X196" s="345">
        <f>IF($A196="","",IF(OR('Apr 2027'!K29=TRUE,'Apr 2027'!K29="x",'Apr 2027'!K29="X"),1,0))</f>
        <v/>
      </c>
      <c r="Y196" s="345">
        <f>IF($A196="","",IF(OR('Apr 2027'!K30=TRUE,'Apr 2027'!K30="x",'Apr 2027'!K30="X"),1,0))</f>
        <v/>
      </c>
      <c r="Z196" s="345">
        <f>IF($A196="","",IF(OR('Apr 2027'!K31=TRUE,'Apr 2027'!K31="x",'Apr 2027'!K31="X"),1,0))</f>
        <v/>
      </c>
      <c r="AA196" s="345">
        <f>IF($A196="","",IF(OR('Apr 2027'!K32=TRUE,'Apr 2027'!K32="x",'Apr 2027'!K32="X"),1,0))</f>
        <v/>
      </c>
      <c r="AB196" s="345">
        <f>IF($A196="","",IF(OR('Apr 2027'!K34=TRUE,'Apr 2027'!K34="x",'Apr 2027'!K34="X"),1,0))</f>
        <v/>
      </c>
      <c r="AC196" s="345">
        <f>IF($A196="","",IF(OR('Apr 2027'!K35=TRUE,'Apr 2027'!K35="x",'Apr 2027'!K35="X"),1,0))</f>
        <v/>
      </c>
      <c r="AD196" s="345">
        <f>IF($A196="","",IF(OR('Apr 2027'!K36=TRUE,'Apr 2027'!K36="x",'Apr 2027'!K36="X"),1,0))</f>
        <v/>
      </c>
      <c r="AE196" s="345">
        <f>IF($A196="","",IF(OR('Apr 2027'!K37=TRUE,'Apr 2027'!K37="x",'Apr 2027'!K37="X"),1,0))</f>
        <v/>
      </c>
      <c r="AF196" s="345">
        <f>IF($A196="","",IF('Apr 2027'!K59="","",'Apr 2027'!K59))</f>
        <v/>
      </c>
      <c r="AG196" s="345">
        <f>IF($A196="","",IF('Apr 2027'!K60="","",'Apr 2027'!K60))</f>
        <v/>
      </c>
      <c r="AH196" s="345">
        <f>IF($A196="","",IF('Apr 2027'!K61="","",'Apr 2027'!K61))</f>
        <v/>
      </c>
      <c r="AI196" s="345">
        <f>IF($A196="","",IF('Apr 2027'!K62="","",'Apr 2027'!K62))</f>
        <v/>
      </c>
      <c r="AJ196" s="345">
        <f>IF($A196="","",IF('Apr 2027'!K63="","",'Apr 2027'!K63))</f>
        <v/>
      </c>
      <c r="AK196" s="345">
        <f>IF($A196="","",IF('Apr 2027'!K64="","",'Apr 2027'!K64))</f>
        <v/>
      </c>
      <c r="AL196" s="345">
        <f>IF($A196="","",IF('Apr 2027'!K65="","",'Apr 2027'!K65))</f>
        <v/>
      </c>
      <c r="AM196" s="345">
        <f>IF($A196="","",IF('Apr 2027'!K66="","",'Apr 2027'!K66))</f>
        <v/>
      </c>
      <c r="AN196" s="345">
        <f>IF($A196="","",IF('Apr 2027'!K67="","",'Apr 2027'!K67))</f>
        <v/>
      </c>
      <c r="AO196" s="345">
        <f>IF($A196="",0,IF(AND($A196&gt;=TrackStart,$A196&lt;=TODAY()),1,0))</f>
        <v/>
      </c>
      <c r="AP196" s="345">
        <f>IF($A196="",0,IF(SUM(F196:AE196)+COUNT(AF196:AN196)&gt;0,1,0))</f>
        <v/>
      </c>
      <c r="AQ196" s="345">
        <f>IF($A196="","",INT(($A196-TrackStart)/7)+1)</f>
        <v/>
      </c>
      <c r="AR196" s="345">
        <f>IF($A196="","",IF(AQ196&lt;=1,Steps1,IF(AQ196=2,Steps2,Steps3)))</f>
        <v/>
      </c>
      <c r="AS196" s="345">
        <f>IF($A196="",0,IF(ISNUMBER(SEARCH(TEXT(D196,"0"),WorkDays&amp;"")),1,0))</f>
        <v/>
      </c>
      <c r="AT196" s="345">
        <f>IF($A196="",0,IF(ISNUMBER(SEARCH(TEXT(D196,"0"),StrDays&amp;"")),1,0))</f>
        <v/>
      </c>
      <c r="AU196" s="345">
        <f>IF($A196="",0,IF(ISNUMBER(AK196),IF(AK196&gt;=SleepMin,1,0),N196))</f>
        <v/>
      </c>
      <c r="AV196" s="345">
        <f>IF($A196="",0,MAX(I196,O196,S196,AC196))</f>
        <v/>
      </c>
      <c r="AW196" s="345">
        <f>IF($A196="",0,IF(ISNUMBER(AH196),IF(AH196&gt;=ProtHit,1,0),0))</f>
        <v/>
      </c>
      <c r="AX196" s="345">
        <f>IF($A196="",0,IF(ISNUMBER(AI196),IF(AI196&gt;=WaterHit,1,0),0))</f>
        <v/>
      </c>
      <c r="AY196" s="345">
        <f>IF($A196="",0,IF(ISNUMBER(AG196),IF(AG196&gt;=AR196,1,0),0))</f>
        <v/>
      </c>
      <c r="AZ196" s="345">
        <f>IF($A196="",0,G196)</f>
        <v/>
      </c>
      <c r="BA196" s="345">
        <f>IF($A196="",0,J196)</f>
        <v/>
      </c>
      <c r="BB196" s="345">
        <f>IF($A196="",0,K196)</f>
        <v/>
      </c>
      <c r="BC196" s="345">
        <f>IF($A196="",0,MAX(L196,AE196))</f>
        <v/>
      </c>
      <c r="BD196" s="344">
        <f>IF($A196="","",(AU196+AV196+AW196+AX196+AY196+AZ196+BB196+BC196+IF(AS196=1,BA196,0))/(8+AS196))</f>
        <v/>
      </c>
      <c r="BE196" s="344">
        <f>IF($A196="","",(IF(ISNUMBER(AI196),IF(AI196&gt;=WaterMVD,1,0),0)+AV196+IF(ISNUMBER(AH196),IF(AH196&gt;=ProtMVD,1,0),0)+MAX(H196,AD196)+AZ196+BB196+AU196)/7)</f>
        <v/>
      </c>
      <c r="BF196" s="344">
        <f>IF(AO196=0,"",IF(E196="S","",IF(AND(AP196=0,$A196=TODAY()),"",IF(E196="M",BE196,BD196))))</f>
        <v/>
      </c>
      <c r="BG196" s="344">
        <f>IF(AO196=0,"",IFERROR(AVERAGEIFS(Data!$BF$4:$BF$375,Data!$A$4:$A$375,"&gt;"&amp;($A196-7),Data!$A$4:$A$375,"&lt;="&amp;$A196),""))</f>
        <v/>
      </c>
      <c r="BH196" s="344">
        <f>IF(AO196=0,"",IFERROR(AVERAGEIFS(Data!$BF$4:$BF$375,Data!$A$4:$A$375,"&gt;"&amp;($A196-30),Data!$A$4:$A$375,"&lt;="&amp;$A196),""))</f>
        <v/>
      </c>
      <c r="BI196" s="359">
        <f>IF($A196="","",IFERROR(AVERAGEIFS(Data!$AF$4:$AF$375,Data!$A$4:$A$375,"&gt;"&amp;($A196-7),Data!$A$4:$A$375,"&lt;="&amp;$A196,Data!$AF$4:$AF$375,"&gt;0"),""))</f>
        <v/>
      </c>
      <c r="BJ196" s="345">
        <f>IF($A196="","",F196+G196+H196+I196+J196+K196+L196+M196+N196-IF(AS196=1,0,J196))</f>
        <v/>
      </c>
      <c r="BK196" s="345">
        <f>IF($A196="","",8+AS196)</f>
        <v/>
      </c>
      <c r="BL196" s="345">
        <f>IF(ISNUMBER(BF196),BF196,NA())</f>
        <v/>
      </c>
      <c r="BM196" s="345">
        <f>IF(ISNUMBER(AF196),AF196,NA())</f>
        <v/>
      </c>
      <c r="BN196" s="345">
        <f>IF(ISNUMBER(BI196),BI196,NA())</f>
        <v/>
      </c>
      <c r="BO196" s="345">
        <f>IF(ISNUMBER(AL196),AL196,NA())</f>
        <v/>
      </c>
      <c r="BP196" s="345">
        <f>IF(ISNUMBER(AM196),AM196,NA())</f>
        <v/>
      </c>
      <c r="BQ196" s="345">
        <f>IF(ISNUMBER(AN196),AN196,NA())</f>
        <v/>
      </c>
    </row>
    <row r="197">
      <c r="A197" s="358">
        <f>IF('Apr 2027'!L7="","",'Apr 2027'!L7)</f>
        <v/>
      </c>
      <c r="B197" s="345" t="n">
        <v>7</v>
      </c>
      <c r="C197" s="345">
        <f>IF($A197="","",8)</f>
        <v/>
      </c>
      <c r="D197" s="345">
        <f>IF($A197="","",WEEKDAY($A197,2))</f>
        <v/>
      </c>
      <c r="E197" s="345">
        <f>IF($A197="","",UPPER(TRIM('Apr 2027'!L8)))</f>
        <v/>
      </c>
      <c r="F197" s="345">
        <f>IF($A197="","",IF(OR('Apr 2027'!L10=TRUE,'Apr 2027'!L10="x",'Apr 2027'!L10="X"),1,0))</f>
        <v/>
      </c>
      <c r="G197" s="345">
        <f>IF($A197="","",IF(OR('Apr 2027'!L11=TRUE,'Apr 2027'!L11="x",'Apr 2027'!L11="X"),1,0))</f>
        <v/>
      </c>
      <c r="H197" s="345">
        <f>IF($A197="","",IF(OR('Apr 2027'!L12=TRUE,'Apr 2027'!L12="x",'Apr 2027'!L12="X"),1,0))</f>
        <v/>
      </c>
      <c r="I197" s="345">
        <f>IF($A197="","",IF(OR('Apr 2027'!L13=TRUE,'Apr 2027'!L13="x",'Apr 2027'!L13="X"),1,0))</f>
        <v/>
      </c>
      <c r="J197" s="345">
        <f>IF($A197="","",IF(OR('Apr 2027'!L14=TRUE,'Apr 2027'!L14="x",'Apr 2027'!L14="X"),1,0))</f>
        <v/>
      </c>
      <c r="K197" s="345">
        <f>IF($A197="","",IF(OR('Apr 2027'!L15=TRUE,'Apr 2027'!L15="x",'Apr 2027'!L15="X"),1,0))</f>
        <v/>
      </c>
      <c r="L197" s="345">
        <f>IF($A197="","",IF(OR('Apr 2027'!L16=TRUE,'Apr 2027'!L16="x",'Apr 2027'!L16="X"),1,0))</f>
        <v/>
      </c>
      <c r="M197" s="345">
        <f>IF($A197="","",IF(OR('Apr 2027'!L17=TRUE,'Apr 2027'!L17="x",'Apr 2027'!L17="X"),1,0))</f>
        <v/>
      </c>
      <c r="N197" s="345">
        <f>IF($A197="","",IF(OR('Apr 2027'!L18=TRUE,'Apr 2027'!L18="x",'Apr 2027'!L18="X"),1,0))</f>
        <v/>
      </c>
      <c r="O197" s="345">
        <f>IF($A197="","",IF(OR('Apr 2027'!L20=TRUE,'Apr 2027'!L20="x",'Apr 2027'!L20="X"),1,0))</f>
        <v/>
      </c>
      <c r="P197" s="345">
        <f>IF($A197="","",IF(OR('Apr 2027'!L21=TRUE,'Apr 2027'!L21="x",'Apr 2027'!L21="X"),1,0))</f>
        <v/>
      </c>
      <c r="Q197" s="345">
        <f>IF($A197="","",IF(OR('Apr 2027'!L22=TRUE,'Apr 2027'!L22="x",'Apr 2027'!L22="X"),1,0))</f>
        <v/>
      </c>
      <c r="R197" s="345">
        <f>IF($A197="","",IF(OR('Apr 2027'!L23=TRUE,'Apr 2027'!L23="x",'Apr 2027'!L23="X"),1,0))</f>
        <v/>
      </c>
      <c r="S197" s="345">
        <f>IF($A197="","",IF(OR('Apr 2027'!L24=TRUE,'Apr 2027'!L24="x",'Apr 2027'!L24="X"),1,0))</f>
        <v/>
      </c>
      <c r="T197" s="345">
        <f>IF($A197="","",IF(OR('Apr 2027'!L25=TRUE,'Apr 2027'!L25="x",'Apr 2027'!L25="X"),1,0))</f>
        <v/>
      </c>
      <c r="U197" s="345">
        <f>IF($A197="","",IF(OR('Apr 2027'!L26=TRUE,'Apr 2027'!L26="x",'Apr 2027'!L26="X"),1,0))</f>
        <v/>
      </c>
      <c r="V197" s="345">
        <f>IF($A197="","",IF(OR('Apr 2027'!L27=TRUE,'Apr 2027'!L27="x",'Apr 2027'!L27="X"),1,0))</f>
        <v/>
      </c>
      <c r="W197" s="345">
        <f>IF($A197="","",IF(OR('Apr 2027'!L28=TRUE,'Apr 2027'!L28="x",'Apr 2027'!L28="X"),1,0))</f>
        <v/>
      </c>
      <c r="X197" s="345">
        <f>IF($A197="","",IF(OR('Apr 2027'!L29=TRUE,'Apr 2027'!L29="x",'Apr 2027'!L29="X"),1,0))</f>
        <v/>
      </c>
      <c r="Y197" s="345">
        <f>IF($A197="","",IF(OR('Apr 2027'!L30=TRUE,'Apr 2027'!L30="x",'Apr 2027'!L30="X"),1,0))</f>
        <v/>
      </c>
      <c r="Z197" s="345">
        <f>IF($A197="","",IF(OR('Apr 2027'!L31=TRUE,'Apr 2027'!L31="x",'Apr 2027'!L31="X"),1,0))</f>
        <v/>
      </c>
      <c r="AA197" s="345">
        <f>IF($A197="","",IF(OR('Apr 2027'!L32=TRUE,'Apr 2027'!L32="x",'Apr 2027'!L32="X"),1,0))</f>
        <v/>
      </c>
      <c r="AB197" s="345">
        <f>IF($A197="","",IF(OR('Apr 2027'!L34=TRUE,'Apr 2027'!L34="x",'Apr 2027'!L34="X"),1,0))</f>
        <v/>
      </c>
      <c r="AC197" s="345">
        <f>IF($A197="","",IF(OR('Apr 2027'!L35=TRUE,'Apr 2027'!L35="x",'Apr 2027'!L35="X"),1,0))</f>
        <v/>
      </c>
      <c r="AD197" s="345">
        <f>IF($A197="","",IF(OR('Apr 2027'!L36=TRUE,'Apr 2027'!L36="x",'Apr 2027'!L36="X"),1,0))</f>
        <v/>
      </c>
      <c r="AE197" s="345">
        <f>IF($A197="","",IF(OR('Apr 2027'!L37=TRUE,'Apr 2027'!L37="x",'Apr 2027'!L37="X"),1,0))</f>
        <v/>
      </c>
      <c r="AF197" s="345">
        <f>IF($A197="","",IF('Apr 2027'!L59="","",'Apr 2027'!L59))</f>
        <v/>
      </c>
      <c r="AG197" s="345">
        <f>IF($A197="","",IF('Apr 2027'!L60="","",'Apr 2027'!L60))</f>
        <v/>
      </c>
      <c r="AH197" s="345">
        <f>IF($A197="","",IF('Apr 2027'!L61="","",'Apr 2027'!L61))</f>
        <v/>
      </c>
      <c r="AI197" s="345">
        <f>IF($A197="","",IF('Apr 2027'!L62="","",'Apr 2027'!L62))</f>
        <v/>
      </c>
      <c r="AJ197" s="345">
        <f>IF($A197="","",IF('Apr 2027'!L63="","",'Apr 2027'!L63))</f>
        <v/>
      </c>
      <c r="AK197" s="345">
        <f>IF($A197="","",IF('Apr 2027'!L64="","",'Apr 2027'!L64))</f>
        <v/>
      </c>
      <c r="AL197" s="345">
        <f>IF($A197="","",IF('Apr 2027'!L65="","",'Apr 2027'!L65))</f>
        <v/>
      </c>
      <c r="AM197" s="345">
        <f>IF($A197="","",IF('Apr 2027'!L66="","",'Apr 2027'!L66))</f>
        <v/>
      </c>
      <c r="AN197" s="345">
        <f>IF($A197="","",IF('Apr 2027'!L67="","",'Apr 2027'!L67))</f>
        <v/>
      </c>
      <c r="AO197" s="345">
        <f>IF($A197="",0,IF(AND($A197&gt;=TrackStart,$A197&lt;=TODAY()),1,0))</f>
        <v/>
      </c>
      <c r="AP197" s="345">
        <f>IF($A197="",0,IF(SUM(F197:AE197)+COUNT(AF197:AN197)&gt;0,1,0))</f>
        <v/>
      </c>
      <c r="AQ197" s="345">
        <f>IF($A197="","",INT(($A197-TrackStart)/7)+1)</f>
        <v/>
      </c>
      <c r="AR197" s="345">
        <f>IF($A197="","",IF(AQ197&lt;=1,Steps1,IF(AQ197=2,Steps2,Steps3)))</f>
        <v/>
      </c>
      <c r="AS197" s="345">
        <f>IF($A197="",0,IF(ISNUMBER(SEARCH(TEXT(D197,"0"),WorkDays&amp;"")),1,0))</f>
        <v/>
      </c>
      <c r="AT197" s="345">
        <f>IF($A197="",0,IF(ISNUMBER(SEARCH(TEXT(D197,"0"),StrDays&amp;"")),1,0))</f>
        <v/>
      </c>
      <c r="AU197" s="345">
        <f>IF($A197="",0,IF(ISNUMBER(AK197),IF(AK197&gt;=SleepMin,1,0),N197))</f>
        <v/>
      </c>
      <c r="AV197" s="345">
        <f>IF($A197="",0,MAX(I197,O197,S197,AC197))</f>
        <v/>
      </c>
      <c r="AW197" s="345">
        <f>IF($A197="",0,IF(ISNUMBER(AH197),IF(AH197&gt;=ProtHit,1,0),0))</f>
        <v/>
      </c>
      <c r="AX197" s="345">
        <f>IF($A197="",0,IF(ISNUMBER(AI197),IF(AI197&gt;=WaterHit,1,0),0))</f>
        <v/>
      </c>
      <c r="AY197" s="345">
        <f>IF($A197="",0,IF(ISNUMBER(AG197),IF(AG197&gt;=AR197,1,0),0))</f>
        <v/>
      </c>
      <c r="AZ197" s="345">
        <f>IF($A197="",0,G197)</f>
        <v/>
      </c>
      <c r="BA197" s="345">
        <f>IF($A197="",0,J197)</f>
        <v/>
      </c>
      <c r="BB197" s="345">
        <f>IF($A197="",0,K197)</f>
        <v/>
      </c>
      <c r="BC197" s="345">
        <f>IF($A197="",0,MAX(L197,AE197))</f>
        <v/>
      </c>
      <c r="BD197" s="344">
        <f>IF($A197="","",(AU197+AV197+AW197+AX197+AY197+AZ197+BB197+BC197+IF(AS197=1,BA197,0))/(8+AS197))</f>
        <v/>
      </c>
      <c r="BE197" s="344">
        <f>IF($A197="","",(IF(ISNUMBER(AI197),IF(AI197&gt;=WaterMVD,1,0),0)+AV197+IF(ISNUMBER(AH197),IF(AH197&gt;=ProtMVD,1,0),0)+MAX(H197,AD197)+AZ197+BB197+AU197)/7)</f>
        <v/>
      </c>
      <c r="BF197" s="344">
        <f>IF(AO197=0,"",IF(E197="S","",IF(AND(AP197=0,$A197=TODAY()),"",IF(E197="M",BE197,BD197))))</f>
        <v/>
      </c>
      <c r="BG197" s="344">
        <f>IF(AO197=0,"",IFERROR(AVERAGEIFS(Data!$BF$4:$BF$375,Data!$A$4:$A$375,"&gt;"&amp;($A197-7),Data!$A$4:$A$375,"&lt;="&amp;$A197),""))</f>
        <v/>
      </c>
      <c r="BH197" s="344">
        <f>IF(AO197=0,"",IFERROR(AVERAGEIFS(Data!$BF$4:$BF$375,Data!$A$4:$A$375,"&gt;"&amp;($A197-30),Data!$A$4:$A$375,"&lt;="&amp;$A197),""))</f>
        <v/>
      </c>
      <c r="BI197" s="359">
        <f>IF($A197="","",IFERROR(AVERAGEIFS(Data!$AF$4:$AF$375,Data!$A$4:$A$375,"&gt;"&amp;($A197-7),Data!$A$4:$A$375,"&lt;="&amp;$A197,Data!$AF$4:$AF$375,"&gt;0"),""))</f>
        <v/>
      </c>
      <c r="BJ197" s="345">
        <f>IF($A197="","",F197+G197+H197+I197+J197+K197+L197+M197+N197-IF(AS197=1,0,J197))</f>
        <v/>
      </c>
      <c r="BK197" s="345">
        <f>IF($A197="","",8+AS197)</f>
        <v/>
      </c>
      <c r="BL197" s="345">
        <f>IF(ISNUMBER(BF197),BF197,NA())</f>
        <v/>
      </c>
      <c r="BM197" s="345">
        <f>IF(ISNUMBER(AF197),AF197,NA())</f>
        <v/>
      </c>
      <c r="BN197" s="345">
        <f>IF(ISNUMBER(BI197),BI197,NA())</f>
        <v/>
      </c>
      <c r="BO197" s="345">
        <f>IF(ISNUMBER(AL197),AL197,NA())</f>
        <v/>
      </c>
      <c r="BP197" s="345">
        <f>IF(ISNUMBER(AM197),AM197,NA())</f>
        <v/>
      </c>
      <c r="BQ197" s="345">
        <f>IF(ISNUMBER(AN197),AN197,NA())</f>
        <v/>
      </c>
    </row>
    <row r="198">
      <c r="A198" s="358">
        <f>IF('Apr 2027'!M7="","",'Apr 2027'!M7)</f>
        <v/>
      </c>
      <c r="B198" s="345" t="n">
        <v>7</v>
      </c>
      <c r="C198" s="345">
        <f>IF($A198="","",9)</f>
        <v/>
      </c>
      <c r="D198" s="345">
        <f>IF($A198="","",WEEKDAY($A198,2))</f>
        <v/>
      </c>
      <c r="E198" s="345">
        <f>IF($A198="","",UPPER(TRIM('Apr 2027'!M8)))</f>
        <v/>
      </c>
      <c r="F198" s="345">
        <f>IF($A198="","",IF(OR('Apr 2027'!M10=TRUE,'Apr 2027'!M10="x",'Apr 2027'!M10="X"),1,0))</f>
        <v/>
      </c>
      <c r="G198" s="345">
        <f>IF($A198="","",IF(OR('Apr 2027'!M11=TRUE,'Apr 2027'!M11="x",'Apr 2027'!M11="X"),1,0))</f>
        <v/>
      </c>
      <c r="H198" s="345">
        <f>IF($A198="","",IF(OR('Apr 2027'!M12=TRUE,'Apr 2027'!M12="x",'Apr 2027'!M12="X"),1,0))</f>
        <v/>
      </c>
      <c r="I198" s="345">
        <f>IF($A198="","",IF(OR('Apr 2027'!M13=TRUE,'Apr 2027'!M13="x",'Apr 2027'!M13="X"),1,0))</f>
        <v/>
      </c>
      <c r="J198" s="345">
        <f>IF($A198="","",IF(OR('Apr 2027'!M14=TRUE,'Apr 2027'!M14="x",'Apr 2027'!M14="X"),1,0))</f>
        <v/>
      </c>
      <c r="K198" s="345">
        <f>IF($A198="","",IF(OR('Apr 2027'!M15=TRUE,'Apr 2027'!M15="x",'Apr 2027'!M15="X"),1,0))</f>
        <v/>
      </c>
      <c r="L198" s="345">
        <f>IF($A198="","",IF(OR('Apr 2027'!M16=TRUE,'Apr 2027'!M16="x",'Apr 2027'!M16="X"),1,0))</f>
        <v/>
      </c>
      <c r="M198" s="345">
        <f>IF($A198="","",IF(OR('Apr 2027'!M17=TRUE,'Apr 2027'!M17="x",'Apr 2027'!M17="X"),1,0))</f>
        <v/>
      </c>
      <c r="N198" s="345">
        <f>IF($A198="","",IF(OR('Apr 2027'!M18=TRUE,'Apr 2027'!M18="x",'Apr 2027'!M18="X"),1,0))</f>
        <v/>
      </c>
      <c r="O198" s="345">
        <f>IF($A198="","",IF(OR('Apr 2027'!M20=TRUE,'Apr 2027'!M20="x",'Apr 2027'!M20="X"),1,0))</f>
        <v/>
      </c>
      <c r="P198" s="345">
        <f>IF($A198="","",IF(OR('Apr 2027'!M21=TRUE,'Apr 2027'!M21="x",'Apr 2027'!M21="X"),1,0))</f>
        <v/>
      </c>
      <c r="Q198" s="345">
        <f>IF($A198="","",IF(OR('Apr 2027'!M22=TRUE,'Apr 2027'!M22="x",'Apr 2027'!M22="X"),1,0))</f>
        <v/>
      </c>
      <c r="R198" s="345">
        <f>IF($A198="","",IF(OR('Apr 2027'!M23=TRUE,'Apr 2027'!M23="x",'Apr 2027'!M23="X"),1,0))</f>
        <v/>
      </c>
      <c r="S198" s="345">
        <f>IF($A198="","",IF(OR('Apr 2027'!M24=TRUE,'Apr 2027'!M24="x",'Apr 2027'!M24="X"),1,0))</f>
        <v/>
      </c>
      <c r="T198" s="345">
        <f>IF($A198="","",IF(OR('Apr 2027'!M25=TRUE,'Apr 2027'!M25="x",'Apr 2027'!M25="X"),1,0))</f>
        <v/>
      </c>
      <c r="U198" s="345">
        <f>IF($A198="","",IF(OR('Apr 2027'!M26=TRUE,'Apr 2027'!M26="x",'Apr 2027'!M26="X"),1,0))</f>
        <v/>
      </c>
      <c r="V198" s="345">
        <f>IF($A198="","",IF(OR('Apr 2027'!M27=TRUE,'Apr 2027'!M27="x",'Apr 2027'!M27="X"),1,0))</f>
        <v/>
      </c>
      <c r="W198" s="345">
        <f>IF($A198="","",IF(OR('Apr 2027'!M28=TRUE,'Apr 2027'!M28="x",'Apr 2027'!M28="X"),1,0))</f>
        <v/>
      </c>
      <c r="X198" s="345">
        <f>IF($A198="","",IF(OR('Apr 2027'!M29=TRUE,'Apr 2027'!M29="x",'Apr 2027'!M29="X"),1,0))</f>
        <v/>
      </c>
      <c r="Y198" s="345">
        <f>IF($A198="","",IF(OR('Apr 2027'!M30=TRUE,'Apr 2027'!M30="x",'Apr 2027'!M30="X"),1,0))</f>
        <v/>
      </c>
      <c r="Z198" s="345">
        <f>IF($A198="","",IF(OR('Apr 2027'!M31=TRUE,'Apr 2027'!M31="x",'Apr 2027'!M31="X"),1,0))</f>
        <v/>
      </c>
      <c r="AA198" s="345">
        <f>IF($A198="","",IF(OR('Apr 2027'!M32=TRUE,'Apr 2027'!M32="x",'Apr 2027'!M32="X"),1,0))</f>
        <v/>
      </c>
      <c r="AB198" s="345">
        <f>IF($A198="","",IF(OR('Apr 2027'!M34=TRUE,'Apr 2027'!M34="x",'Apr 2027'!M34="X"),1,0))</f>
        <v/>
      </c>
      <c r="AC198" s="345">
        <f>IF($A198="","",IF(OR('Apr 2027'!M35=TRUE,'Apr 2027'!M35="x",'Apr 2027'!M35="X"),1,0))</f>
        <v/>
      </c>
      <c r="AD198" s="345">
        <f>IF($A198="","",IF(OR('Apr 2027'!M36=TRUE,'Apr 2027'!M36="x",'Apr 2027'!M36="X"),1,0))</f>
        <v/>
      </c>
      <c r="AE198" s="345">
        <f>IF($A198="","",IF(OR('Apr 2027'!M37=TRUE,'Apr 2027'!M37="x",'Apr 2027'!M37="X"),1,0))</f>
        <v/>
      </c>
      <c r="AF198" s="345">
        <f>IF($A198="","",IF('Apr 2027'!M59="","",'Apr 2027'!M59))</f>
        <v/>
      </c>
      <c r="AG198" s="345">
        <f>IF($A198="","",IF('Apr 2027'!M60="","",'Apr 2027'!M60))</f>
        <v/>
      </c>
      <c r="AH198" s="345">
        <f>IF($A198="","",IF('Apr 2027'!M61="","",'Apr 2027'!M61))</f>
        <v/>
      </c>
      <c r="AI198" s="345">
        <f>IF($A198="","",IF('Apr 2027'!M62="","",'Apr 2027'!M62))</f>
        <v/>
      </c>
      <c r="AJ198" s="345">
        <f>IF($A198="","",IF('Apr 2027'!M63="","",'Apr 2027'!M63))</f>
        <v/>
      </c>
      <c r="AK198" s="345">
        <f>IF($A198="","",IF('Apr 2027'!M64="","",'Apr 2027'!M64))</f>
        <v/>
      </c>
      <c r="AL198" s="345">
        <f>IF($A198="","",IF('Apr 2027'!M65="","",'Apr 2027'!M65))</f>
        <v/>
      </c>
      <c r="AM198" s="345">
        <f>IF($A198="","",IF('Apr 2027'!M66="","",'Apr 2027'!M66))</f>
        <v/>
      </c>
      <c r="AN198" s="345">
        <f>IF($A198="","",IF('Apr 2027'!M67="","",'Apr 2027'!M67))</f>
        <v/>
      </c>
      <c r="AO198" s="345">
        <f>IF($A198="",0,IF(AND($A198&gt;=TrackStart,$A198&lt;=TODAY()),1,0))</f>
        <v/>
      </c>
      <c r="AP198" s="345">
        <f>IF($A198="",0,IF(SUM(F198:AE198)+COUNT(AF198:AN198)&gt;0,1,0))</f>
        <v/>
      </c>
      <c r="AQ198" s="345">
        <f>IF($A198="","",INT(($A198-TrackStart)/7)+1)</f>
        <v/>
      </c>
      <c r="AR198" s="345">
        <f>IF($A198="","",IF(AQ198&lt;=1,Steps1,IF(AQ198=2,Steps2,Steps3)))</f>
        <v/>
      </c>
      <c r="AS198" s="345">
        <f>IF($A198="",0,IF(ISNUMBER(SEARCH(TEXT(D198,"0"),WorkDays&amp;"")),1,0))</f>
        <v/>
      </c>
      <c r="AT198" s="345">
        <f>IF($A198="",0,IF(ISNUMBER(SEARCH(TEXT(D198,"0"),StrDays&amp;"")),1,0))</f>
        <v/>
      </c>
      <c r="AU198" s="345">
        <f>IF($A198="",0,IF(ISNUMBER(AK198),IF(AK198&gt;=SleepMin,1,0),N198))</f>
        <v/>
      </c>
      <c r="AV198" s="345">
        <f>IF($A198="",0,MAX(I198,O198,S198,AC198))</f>
        <v/>
      </c>
      <c r="AW198" s="345">
        <f>IF($A198="",0,IF(ISNUMBER(AH198),IF(AH198&gt;=ProtHit,1,0),0))</f>
        <v/>
      </c>
      <c r="AX198" s="345">
        <f>IF($A198="",0,IF(ISNUMBER(AI198),IF(AI198&gt;=WaterHit,1,0),0))</f>
        <v/>
      </c>
      <c r="AY198" s="345">
        <f>IF($A198="",0,IF(ISNUMBER(AG198),IF(AG198&gt;=AR198,1,0),0))</f>
        <v/>
      </c>
      <c r="AZ198" s="345">
        <f>IF($A198="",0,G198)</f>
        <v/>
      </c>
      <c r="BA198" s="345">
        <f>IF($A198="",0,J198)</f>
        <v/>
      </c>
      <c r="BB198" s="345">
        <f>IF($A198="",0,K198)</f>
        <v/>
      </c>
      <c r="BC198" s="345">
        <f>IF($A198="",0,MAX(L198,AE198))</f>
        <v/>
      </c>
      <c r="BD198" s="344">
        <f>IF($A198="","",(AU198+AV198+AW198+AX198+AY198+AZ198+BB198+BC198+IF(AS198=1,BA198,0))/(8+AS198))</f>
        <v/>
      </c>
      <c r="BE198" s="344">
        <f>IF($A198="","",(IF(ISNUMBER(AI198),IF(AI198&gt;=WaterMVD,1,0),0)+AV198+IF(ISNUMBER(AH198),IF(AH198&gt;=ProtMVD,1,0),0)+MAX(H198,AD198)+AZ198+BB198+AU198)/7)</f>
        <v/>
      </c>
      <c r="BF198" s="344">
        <f>IF(AO198=0,"",IF(E198="S","",IF(AND(AP198=0,$A198=TODAY()),"",IF(E198="M",BE198,BD198))))</f>
        <v/>
      </c>
      <c r="BG198" s="344">
        <f>IF(AO198=0,"",IFERROR(AVERAGEIFS(Data!$BF$4:$BF$375,Data!$A$4:$A$375,"&gt;"&amp;($A198-7),Data!$A$4:$A$375,"&lt;="&amp;$A198),""))</f>
        <v/>
      </c>
      <c r="BH198" s="344">
        <f>IF(AO198=0,"",IFERROR(AVERAGEIFS(Data!$BF$4:$BF$375,Data!$A$4:$A$375,"&gt;"&amp;($A198-30),Data!$A$4:$A$375,"&lt;="&amp;$A198),""))</f>
        <v/>
      </c>
      <c r="BI198" s="359">
        <f>IF($A198="","",IFERROR(AVERAGEIFS(Data!$AF$4:$AF$375,Data!$A$4:$A$375,"&gt;"&amp;($A198-7),Data!$A$4:$A$375,"&lt;="&amp;$A198,Data!$AF$4:$AF$375,"&gt;0"),""))</f>
        <v/>
      </c>
      <c r="BJ198" s="345">
        <f>IF($A198="","",F198+G198+H198+I198+J198+K198+L198+M198+N198-IF(AS198=1,0,J198))</f>
        <v/>
      </c>
      <c r="BK198" s="345">
        <f>IF($A198="","",8+AS198)</f>
        <v/>
      </c>
      <c r="BL198" s="345">
        <f>IF(ISNUMBER(BF198),BF198,NA())</f>
        <v/>
      </c>
      <c r="BM198" s="345">
        <f>IF(ISNUMBER(AF198),AF198,NA())</f>
        <v/>
      </c>
      <c r="BN198" s="345">
        <f>IF(ISNUMBER(BI198),BI198,NA())</f>
        <v/>
      </c>
      <c r="BO198" s="345">
        <f>IF(ISNUMBER(AL198),AL198,NA())</f>
        <v/>
      </c>
      <c r="BP198" s="345">
        <f>IF(ISNUMBER(AM198),AM198,NA())</f>
        <v/>
      </c>
      <c r="BQ198" s="345">
        <f>IF(ISNUMBER(AN198),AN198,NA())</f>
        <v/>
      </c>
    </row>
    <row r="199">
      <c r="A199" s="358">
        <f>IF('Apr 2027'!N7="","",'Apr 2027'!N7)</f>
        <v/>
      </c>
      <c r="B199" s="345" t="n">
        <v>7</v>
      </c>
      <c r="C199" s="345">
        <f>IF($A199="","",10)</f>
        <v/>
      </c>
      <c r="D199" s="345">
        <f>IF($A199="","",WEEKDAY($A199,2))</f>
        <v/>
      </c>
      <c r="E199" s="345">
        <f>IF($A199="","",UPPER(TRIM('Apr 2027'!N8)))</f>
        <v/>
      </c>
      <c r="F199" s="345">
        <f>IF($A199="","",IF(OR('Apr 2027'!N10=TRUE,'Apr 2027'!N10="x",'Apr 2027'!N10="X"),1,0))</f>
        <v/>
      </c>
      <c r="G199" s="345">
        <f>IF($A199="","",IF(OR('Apr 2027'!N11=TRUE,'Apr 2027'!N11="x",'Apr 2027'!N11="X"),1,0))</f>
        <v/>
      </c>
      <c r="H199" s="345">
        <f>IF($A199="","",IF(OR('Apr 2027'!N12=TRUE,'Apr 2027'!N12="x",'Apr 2027'!N12="X"),1,0))</f>
        <v/>
      </c>
      <c r="I199" s="345">
        <f>IF($A199="","",IF(OR('Apr 2027'!N13=TRUE,'Apr 2027'!N13="x",'Apr 2027'!N13="X"),1,0))</f>
        <v/>
      </c>
      <c r="J199" s="345">
        <f>IF($A199="","",IF(OR('Apr 2027'!N14=TRUE,'Apr 2027'!N14="x",'Apr 2027'!N14="X"),1,0))</f>
        <v/>
      </c>
      <c r="K199" s="345">
        <f>IF($A199="","",IF(OR('Apr 2027'!N15=TRUE,'Apr 2027'!N15="x",'Apr 2027'!N15="X"),1,0))</f>
        <v/>
      </c>
      <c r="L199" s="345">
        <f>IF($A199="","",IF(OR('Apr 2027'!N16=TRUE,'Apr 2027'!N16="x",'Apr 2027'!N16="X"),1,0))</f>
        <v/>
      </c>
      <c r="M199" s="345">
        <f>IF($A199="","",IF(OR('Apr 2027'!N17=TRUE,'Apr 2027'!N17="x",'Apr 2027'!N17="X"),1,0))</f>
        <v/>
      </c>
      <c r="N199" s="345">
        <f>IF($A199="","",IF(OR('Apr 2027'!N18=TRUE,'Apr 2027'!N18="x",'Apr 2027'!N18="X"),1,0))</f>
        <v/>
      </c>
      <c r="O199" s="345">
        <f>IF($A199="","",IF(OR('Apr 2027'!N20=TRUE,'Apr 2027'!N20="x",'Apr 2027'!N20="X"),1,0))</f>
        <v/>
      </c>
      <c r="P199" s="345">
        <f>IF($A199="","",IF(OR('Apr 2027'!N21=TRUE,'Apr 2027'!N21="x",'Apr 2027'!N21="X"),1,0))</f>
        <v/>
      </c>
      <c r="Q199" s="345">
        <f>IF($A199="","",IF(OR('Apr 2027'!N22=TRUE,'Apr 2027'!N22="x",'Apr 2027'!N22="X"),1,0))</f>
        <v/>
      </c>
      <c r="R199" s="345">
        <f>IF($A199="","",IF(OR('Apr 2027'!N23=TRUE,'Apr 2027'!N23="x",'Apr 2027'!N23="X"),1,0))</f>
        <v/>
      </c>
      <c r="S199" s="345">
        <f>IF($A199="","",IF(OR('Apr 2027'!N24=TRUE,'Apr 2027'!N24="x",'Apr 2027'!N24="X"),1,0))</f>
        <v/>
      </c>
      <c r="T199" s="345">
        <f>IF($A199="","",IF(OR('Apr 2027'!N25=TRUE,'Apr 2027'!N25="x",'Apr 2027'!N25="X"),1,0))</f>
        <v/>
      </c>
      <c r="U199" s="345">
        <f>IF($A199="","",IF(OR('Apr 2027'!N26=TRUE,'Apr 2027'!N26="x",'Apr 2027'!N26="X"),1,0))</f>
        <v/>
      </c>
      <c r="V199" s="345">
        <f>IF($A199="","",IF(OR('Apr 2027'!N27=TRUE,'Apr 2027'!N27="x",'Apr 2027'!N27="X"),1,0))</f>
        <v/>
      </c>
      <c r="W199" s="345">
        <f>IF($A199="","",IF(OR('Apr 2027'!N28=TRUE,'Apr 2027'!N28="x",'Apr 2027'!N28="X"),1,0))</f>
        <v/>
      </c>
      <c r="X199" s="345">
        <f>IF($A199="","",IF(OR('Apr 2027'!N29=TRUE,'Apr 2027'!N29="x",'Apr 2027'!N29="X"),1,0))</f>
        <v/>
      </c>
      <c r="Y199" s="345">
        <f>IF($A199="","",IF(OR('Apr 2027'!N30=TRUE,'Apr 2027'!N30="x",'Apr 2027'!N30="X"),1,0))</f>
        <v/>
      </c>
      <c r="Z199" s="345">
        <f>IF($A199="","",IF(OR('Apr 2027'!N31=TRUE,'Apr 2027'!N31="x",'Apr 2027'!N31="X"),1,0))</f>
        <v/>
      </c>
      <c r="AA199" s="345">
        <f>IF($A199="","",IF(OR('Apr 2027'!N32=TRUE,'Apr 2027'!N32="x",'Apr 2027'!N32="X"),1,0))</f>
        <v/>
      </c>
      <c r="AB199" s="345">
        <f>IF($A199="","",IF(OR('Apr 2027'!N34=TRUE,'Apr 2027'!N34="x",'Apr 2027'!N34="X"),1,0))</f>
        <v/>
      </c>
      <c r="AC199" s="345">
        <f>IF($A199="","",IF(OR('Apr 2027'!N35=TRUE,'Apr 2027'!N35="x",'Apr 2027'!N35="X"),1,0))</f>
        <v/>
      </c>
      <c r="AD199" s="345">
        <f>IF($A199="","",IF(OR('Apr 2027'!N36=TRUE,'Apr 2027'!N36="x",'Apr 2027'!N36="X"),1,0))</f>
        <v/>
      </c>
      <c r="AE199" s="345">
        <f>IF($A199="","",IF(OR('Apr 2027'!N37=TRUE,'Apr 2027'!N37="x",'Apr 2027'!N37="X"),1,0))</f>
        <v/>
      </c>
      <c r="AF199" s="345">
        <f>IF($A199="","",IF('Apr 2027'!N59="","",'Apr 2027'!N59))</f>
        <v/>
      </c>
      <c r="AG199" s="345">
        <f>IF($A199="","",IF('Apr 2027'!N60="","",'Apr 2027'!N60))</f>
        <v/>
      </c>
      <c r="AH199" s="345">
        <f>IF($A199="","",IF('Apr 2027'!N61="","",'Apr 2027'!N61))</f>
        <v/>
      </c>
      <c r="AI199" s="345">
        <f>IF($A199="","",IF('Apr 2027'!N62="","",'Apr 2027'!N62))</f>
        <v/>
      </c>
      <c r="AJ199" s="345">
        <f>IF($A199="","",IF('Apr 2027'!N63="","",'Apr 2027'!N63))</f>
        <v/>
      </c>
      <c r="AK199" s="345">
        <f>IF($A199="","",IF('Apr 2027'!N64="","",'Apr 2027'!N64))</f>
        <v/>
      </c>
      <c r="AL199" s="345">
        <f>IF($A199="","",IF('Apr 2027'!N65="","",'Apr 2027'!N65))</f>
        <v/>
      </c>
      <c r="AM199" s="345">
        <f>IF($A199="","",IF('Apr 2027'!N66="","",'Apr 2027'!N66))</f>
        <v/>
      </c>
      <c r="AN199" s="345">
        <f>IF($A199="","",IF('Apr 2027'!N67="","",'Apr 2027'!N67))</f>
        <v/>
      </c>
      <c r="AO199" s="345">
        <f>IF($A199="",0,IF(AND($A199&gt;=TrackStart,$A199&lt;=TODAY()),1,0))</f>
        <v/>
      </c>
      <c r="AP199" s="345">
        <f>IF($A199="",0,IF(SUM(F199:AE199)+COUNT(AF199:AN199)&gt;0,1,0))</f>
        <v/>
      </c>
      <c r="AQ199" s="345">
        <f>IF($A199="","",INT(($A199-TrackStart)/7)+1)</f>
        <v/>
      </c>
      <c r="AR199" s="345">
        <f>IF($A199="","",IF(AQ199&lt;=1,Steps1,IF(AQ199=2,Steps2,Steps3)))</f>
        <v/>
      </c>
      <c r="AS199" s="345">
        <f>IF($A199="",0,IF(ISNUMBER(SEARCH(TEXT(D199,"0"),WorkDays&amp;"")),1,0))</f>
        <v/>
      </c>
      <c r="AT199" s="345">
        <f>IF($A199="",0,IF(ISNUMBER(SEARCH(TEXT(D199,"0"),StrDays&amp;"")),1,0))</f>
        <v/>
      </c>
      <c r="AU199" s="345">
        <f>IF($A199="",0,IF(ISNUMBER(AK199),IF(AK199&gt;=SleepMin,1,0),N199))</f>
        <v/>
      </c>
      <c r="AV199" s="345">
        <f>IF($A199="",0,MAX(I199,O199,S199,AC199))</f>
        <v/>
      </c>
      <c r="AW199" s="345">
        <f>IF($A199="",0,IF(ISNUMBER(AH199),IF(AH199&gt;=ProtHit,1,0),0))</f>
        <v/>
      </c>
      <c r="AX199" s="345">
        <f>IF($A199="",0,IF(ISNUMBER(AI199),IF(AI199&gt;=WaterHit,1,0),0))</f>
        <v/>
      </c>
      <c r="AY199" s="345">
        <f>IF($A199="",0,IF(ISNUMBER(AG199),IF(AG199&gt;=AR199,1,0),0))</f>
        <v/>
      </c>
      <c r="AZ199" s="345">
        <f>IF($A199="",0,G199)</f>
        <v/>
      </c>
      <c r="BA199" s="345">
        <f>IF($A199="",0,J199)</f>
        <v/>
      </c>
      <c r="BB199" s="345">
        <f>IF($A199="",0,K199)</f>
        <v/>
      </c>
      <c r="BC199" s="345">
        <f>IF($A199="",0,MAX(L199,AE199))</f>
        <v/>
      </c>
      <c r="BD199" s="344">
        <f>IF($A199="","",(AU199+AV199+AW199+AX199+AY199+AZ199+BB199+BC199+IF(AS199=1,BA199,0))/(8+AS199))</f>
        <v/>
      </c>
      <c r="BE199" s="344">
        <f>IF($A199="","",(IF(ISNUMBER(AI199),IF(AI199&gt;=WaterMVD,1,0),0)+AV199+IF(ISNUMBER(AH199),IF(AH199&gt;=ProtMVD,1,0),0)+MAX(H199,AD199)+AZ199+BB199+AU199)/7)</f>
        <v/>
      </c>
      <c r="BF199" s="344">
        <f>IF(AO199=0,"",IF(E199="S","",IF(AND(AP199=0,$A199=TODAY()),"",IF(E199="M",BE199,BD199))))</f>
        <v/>
      </c>
      <c r="BG199" s="344">
        <f>IF(AO199=0,"",IFERROR(AVERAGEIFS(Data!$BF$4:$BF$375,Data!$A$4:$A$375,"&gt;"&amp;($A199-7),Data!$A$4:$A$375,"&lt;="&amp;$A199),""))</f>
        <v/>
      </c>
      <c r="BH199" s="344">
        <f>IF(AO199=0,"",IFERROR(AVERAGEIFS(Data!$BF$4:$BF$375,Data!$A$4:$A$375,"&gt;"&amp;($A199-30),Data!$A$4:$A$375,"&lt;="&amp;$A199),""))</f>
        <v/>
      </c>
      <c r="BI199" s="359">
        <f>IF($A199="","",IFERROR(AVERAGEIFS(Data!$AF$4:$AF$375,Data!$A$4:$A$375,"&gt;"&amp;($A199-7),Data!$A$4:$A$375,"&lt;="&amp;$A199,Data!$AF$4:$AF$375,"&gt;0"),""))</f>
        <v/>
      </c>
      <c r="BJ199" s="345">
        <f>IF($A199="","",F199+G199+H199+I199+J199+K199+L199+M199+N199-IF(AS199=1,0,J199))</f>
        <v/>
      </c>
      <c r="BK199" s="345">
        <f>IF($A199="","",8+AS199)</f>
        <v/>
      </c>
      <c r="BL199" s="345">
        <f>IF(ISNUMBER(BF199),BF199,NA())</f>
        <v/>
      </c>
      <c r="BM199" s="345">
        <f>IF(ISNUMBER(AF199),AF199,NA())</f>
        <v/>
      </c>
      <c r="BN199" s="345">
        <f>IF(ISNUMBER(BI199),BI199,NA())</f>
        <v/>
      </c>
      <c r="BO199" s="345">
        <f>IF(ISNUMBER(AL199),AL199,NA())</f>
        <v/>
      </c>
      <c r="BP199" s="345">
        <f>IF(ISNUMBER(AM199),AM199,NA())</f>
        <v/>
      </c>
      <c r="BQ199" s="345">
        <f>IF(ISNUMBER(AN199),AN199,NA())</f>
        <v/>
      </c>
    </row>
    <row r="200">
      <c r="A200" s="358">
        <f>IF('Apr 2027'!O7="","",'Apr 2027'!O7)</f>
        <v/>
      </c>
      <c r="B200" s="345" t="n">
        <v>7</v>
      </c>
      <c r="C200" s="345">
        <f>IF($A200="","",11)</f>
        <v/>
      </c>
      <c r="D200" s="345">
        <f>IF($A200="","",WEEKDAY($A200,2))</f>
        <v/>
      </c>
      <c r="E200" s="345">
        <f>IF($A200="","",UPPER(TRIM('Apr 2027'!O8)))</f>
        <v/>
      </c>
      <c r="F200" s="345">
        <f>IF($A200="","",IF(OR('Apr 2027'!O10=TRUE,'Apr 2027'!O10="x",'Apr 2027'!O10="X"),1,0))</f>
        <v/>
      </c>
      <c r="G200" s="345">
        <f>IF($A200="","",IF(OR('Apr 2027'!O11=TRUE,'Apr 2027'!O11="x",'Apr 2027'!O11="X"),1,0))</f>
        <v/>
      </c>
      <c r="H200" s="345">
        <f>IF($A200="","",IF(OR('Apr 2027'!O12=TRUE,'Apr 2027'!O12="x",'Apr 2027'!O12="X"),1,0))</f>
        <v/>
      </c>
      <c r="I200" s="345">
        <f>IF($A200="","",IF(OR('Apr 2027'!O13=TRUE,'Apr 2027'!O13="x",'Apr 2027'!O13="X"),1,0))</f>
        <v/>
      </c>
      <c r="J200" s="345">
        <f>IF($A200="","",IF(OR('Apr 2027'!O14=TRUE,'Apr 2027'!O14="x",'Apr 2027'!O14="X"),1,0))</f>
        <v/>
      </c>
      <c r="K200" s="345">
        <f>IF($A200="","",IF(OR('Apr 2027'!O15=TRUE,'Apr 2027'!O15="x",'Apr 2027'!O15="X"),1,0))</f>
        <v/>
      </c>
      <c r="L200" s="345">
        <f>IF($A200="","",IF(OR('Apr 2027'!O16=TRUE,'Apr 2027'!O16="x",'Apr 2027'!O16="X"),1,0))</f>
        <v/>
      </c>
      <c r="M200" s="345">
        <f>IF($A200="","",IF(OR('Apr 2027'!O17=TRUE,'Apr 2027'!O17="x",'Apr 2027'!O17="X"),1,0))</f>
        <v/>
      </c>
      <c r="N200" s="345">
        <f>IF($A200="","",IF(OR('Apr 2027'!O18=TRUE,'Apr 2027'!O18="x",'Apr 2027'!O18="X"),1,0))</f>
        <v/>
      </c>
      <c r="O200" s="345">
        <f>IF($A200="","",IF(OR('Apr 2027'!O20=TRUE,'Apr 2027'!O20="x",'Apr 2027'!O20="X"),1,0))</f>
        <v/>
      </c>
      <c r="P200" s="345">
        <f>IF($A200="","",IF(OR('Apr 2027'!O21=TRUE,'Apr 2027'!O21="x",'Apr 2027'!O21="X"),1,0))</f>
        <v/>
      </c>
      <c r="Q200" s="345">
        <f>IF($A200="","",IF(OR('Apr 2027'!O22=TRUE,'Apr 2027'!O22="x",'Apr 2027'!O22="X"),1,0))</f>
        <v/>
      </c>
      <c r="R200" s="345">
        <f>IF($A200="","",IF(OR('Apr 2027'!O23=TRUE,'Apr 2027'!O23="x",'Apr 2027'!O23="X"),1,0))</f>
        <v/>
      </c>
      <c r="S200" s="345">
        <f>IF($A200="","",IF(OR('Apr 2027'!O24=TRUE,'Apr 2027'!O24="x",'Apr 2027'!O24="X"),1,0))</f>
        <v/>
      </c>
      <c r="T200" s="345">
        <f>IF($A200="","",IF(OR('Apr 2027'!O25=TRUE,'Apr 2027'!O25="x",'Apr 2027'!O25="X"),1,0))</f>
        <v/>
      </c>
      <c r="U200" s="345">
        <f>IF($A200="","",IF(OR('Apr 2027'!O26=TRUE,'Apr 2027'!O26="x",'Apr 2027'!O26="X"),1,0))</f>
        <v/>
      </c>
      <c r="V200" s="345">
        <f>IF($A200="","",IF(OR('Apr 2027'!O27=TRUE,'Apr 2027'!O27="x",'Apr 2027'!O27="X"),1,0))</f>
        <v/>
      </c>
      <c r="W200" s="345">
        <f>IF($A200="","",IF(OR('Apr 2027'!O28=TRUE,'Apr 2027'!O28="x",'Apr 2027'!O28="X"),1,0))</f>
        <v/>
      </c>
      <c r="X200" s="345">
        <f>IF($A200="","",IF(OR('Apr 2027'!O29=TRUE,'Apr 2027'!O29="x",'Apr 2027'!O29="X"),1,0))</f>
        <v/>
      </c>
      <c r="Y200" s="345">
        <f>IF($A200="","",IF(OR('Apr 2027'!O30=TRUE,'Apr 2027'!O30="x",'Apr 2027'!O30="X"),1,0))</f>
        <v/>
      </c>
      <c r="Z200" s="345">
        <f>IF($A200="","",IF(OR('Apr 2027'!O31=TRUE,'Apr 2027'!O31="x",'Apr 2027'!O31="X"),1,0))</f>
        <v/>
      </c>
      <c r="AA200" s="345">
        <f>IF($A200="","",IF(OR('Apr 2027'!O32=TRUE,'Apr 2027'!O32="x",'Apr 2027'!O32="X"),1,0))</f>
        <v/>
      </c>
      <c r="AB200" s="345">
        <f>IF($A200="","",IF(OR('Apr 2027'!O34=TRUE,'Apr 2027'!O34="x",'Apr 2027'!O34="X"),1,0))</f>
        <v/>
      </c>
      <c r="AC200" s="345">
        <f>IF($A200="","",IF(OR('Apr 2027'!O35=TRUE,'Apr 2027'!O35="x",'Apr 2027'!O35="X"),1,0))</f>
        <v/>
      </c>
      <c r="AD200" s="345">
        <f>IF($A200="","",IF(OR('Apr 2027'!O36=TRUE,'Apr 2027'!O36="x",'Apr 2027'!O36="X"),1,0))</f>
        <v/>
      </c>
      <c r="AE200" s="345">
        <f>IF($A200="","",IF(OR('Apr 2027'!O37=TRUE,'Apr 2027'!O37="x",'Apr 2027'!O37="X"),1,0))</f>
        <v/>
      </c>
      <c r="AF200" s="345">
        <f>IF($A200="","",IF('Apr 2027'!O59="","",'Apr 2027'!O59))</f>
        <v/>
      </c>
      <c r="AG200" s="345">
        <f>IF($A200="","",IF('Apr 2027'!O60="","",'Apr 2027'!O60))</f>
        <v/>
      </c>
      <c r="AH200" s="345">
        <f>IF($A200="","",IF('Apr 2027'!O61="","",'Apr 2027'!O61))</f>
        <v/>
      </c>
      <c r="AI200" s="345">
        <f>IF($A200="","",IF('Apr 2027'!O62="","",'Apr 2027'!O62))</f>
        <v/>
      </c>
      <c r="AJ200" s="345">
        <f>IF($A200="","",IF('Apr 2027'!O63="","",'Apr 2027'!O63))</f>
        <v/>
      </c>
      <c r="AK200" s="345">
        <f>IF($A200="","",IF('Apr 2027'!O64="","",'Apr 2027'!O64))</f>
        <v/>
      </c>
      <c r="AL200" s="345">
        <f>IF($A200="","",IF('Apr 2027'!O65="","",'Apr 2027'!O65))</f>
        <v/>
      </c>
      <c r="AM200" s="345">
        <f>IF($A200="","",IF('Apr 2027'!O66="","",'Apr 2027'!O66))</f>
        <v/>
      </c>
      <c r="AN200" s="345">
        <f>IF($A200="","",IF('Apr 2027'!O67="","",'Apr 2027'!O67))</f>
        <v/>
      </c>
      <c r="AO200" s="345">
        <f>IF($A200="",0,IF(AND($A200&gt;=TrackStart,$A200&lt;=TODAY()),1,0))</f>
        <v/>
      </c>
      <c r="AP200" s="345">
        <f>IF($A200="",0,IF(SUM(F200:AE200)+COUNT(AF200:AN200)&gt;0,1,0))</f>
        <v/>
      </c>
      <c r="AQ200" s="345">
        <f>IF($A200="","",INT(($A200-TrackStart)/7)+1)</f>
        <v/>
      </c>
      <c r="AR200" s="345">
        <f>IF($A200="","",IF(AQ200&lt;=1,Steps1,IF(AQ200=2,Steps2,Steps3)))</f>
        <v/>
      </c>
      <c r="AS200" s="345">
        <f>IF($A200="",0,IF(ISNUMBER(SEARCH(TEXT(D200,"0"),WorkDays&amp;"")),1,0))</f>
        <v/>
      </c>
      <c r="AT200" s="345">
        <f>IF($A200="",0,IF(ISNUMBER(SEARCH(TEXT(D200,"0"),StrDays&amp;"")),1,0))</f>
        <v/>
      </c>
      <c r="AU200" s="345">
        <f>IF($A200="",0,IF(ISNUMBER(AK200),IF(AK200&gt;=SleepMin,1,0),N200))</f>
        <v/>
      </c>
      <c r="AV200" s="345">
        <f>IF($A200="",0,MAX(I200,O200,S200,AC200))</f>
        <v/>
      </c>
      <c r="AW200" s="345">
        <f>IF($A200="",0,IF(ISNUMBER(AH200),IF(AH200&gt;=ProtHit,1,0),0))</f>
        <v/>
      </c>
      <c r="AX200" s="345">
        <f>IF($A200="",0,IF(ISNUMBER(AI200),IF(AI200&gt;=WaterHit,1,0),0))</f>
        <v/>
      </c>
      <c r="AY200" s="345">
        <f>IF($A200="",0,IF(ISNUMBER(AG200),IF(AG200&gt;=AR200,1,0),0))</f>
        <v/>
      </c>
      <c r="AZ200" s="345">
        <f>IF($A200="",0,G200)</f>
        <v/>
      </c>
      <c r="BA200" s="345">
        <f>IF($A200="",0,J200)</f>
        <v/>
      </c>
      <c r="BB200" s="345">
        <f>IF($A200="",0,K200)</f>
        <v/>
      </c>
      <c r="BC200" s="345">
        <f>IF($A200="",0,MAX(L200,AE200))</f>
        <v/>
      </c>
      <c r="BD200" s="344">
        <f>IF($A200="","",(AU200+AV200+AW200+AX200+AY200+AZ200+BB200+BC200+IF(AS200=1,BA200,0))/(8+AS200))</f>
        <v/>
      </c>
      <c r="BE200" s="344">
        <f>IF($A200="","",(IF(ISNUMBER(AI200),IF(AI200&gt;=WaterMVD,1,0),0)+AV200+IF(ISNUMBER(AH200),IF(AH200&gt;=ProtMVD,1,0),0)+MAX(H200,AD200)+AZ200+BB200+AU200)/7)</f>
        <v/>
      </c>
      <c r="BF200" s="344">
        <f>IF(AO200=0,"",IF(E200="S","",IF(AND(AP200=0,$A200=TODAY()),"",IF(E200="M",BE200,BD200))))</f>
        <v/>
      </c>
      <c r="BG200" s="344">
        <f>IF(AO200=0,"",IFERROR(AVERAGEIFS(Data!$BF$4:$BF$375,Data!$A$4:$A$375,"&gt;"&amp;($A200-7),Data!$A$4:$A$375,"&lt;="&amp;$A200),""))</f>
        <v/>
      </c>
      <c r="BH200" s="344">
        <f>IF(AO200=0,"",IFERROR(AVERAGEIFS(Data!$BF$4:$BF$375,Data!$A$4:$A$375,"&gt;"&amp;($A200-30),Data!$A$4:$A$375,"&lt;="&amp;$A200),""))</f>
        <v/>
      </c>
      <c r="BI200" s="359">
        <f>IF($A200="","",IFERROR(AVERAGEIFS(Data!$AF$4:$AF$375,Data!$A$4:$A$375,"&gt;"&amp;($A200-7),Data!$A$4:$A$375,"&lt;="&amp;$A200,Data!$AF$4:$AF$375,"&gt;0"),""))</f>
        <v/>
      </c>
      <c r="BJ200" s="345">
        <f>IF($A200="","",F200+G200+H200+I200+J200+K200+L200+M200+N200-IF(AS200=1,0,J200))</f>
        <v/>
      </c>
      <c r="BK200" s="345">
        <f>IF($A200="","",8+AS200)</f>
        <v/>
      </c>
      <c r="BL200" s="345">
        <f>IF(ISNUMBER(BF200),BF200,NA())</f>
        <v/>
      </c>
      <c r="BM200" s="345">
        <f>IF(ISNUMBER(AF200),AF200,NA())</f>
        <v/>
      </c>
      <c r="BN200" s="345">
        <f>IF(ISNUMBER(BI200),BI200,NA())</f>
        <v/>
      </c>
      <c r="BO200" s="345">
        <f>IF(ISNUMBER(AL200),AL200,NA())</f>
        <v/>
      </c>
      <c r="BP200" s="345">
        <f>IF(ISNUMBER(AM200),AM200,NA())</f>
        <v/>
      </c>
      <c r="BQ200" s="345">
        <f>IF(ISNUMBER(AN200),AN200,NA())</f>
        <v/>
      </c>
    </row>
    <row r="201">
      <c r="A201" s="358">
        <f>IF('Apr 2027'!P7="","",'Apr 2027'!P7)</f>
        <v/>
      </c>
      <c r="B201" s="345" t="n">
        <v>7</v>
      </c>
      <c r="C201" s="345">
        <f>IF($A201="","",12)</f>
        <v/>
      </c>
      <c r="D201" s="345">
        <f>IF($A201="","",WEEKDAY($A201,2))</f>
        <v/>
      </c>
      <c r="E201" s="345">
        <f>IF($A201="","",UPPER(TRIM('Apr 2027'!P8)))</f>
        <v/>
      </c>
      <c r="F201" s="345">
        <f>IF($A201="","",IF(OR('Apr 2027'!P10=TRUE,'Apr 2027'!P10="x",'Apr 2027'!P10="X"),1,0))</f>
        <v/>
      </c>
      <c r="G201" s="345">
        <f>IF($A201="","",IF(OR('Apr 2027'!P11=TRUE,'Apr 2027'!P11="x",'Apr 2027'!P11="X"),1,0))</f>
        <v/>
      </c>
      <c r="H201" s="345">
        <f>IF($A201="","",IF(OR('Apr 2027'!P12=TRUE,'Apr 2027'!P12="x",'Apr 2027'!P12="X"),1,0))</f>
        <v/>
      </c>
      <c r="I201" s="345">
        <f>IF($A201="","",IF(OR('Apr 2027'!P13=TRUE,'Apr 2027'!P13="x",'Apr 2027'!P13="X"),1,0))</f>
        <v/>
      </c>
      <c r="J201" s="345">
        <f>IF($A201="","",IF(OR('Apr 2027'!P14=TRUE,'Apr 2027'!P14="x",'Apr 2027'!P14="X"),1,0))</f>
        <v/>
      </c>
      <c r="K201" s="345">
        <f>IF($A201="","",IF(OR('Apr 2027'!P15=TRUE,'Apr 2027'!P15="x",'Apr 2027'!P15="X"),1,0))</f>
        <v/>
      </c>
      <c r="L201" s="345">
        <f>IF($A201="","",IF(OR('Apr 2027'!P16=TRUE,'Apr 2027'!P16="x",'Apr 2027'!P16="X"),1,0))</f>
        <v/>
      </c>
      <c r="M201" s="345">
        <f>IF($A201="","",IF(OR('Apr 2027'!P17=TRUE,'Apr 2027'!P17="x",'Apr 2027'!P17="X"),1,0))</f>
        <v/>
      </c>
      <c r="N201" s="345">
        <f>IF($A201="","",IF(OR('Apr 2027'!P18=TRUE,'Apr 2027'!P18="x",'Apr 2027'!P18="X"),1,0))</f>
        <v/>
      </c>
      <c r="O201" s="345">
        <f>IF($A201="","",IF(OR('Apr 2027'!P20=TRUE,'Apr 2027'!P20="x",'Apr 2027'!P20="X"),1,0))</f>
        <v/>
      </c>
      <c r="P201" s="345">
        <f>IF($A201="","",IF(OR('Apr 2027'!P21=TRUE,'Apr 2027'!P21="x",'Apr 2027'!P21="X"),1,0))</f>
        <v/>
      </c>
      <c r="Q201" s="345">
        <f>IF($A201="","",IF(OR('Apr 2027'!P22=TRUE,'Apr 2027'!P22="x",'Apr 2027'!P22="X"),1,0))</f>
        <v/>
      </c>
      <c r="R201" s="345">
        <f>IF($A201="","",IF(OR('Apr 2027'!P23=TRUE,'Apr 2027'!P23="x",'Apr 2027'!P23="X"),1,0))</f>
        <v/>
      </c>
      <c r="S201" s="345">
        <f>IF($A201="","",IF(OR('Apr 2027'!P24=TRUE,'Apr 2027'!P24="x",'Apr 2027'!P24="X"),1,0))</f>
        <v/>
      </c>
      <c r="T201" s="345">
        <f>IF($A201="","",IF(OR('Apr 2027'!P25=TRUE,'Apr 2027'!P25="x",'Apr 2027'!P25="X"),1,0))</f>
        <v/>
      </c>
      <c r="U201" s="345">
        <f>IF($A201="","",IF(OR('Apr 2027'!P26=TRUE,'Apr 2027'!P26="x",'Apr 2027'!P26="X"),1,0))</f>
        <v/>
      </c>
      <c r="V201" s="345">
        <f>IF($A201="","",IF(OR('Apr 2027'!P27=TRUE,'Apr 2027'!P27="x",'Apr 2027'!P27="X"),1,0))</f>
        <v/>
      </c>
      <c r="W201" s="345">
        <f>IF($A201="","",IF(OR('Apr 2027'!P28=TRUE,'Apr 2027'!P28="x",'Apr 2027'!P28="X"),1,0))</f>
        <v/>
      </c>
      <c r="X201" s="345">
        <f>IF($A201="","",IF(OR('Apr 2027'!P29=TRUE,'Apr 2027'!P29="x",'Apr 2027'!P29="X"),1,0))</f>
        <v/>
      </c>
      <c r="Y201" s="345">
        <f>IF($A201="","",IF(OR('Apr 2027'!P30=TRUE,'Apr 2027'!P30="x",'Apr 2027'!P30="X"),1,0))</f>
        <v/>
      </c>
      <c r="Z201" s="345">
        <f>IF($A201="","",IF(OR('Apr 2027'!P31=TRUE,'Apr 2027'!P31="x",'Apr 2027'!P31="X"),1,0))</f>
        <v/>
      </c>
      <c r="AA201" s="345">
        <f>IF($A201="","",IF(OR('Apr 2027'!P32=TRUE,'Apr 2027'!P32="x",'Apr 2027'!P32="X"),1,0))</f>
        <v/>
      </c>
      <c r="AB201" s="345">
        <f>IF($A201="","",IF(OR('Apr 2027'!P34=TRUE,'Apr 2027'!P34="x",'Apr 2027'!P34="X"),1,0))</f>
        <v/>
      </c>
      <c r="AC201" s="345">
        <f>IF($A201="","",IF(OR('Apr 2027'!P35=TRUE,'Apr 2027'!P35="x",'Apr 2027'!P35="X"),1,0))</f>
        <v/>
      </c>
      <c r="AD201" s="345">
        <f>IF($A201="","",IF(OR('Apr 2027'!P36=TRUE,'Apr 2027'!P36="x",'Apr 2027'!P36="X"),1,0))</f>
        <v/>
      </c>
      <c r="AE201" s="345">
        <f>IF($A201="","",IF(OR('Apr 2027'!P37=TRUE,'Apr 2027'!P37="x",'Apr 2027'!P37="X"),1,0))</f>
        <v/>
      </c>
      <c r="AF201" s="345">
        <f>IF($A201="","",IF('Apr 2027'!P59="","",'Apr 2027'!P59))</f>
        <v/>
      </c>
      <c r="AG201" s="345">
        <f>IF($A201="","",IF('Apr 2027'!P60="","",'Apr 2027'!P60))</f>
        <v/>
      </c>
      <c r="AH201" s="345">
        <f>IF($A201="","",IF('Apr 2027'!P61="","",'Apr 2027'!P61))</f>
        <v/>
      </c>
      <c r="AI201" s="345">
        <f>IF($A201="","",IF('Apr 2027'!P62="","",'Apr 2027'!P62))</f>
        <v/>
      </c>
      <c r="AJ201" s="345">
        <f>IF($A201="","",IF('Apr 2027'!P63="","",'Apr 2027'!P63))</f>
        <v/>
      </c>
      <c r="AK201" s="345">
        <f>IF($A201="","",IF('Apr 2027'!P64="","",'Apr 2027'!P64))</f>
        <v/>
      </c>
      <c r="AL201" s="345">
        <f>IF($A201="","",IF('Apr 2027'!P65="","",'Apr 2027'!P65))</f>
        <v/>
      </c>
      <c r="AM201" s="345">
        <f>IF($A201="","",IF('Apr 2027'!P66="","",'Apr 2027'!P66))</f>
        <v/>
      </c>
      <c r="AN201" s="345">
        <f>IF($A201="","",IF('Apr 2027'!P67="","",'Apr 2027'!P67))</f>
        <v/>
      </c>
      <c r="AO201" s="345">
        <f>IF($A201="",0,IF(AND($A201&gt;=TrackStart,$A201&lt;=TODAY()),1,0))</f>
        <v/>
      </c>
      <c r="AP201" s="345">
        <f>IF($A201="",0,IF(SUM(F201:AE201)+COUNT(AF201:AN201)&gt;0,1,0))</f>
        <v/>
      </c>
      <c r="AQ201" s="345">
        <f>IF($A201="","",INT(($A201-TrackStart)/7)+1)</f>
        <v/>
      </c>
      <c r="AR201" s="345">
        <f>IF($A201="","",IF(AQ201&lt;=1,Steps1,IF(AQ201=2,Steps2,Steps3)))</f>
        <v/>
      </c>
      <c r="AS201" s="345">
        <f>IF($A201="",0,IF(ISNUMBER(SEARCH(TEXT(D201,"0"),WorkDays&amp;"")),1,0))</f>
        <v/>
      </c>
      <c r="AT201" s="345">
        <f>IF($A201="",0,IF(ISNUMBER(SEARCH(TEXT(D201,"0"),StrDays&amp;"")),1,0))</f>
        <v/>
      </c>
      <c r="AU201" s="345">
        <f>IF($A201="",0,IF(ISNUMBER(AK201),IF(AK201&gt;=SleepMin,1,0),N201))</f>
        <v/>
      </c>
      <c r="AV201" s="345">
        <f>IF($A201="",0,MAX(I201,O201,S201,AC201))</f>
        <v/>
      </c>
      <c r="AW201" s="345">
        <f>IF($A201="",0,IF(ISNUMBER(AH201),IF(AH201&gt;=ProtHit,1,0),0))</f>
        <v/>
      </c>
      <c r="AX201" s="345">
        <f>IF($A201="",0,IF(ISNUMBER(AI201),IF(AI201&gt;=WaterHit,1,0),0))</f>
        <v/>
      </c>
      <c r="AY201" s="345">
        <f>IF($A201="",0,IF(ISNUMBER(AG201),IF(AG201&gt;=AR201,1,0),0))</f>
        <v/>
      </c>
      <c r="AZ201" s="345">
        <f>IF($A201="",0,G201)</f>
        <v/>
      </c>
      <c r="BA201" s="345">
        <f>IF($A201="",0,J201)</f>
        <v/>
      </c>
      <c r="BB201" s="345">
        <f>IF($A201="",0,K201)</f>
        <v/>
      </c>
      <c r="BC201" s="345">
        <f>IF($A201="",0,MAX(L201,AE201))</f>
        <v/>
      </c>
      <c r="BD201" s="344">
        <f>IF($A201="","",(AU201+AV201+AW201+AX201+AY201+AZ201+BB201+BC201+IF(AS201=1,BA201,0))/(8+AS201))</f>
        <v/>
      </c>
      <c r="BE201" s="344">
        <f>IF($A201="","",(IF(ISNUMBER(AI201),IF(AI201&gt;=WaterMVD,1,0),0)+AV201+IF(ISNUMBER(AH201),IF(AH201&gt;=ProtMVD,1,0),0)+MAX(H201,AD201)+AZ201+BB201+AU201)/7)</f>
        <v/>
      </c>
      <c r="BF201" s="344">
        <f>IF(AO201=0,"",IF(E201="S","",IF(AND(AP201=0,$A201=TODAY()),"",IF(E201="M",BE201,BD201))))</f>
        <v/>
      </c>
      <c r="BG201" s="344">
        <f>IF(AO201=0,"",IFERROR(AVERAGEIFS(Data!$BF$4:$BF$375,Data!$A$4:$A$375,"&gt;"&amp;($A201-7),Data!$A$4:$A$375,"&lt;="&amp;$A201),""))</f>
        <v/>
      </c>
      <c r="BH201" s="344">
        <f>IF(AO201=0,"",IFERROR(AVERAGEIFS(Data!$BF$4:$BF$375,Data!$A$4:$A$375,"&gt;"&amp;($A201-30),Data!$A$4:$A$375,"&lt;="&amp;$A201),""))</f>
        <v/>
      </c>
      <c r="BI201" s="359">
        <f>IF($A201="","",IFERROR(AVERAGEIFS(Data!$AF$4:$AF$375,Data!$A$4:$A$375,"&gt;"&amp;($A201-7),Data!$A$4:$A$375,"&lt;="&amp;$A201,Data!$AF$4:$AF$375,"&gt;0"),""))</f>
        <v/>
      </c>
      <c r="BJ201" s="345">
        <f>IF($A201="","",F201+G201+H201+I201+J201+K201+L201+M201+N201-IF(AS201=1,0,J201))</f>
        <v/>
      </c>
      <c r="BK201" s="345">
        <f>IF($A201="","",8+AS201)</f>
        <v/>
      </c>
      <c r="BL201" s="345">
        <f>IF(ISNUMBER(BF201),BF201,NA())</f>
        <v/>
      </c>
      <c r="BM201" s="345">
        <f>IF(ISNUMBER(AF201),AF201,NA())</f>
        <v/>
      </c>
      <c r="BN201" s="345">
        <f>IF(ISNUMBER(BI201),BI201,NA())</f>
        <v/>
      </c>
      <c r="BO201" s="345">
        <f>IF(ISNUMBER(AL201),AL201,NA())</f>
        <v/>
      </c>
      <c r="BP201" s="345">
        <f>IF(ISNUMBER(AM201),AM201,NA())</f>
        <v/>
      </c>
      <c r="BQ201" s="345">
        <f>IF(ISNUMBER(AN201),AN201,NA())</f>
        <v/>
      </c>
    </row>
    <row r="202">
      <c r="A202" s="358">
        <f>IF('Apr 2027'!Q7="","",'Apr 2027'!Q7)</f>
        <v/>
      </c>
      <c r="B202" s="345" t="n">
        <v>7</v>
      </c>
      <c r="C202" s="345">
        <f>IF($A202="","",13)</f>
        <v/>
      </c>
      <c r="D202" s="345">
        <f>IF($A202="","",WEEKDAY($A202,2))</f>
        <v/>
      </c>
      <c r="E202" s="345">
        <f>IF($A202="","",UPPER(TRIM('Apr 2027'!Q8)))</f>
        <v/>
      </c>
      <c r="F202" s="345">
        <f>IF($A202="","",IF(OR('Apr 2027'!Q10=TRUE,'Apr 2027'!Q10="x",'Apr 2027'!Q10="X"),1,0))</f>
        <v/>
      </c>
      <c r="G202" s="345">
        <f>IF($A202="","",IF(OR('Apr 2027'!Q11=TRUE,'Apr 2027'!Q11="x",'Apr 2027'!Q11="X"),1,0))</f>
        <v/>
      </c>
      <c r="H202" s="345">
        <f>IF($A202="","",IF(OR('Apr 2027'!Q12=TRUE,'Apr 2027'!Q12="x",'Apr 2027'!Q12="X"),1,0))</f>
        <v/>
      </c>
      <c r="I202" s="345">
        <f>IF($A202="","",IF(OR('Apr 2027'!Q13=TRUE,'Apr 2027'!Q13="x",'Apr 2027'!Q13="X"),1,0))</f>
        <v/>
      </c>
      <c r="J202" s="345">
        <f>IF($A202="","",IF(OR('Apr 2027'!Q14=TRUE,'Apr 2027'!Q14="x",'Apr 2027'!Q14="X"),1,0))</f>
        <v/>
      </c>
      <c r="K202" s="345">
        <f>IF($A202="","",IF(OR('Apr 2027'!Q15=TRUE,'Apr 2027'!Q15="x",'Apr 2027'!Q15="X"),1,0))</f>
        <v/>
      </c>
      <c r="L202" s="345">
        <f>IF($A202="","",IF(OR('Apr 2027'!Q16=TRUE,'Apr 2027'!Q16="x",'Apr 2027'!Q16="X"),1,0))</f>
        <v/>
      </c>
      <c r="M202" s="345">
        <f>IF($A202="","",IF(OR('Apr 2027'!Q17=TRUE,'Apr 2027'!Q17="x",'Apr 2027'!Q17="X"),1,0))</f>
        <v/>
      </c>
      <c r="N202" s="345">
        <f>IF($A202="","",IF(OR('Apr 2027'!Q18=TRUE,'Apr 2027'!Q18="x",'Apr 2027'!Q18="X"),1,0))</f>
        <v/>
      </c>
      <c r="O202" s="345">
        <f>IF($A202="","",IF(OR('Apr 2027'!Q20=TRUE,'Apr 2027'!Q20="x",'Apr 2027'!Q20="X"),1,0))</f>
        <v/>
      </c>
      <c r="P202" s="345">
        <f>IF($A202="","",IF(OR('Apr 2027'!Q21=TRUE,'Apr 2027'!Q21="x",'Apr 2027'!Q21="X"),1,0))</f>
        <v/>
      </c>
      <c r="Q202" s="345">
        <f>IF($A202="","",IF(OR('Apr 2027'!Q22=TRUE,'Apr 2027'!Q22="x",'Apr 2027'!Q22="X"),1,0))</f>
        <v/>
      </c>
      <c r="R202" s="345">
        <f>IF($A202="","",IF(OR('Apr 2027'!Q23=TRUE,'Apr 2027'!Q23="x",'Apr 2027'!Q23="X"),1,0))</f>
        <v/>
      </c>
      <c r="S202" s="345">
        <f>IF($A202="","",IF(OR('Apr 2027'!Q24=TRUE,'Apr 2027'!Q24="x",'Apr 2027'!Q24="X"),1,0))</f>
        <v/>
      </c>
      <c r="T202" s="345">
        <f>IF($A202="","",IF(OR('Apr 2027'!Q25=TRUE,'Apr 2027'!Q25="x",'Apr 2027'!Q25="X"),1,0))</f>
        <v/>
      </c>
      <c r="U202" s="345">
        <f>IF($A202="","",IF(OR('Apr 2027'!Q26=TRUE,'Apr 2027'!Q26="x",'Apr 2027'!Q26="X"),1,0))</f>
        <v/>
      </c>
      <c r="V202" s="345">
        <f>IF($A202="","",IF(OR('Apr 2027'!Q27=TRUE,'Apr 2027'!Q27="x",'Apr 2027'!Q27="X"),1,0))</f>
        <v/>
      </c>
      <c r="W202" s="345">
        <f>IF($A202="","",IF(OR('Apr 2027'!Q28=TRUE,'Apr 2027'!Q28="x",'Apr 2027'!Q28="X"),1,0))</f>
        <v/>
      </c>
      <c r="X202" s="345">
        <f>IF($A202="","",IF(OR('Apr 2027'!Q29=TRUE,'Apr 2027'!Q29="x",'Apr 2027'!Q29="X"),1,0))</f>
        <v/>
      </c>
      <c r="Y202" s="345">
        <f>IF($A202="","",IF(OR('Apr 2027'!Q30=TRUE,'Apr 2027'!Q30="x",'Apr 2027'!Q30="X"),1,0))</f>
        <v/>
      </c>
      <c r="Z202" s="345">
        <f>IF($A202="","",IF(OR('Apr 2027'!Q31=TRUE,'Apr 2027'!Q31="x",'Apr 2027'!Q31="X"),1,0))</f>
        <v/>
      </c>
      <c r="AA202" s="345">
        <f>IF($A202="","",IF(OR('Apr 2027'!Q32=TRUE,'Apr 2027'!Q32="x",'Apr 2027'!Q32="X"),1,0))</f>
        <v/>
      </c>
      <c r="AB202" s="345">
        <f>IF($A202="","",IF(OR('Apr 2027'!Q34=TRUE,'Apr 2027'!Q34="x",'Apr 2027'!Q34="X"),1,0))</f>
        <v/>
      </c>
      <c r="AC202" s="345">
        <f>IF($A202="","",IF(OR('Apr 2027'!Q35=TRUE,'Apr 2027'!Q35="x",'Apr 2027'!Q35="X"),1,0))</f>
        <v/>
      </c>
      <c r="AD202" s="345">
        <f>IF($A202="","",IF(OR('Apr 2027'!Q36=TRUE,'Apr 2027'!Q36="x",'Apr 2027'!Q36="X"),1,0))</f>
        <v/>
      </c>
      <c r="AE202" s="345">
        <f>IF($A202="","",IF(OR('Apr 2027'!Q37=TRUE,'Apr 2027'!Q37="x",'Apr 2027'!Q37="X"),1,0))</f>
        <v/>
      </c>
      <c r="AF202" s="345">
        <f>IF($A202="","",IF('Apr 2027'!Q59="","",'Apr 2027'!Q59))</f>
        <v/>
      </c>
      <c r="AG202" s="345">
        <f>IF($A202="","",IF('Apr 2027'!Q60="","",'Apr 2027'!Q60))</f>
        <v/>
      </c>
      <c r="AH202" s="345">
        <f>IF($A202="","",IF('Apr 2027'!Q61="","",'Apr 2027'!Q61))</f>
        <v/>
      </c>
      <c r="AI202" s="345">
        <f>IF($A202="","",IF('Apr 2027'!Q62="","",'Apr 2027'!Q62))</f>
        <v/>
      </c>
      <c r="AJ202" s="345">
        <f>IF($A202="","",IF('Apr 2027'!Q63="","",'Apr 2027'!Q63))</f>
        <v/>
      </c>
      <c r="AK202" s="345">
        <f>IF($A202="","",IF('Apr 2027'!Q64="","",'Apr 2027'!Q64))</f>
        <v/>
      </c>
      <c r="AL202" s="345">
        <f>IF($A202="","",IF('Apr 2027'!Q65="","",'Apr 2027'!Q65))</f>
        <v/>
      </c>
      <c r="AM202" s="345">
        <f>IF($A202="","",IF('Apr 2027'!Q66="","",'Apr 2027'!Q66))</f>
        <v/>
      </c>
      <c r="AN202" s="345">
        <f>IF($A202="","",IF('Apr 2027'!Q67="","",'Apr 2027'!Q67))</f>
        <v/>
      </c>
      <c r="AO202" s="345">
        <f>IF($A202="",0,IF(AND($A202&gt;=TrackStart,$A202&lt;=TODAY()),1,0))</f>
        <v/>
      </c>
      <c r="AP202" s="345">
        <f>IF($A202="",0,IF(SUM(F202:AE202)+COUNT(AF202:AN202)&gt;0,1,0))</f>
        <v/>
      </c>
      <c r="AQ202" s="345">
        <f>IF($A202="","",INT(($A202-TrackStart)/7)+1)</f>
        <v/>
      </c>
      <c r="AR202" s="345">
        <f>IF($A202="","",IF(AQ202&lt;=1,Steps1,IF(AQ202=2,Steps2,Steps3)))</f>
        <v/>
      </c>
      <c r="AS202" s="345">
        <f>IF($A202="",0,IF(ISNUMBER(SEARCH(TEXT(D202,"0"),WorkDays&amp;"")),1,0))</f>
        <v/>
      </c>
      <c r="AT202" s="345">
        <f>IF($A202="",0,IF(ISNUMBER(SEARCH(TEXT(D202,"0"),StrDays&amp;"")),1,0))</f>
        <v/>
      </c>
      <c r="AU202" s="345">
        <f>IF($A202="",0,IF(ISNUMBER(AK202),IF(AK202&gt;=SleepMin,1,0),N202))</f>
        <v/>
      </c>
      <c r="AV202" s="345">
        <f>IF($A202="",0,MAX(I202,O202,S202,AC202))</f>
        <v/>
      </c>
      <c r="AW202" s="345">
        <f>IF($A202="",0,IF(ISNUMBER(AH202),IF(AH202&gt;=ProtHit,1,0),0))</f>
        <v/>
      </c>
      <c r="AX202" s="345">
        <f>IF($A202="",0,IF(ISNUMBER(AI202),IF(AI202&gt;=WaterHit,1,0),0))</f>
        <v/>
      </c>
      <c r="AY202" s="345">
        <f>IF($A202="",0,IF(ISNUMBER(AG202),IF(AG202&gt;=AR202,1,0),0))</f>
        <v/>
      </c>
      <c r="AZ202" s="345">
        <f>IF($A202="",0,G202)</f>
        <v/>
      </c>
      <c r="BA202" s="345">
        <f>IF($A202="",0,J202)</f>
        <v/>
      </c>
      <c r="BB202" s="345">
        <f>IF($A202="",0,K202)</f>
        <v/>
      </c>
      <c r="BC202" s="345">
        <f>IF($A202="",0,MAX(L202,AE202))</f>
        <v/>
      </c>
      <c r="BD202" s="344">
        <f>IF($A202="","",(AU202+AV202+AW202+AX202+AY202+AZ202+BB202+BC202+IF(AS202=1,BA202,0))/(8+AS202))</f>
        <v/>
      </c>
      <c r="BE202" s="344">
        <f>IF($A202="","",(IF(ISNUMBER(AI202),IF(AI202&gt;=WaterMVD,1,0),0)+AV202+IF(ISNUMBER(AH202),IF(AH202&gt;=ProtMVD,1,0),0)+MAX(H202,AD202)+AZ202+BB202+AU202)/7)</f>
        <v/>
      </c>
      <c r="BF202" s="344">
        <f>IF(AO202=0,"",IF(E202="S","",IF(AND(AP202=0,$A202=TODAY()),"",IF(E202="M",BE202,BD202))))</f>
        <v/>
      </c>
      <c r="BG202" s="344">
        <f>IF(AO202=0,"",IFERROR(AVERAGEIFS(Data!$BF$4:$BF$375,Data!$A$4:$A$375,"&gt;"&amp;($A202-7),Data!$A$4:$A$375,"&lt;="&amp;$A202),""))</f>
        <v/>
      </c>
      <c r="BH202" s="344">
        <f>IF(AO202=0,"",IFERROR(AVERAGEIFS(Data!$BF$4:$BF$375,Data!$A$4:$A$375,"&gt;"&amp;($A202-30),Data!$A$4:$A$375,"&lt;="&amp;$A202),""))</f>
        <v/>
      </c>
      <c r="BI202" s="359">
        <f>IF($A202="","",IFERROR(AVERAGEIFS(Data!$AF$4:$AF$375,Data!$A$4:$A$375,"&gt;"&amp;($A202-7),Data!$A$4:$A$375,"&lt;="&amp;$A202,Data!$AF$4:$AF$375,"&gt;0"),""))</f>
        <v/>
      </c>
      <c r="BJ202" s="345">
        <f>IF($A202="","",F202+G202+H202+I202+J202+K202+L202+M202+N202-IF(AS202=1,0,J202))</f>
        <v/>
      </c>
      <c r="BK202" s="345">
        <f>IF($A202="","",8+AS202)</f>
        <v/>
      </c>
      <c r="BL202" s="345">
        <f>IF(ISNUMBER(BF202),BF202,NA())</f>
        <v/>
      </c>
      <c r="BM202" s="345">
        <f>IF(ISNUMBER(AF202),AF202,NA())</f>
        <v/>
      </c>
      <c r="BN202" s="345">
        <f>IF(ISNUMBER(BI202),BI202,NA())</f>
        <v/>
      </c>
      <c r="BO202" s="345">
        <f>IF(ISNUMBER(AL202),AL202,NA())</f>
        <v/>
      </c>
      <c r="BP202" s="345">
        <f>IF(ISNUMBER(AM202),AM202,NA())</f>
        <v/>
      </c>
      <c r="BQ202" s="345">
        <f>IF(ISNUMBER(AN202),AN202,NA())</f>
        <v/>
      </c>
    </row>
    <row r="203">
      <c r="A203" s="358">
        <f>IF('Apr 2027'!R7="","",'Apr 2027'!R7)</f>
        <v/>
      </c>
      <c r="B203" s="345" t="n">
        <v>7</v>
      </c>
      <c r="C203" s="345">
        <f>IF($A203="","",14)</f>
        <v/>
      </c>
      <c r="D203" s="345">
        <f>IF($A203="","",WEEKDAY($A203,2))</f>
        <v/>
      </c>
      <c r="E203" s="345">
        <f>IF($A203="","",UPPER(TRIM('Apr 2027'!R8)))</f>
        <v/>
      </c>
      <c r="F203" s="345">
        <f>IF($A203="","",IF(OR('Apr 2027'!R10=TRUE,'Apr 2027'!R10="x",'Apr 2027'!R10="X"),1,0))</f>
        <v/>
      </c>
      <c r="G203" s="345">
        <f>IF($A203="","",IF(OR('Apr 2027'!R11=TRUE,'Apr 2027'!R11="x",'Apr 2027'!R11="X"),1,0))</f>
        <v/>
      </c>
      <c r="H203" s="345">
        <f>IF($A203="","",IF(OR('Apr 2027'!R12=TRUE,'Apr 2027'!R12="x",'Apr 2027'!R12="X"),1,0))</f>
        <v/>
      </c>
      <c r="I203" s="345">
        <f>IF($A203="","",IF(OR('Apr 2027'!R13=TRUE,'Apr 2027'!R13="x",'Apr 2027'!R13="X"),1,0))</f>
        <v/>
      </c>
      <c r="J203" s="345">
        <f>IF($A203="","",IF(OR('Apr 2027'!R14=TRUE,'Apr 2027'!R14="x",'Apr 2027'!R14="X"),1,0))</f>
        <v/>
      </c>
      <c r="K203" s="345">
        <f>IF($A203="","",IF(OR('Apr 2027'!R15=TRUE,'Apr 2027'!R15="x",'Apr 2027'!R15="X"),1,0))</f>
        <v/>
      </c>
      <c r="L203" s="345">
        <f>IF($A203="","",IF(OR('Apr 2027'!R16=TRUE,'Apr 2027'!R16="x",'Apr 2027'!R16="X"),1,0))</f>
        <v/>
      </c>
      <c r="M203" s="345">
        <f>IF($A203="","",IF(OR('Apr 2027'!R17=TRUE,'Apr 2027'!R17="x",'Apr 2027'!R17="X"),1,0))</f>
        <v/>
      </c>
      <c r="N203" s="345">
        <f>IF($A203="","",IF(OR('Apr 2027'!R18=TRUE,'Apr 2027'!R18="x",'Apr 2027'!R18="X"),1,0))</f>
        <v/>
      </c>
      <c r="O203" s="345">
        <f>IF($A203="","",IF(OR('Apr 2027'!R20=TRUE,'Apr 2027'!R20="x",'Apr 2027'!R20="X"),1,0))</f>
        <v/>
      </c>
      <c r="P203" s="345">
        <f>IF($A203="","",IF(OR('Apr 2027'!R21=TRUE,'Apr 2027'!R21="x",'Apr 2027'!R21="X"),1,0))</f>
        <v/>
      </c>
      <c r="Q203" s="345">
        <f>IF($A203="","",IF(OR('Apr 2027'!R22=TRUE,'Apr 2027'!R22="x",'Apr 2027'!R22="X"),1,0))</f>
        <v/>
      </c>
      <c r="R203" s="345">
        <f>IF($A203="","",IF(OR('Apr 2027'!R23=TRUE,'Apr 2027'!R23="x",'Apr 2027'!R23="X"),1,0))</f>
        <v/>
      </c>
      <c r="S203" s="345">
        <f>IF($A203="","",IF(OR('Apr 2027'!R24=TRUE,'Apr 2027'!R24="x",'Apr 2027'!R24="X"),1,0))</f>
        <v/>
      </c>
      <c r="T203" s="345">
        <f>IF($A203="","",IF(OR('Apr 2027'!R25=TRUE,'Apr 2027'!R25="x",'Apr 2027'!R25="X"),1,0))</f>
        <v/>
      </c>
      <c r="U203" s="345">
        <f>IF($A203="","",IF(OR('Apr 2027'!R26=TRUE,'Apr 2027'!R26="x",'Apr 2027'!R26="X"),1,0))</f>
        <v/>
      </c>
      <c r="V203" s="345">
        <f>IF($A203="","",IF(OR('Apr 2027'!R27=TRUE,'Apr 2027'!R27="x",'Apr 2027'!R27="X"),1,0))</f>
        <v/>
      </c>
      <c r="W203" s="345">
        <f>IF($A203="","",IF(OR('Apr 2027'!R28=TRUE,'Apr 2027'!R28="x",'Apr 2027'!R28="X"),1,0))</f>
        <v/>
      </c>
      <c r="X203" s="345">
        <f>IF($A203="","",IF(OR('Apr 2027'!R29=TRUE,'Apr 2027'!R29="x",'Apr 2027'!R29="X"),1,0))</f>
        <v/>
      </c>
      <c r="Y203" s="345">
        <f>IF($A203="","",IF(OR('Apr 2027'!R30=TRUE,'Apr 2027'!R30="x",'Apr 2027'!R30="X"),1,0))</f>
        <v/>
      </c>
      <c r="Z203" s="345">
        <f>IF($A203="","",IF(OR('Apr 2027'!R31=TRUE,'Apr 2027'!R31="x",'Apr 2027'!R31="X"),1,0))</f>
        <v/>
      </c>
      <c r="AA203" s="345">
        <f>IF($A203="","",IF(OR('Apr 2027'!R32=TRUE,'Apr 2027'!R32="x",'Apr 2027'!R32="X"),1,0))</f>
        <v/>
      </c>
      <c r="AB203" s="345">
        <f>IF($A203="","",IF(OR('Apr 2027'!R34=TRUE,'Apr 2027'!R34="x",'Apr 2027'!R34="X"),1,0))</f>
        <v/>
      </c>
      <c r="AC203" s="345">
        <f>IF($A203="","",IF(OR('Apr 2027'!R35=TRUE,'Apr 2027'!R35="x",'Apr 2027'!R35="X"),1,0))</f>
        <v/>
      </c>
      <c r="AD203" s="345">
        <f>IF($A203="","",IF(OR('Apr 2027'!R36=TRUE,'Apr 2027'!R36="x",'Apr 2027'!R36="X"),1,0))</f>
        <v/>
      </c>
      <c r="AE203" s="345">
        <f>IF($A203="","",IF(OR('Apr 2027'!R37=TRUE,'Apr 2027'!R37="x",'Apr 2027'!R37="X"),1,0))</f>
        <v/>
      </c>
      <c r="AF203" s="345">
        <f>IF($A203="","",IF('Apr 2027'!R59="","",'Apr 2027'!R59))</f>
        <v/>
      </c>
      <c r="AG203" s="345">
        <f>IF($A203="","",IF('Apr 2027'!R60="","",'Apr 2027'!R60))</f>
        <v/>
      </c>
      <c r="AH203" s="345">
        <f>IF($A203="","",IF('Apr 2027'!R61="","",'Apr 2027'!R61))</f>
        <v/>
      </c>
      <c r="AI203" s="345">
        <f>IF($A203="","",IF('Apr 2027'!R62="","",'Apr 2027'!R62))</f>
        <v/>
      </c>
      <c r="AJ203" s="345">
        <f>IF($A203="","",IF('Apr 2027'!R63="","",'Apr 2027'!R63))</f>
        <v/>
      </c>
      <c r="AK203" s="345">
        <f>IF($A203="","",IF('Apr 2027'!R64="","",'Apr 2027'!R64))</f>
        <v/>
      </c>
      <c r="AL203" s="345">
        <f>IF($A203="","",IF('Apr 2027'!R65="","",'Apr 2027'!R65))</f>
        <v/>
      </c>
      <c r="AM203" s="345">
        <f>IF($A203="","",IF('Apr 2027'!R66="","",'Apr 2027'!R66))</f>
        <v/>
      </c>
      <c r="AN203" s="345">
        <f>IF($A203="","",IF('Apr 2027'!R67="","",'Apr 2027'!R67))</f>
        <v/>
      </c>
      <c r="AO203" s="345">
        <f>IF($A203="",0,IF(AND($A203&gt;=TrackStart,$A203&lt;=TODAY()),1,0))</f>
        <v/>
      </c>
      <c r="AP203" s="345">
        <f>IF($A203="",0,IF(SUM(F203:AE203)+COUNT(AF203:AN203)&gt;0,1,0))</f>
        <v/>
      </c>
      <c r="AQ203" s="345">
        <f>IF($A203="","",INT(($A203-TrackStart)/7)+1)</f>
        <v/>
      </c>
      <c r="AR203" s="345">
        <f>IF($A203="","",IF(AQ203&lt;=1,Steps1,IF(AQ203=2,Steps2,Steps3)))</f>
        <v/>
      </c>
      <c r="AS203" s="345">
        <f>IF($A203="",0,IF(ISNUMBER(SEARCH(TEXT(D203,"0"),WorkDays&amp;"")),1,0))</f>
        <v/>
      </c>
      <c r="AT203" s="345">
        <f>IF($A203="",0,IF(ISNUMBER(SEARCH(TEXT(D203,"0"),StrDays&amp;"")),1,0))</f>
        <v/>
      </c>
      <c r="AU203" s="345">
        <f>IF($A203="",0,IF(ISNUMBER(AK203),IF(AK203&gt;=SleepMin,1,0),N203))</f>
        <v/>
      </c>
      <c r="AV203" s="345">
        <f>IF($A203="",0,MAX(I203,O203,S203,AC203))</f>
        <v/>
      </c>
      <c r="AW203" s="345">
        <f>IF($A203="",0,IF(ISNUMBER(AH203),IF(AH203&gt;=ProtHit,1,0),0))</f>
        <v/>
      </c>
      <c r="AX203" s="345">
        <f>IF($A203="",0,IF(ISNUMBER(AI203),IF(AI203&gt;=WaterHit,1,0),0))</f>
        <v/>
      </c>
      <c r="AY203" s="345">
        <f>IF($A203="",0,IF(ISNUMBER(AG203),IF(AG203&gt;=AR203,1,0),0))</f>
        <v/>
      </c>
      <c r="AZ203" s="345">
        <f>IF($A203="",0,G203)</f>
        <v/>
      </c>
      <c r="BA203" s="345">
        <f>IF($A203="",0,J203)</f>
        <v/>
      </c>
      <c r="BB203" s="345">
        <f>IF($A203="",0,K203)</f>
        <v/>
      </c>
      <c r="BC203" s="345">
        <f>IF($A203="",0,MAX(L203,AE203))</f>
        <v/>
      </c>
      <c r="BD203" s="344">
        <f>IF($A203="","",(AU203+AV203+AW203+AX203+AY203+AZ203+BB203+BC203+IF(AS203=1,BA203,0))/(8+AS203))</f>
        <v/>
      </c>
      <c r="BE203" s="344">
        <f>IF($A203="","",(IF(ISNUMBER(AI203),IF(AI203&gt;=WaterMVD,1,0),0)+AV203+IF(ISNUMBER(AH203),IF(AH203&gt;=ProtMVD,1,0),0)+MAX(H203,AD203)+AZ203+BB203+AU203)/7)</f>
        <v/>
      </c>
      <c r="BF203" s="344">
        <f>IF(AO203=0,"",IF(E203="S","",IF(AND(AP203=0,$A203=TODAY()),"",IF(E203="M",BE203,BD203))))</f>
        <v/>
      </c>
      <c r="BG203" s="344">
        <f>IF(AO203=0,"",IFERROR(AVERAGEIFS(Data!$BF$4:$BF$375,Data!$A$4:$A$375,"&gt;"&amp;($A203-7),Data!$A$4:$A$375,"&lt;="&amp;$A203),""))</f>
        <v/>
      </c>
      <c r="BH203" s="344">
        <f>IF(AO203=0,"",IFERROR(AVERAGEIFS(Data!$BF$4:$BF$375,Data!$A$4:$A$375,"&gt;"&amp;($A203-30),Data!$A$4:$A$375,"&lt;="&amp;$A203),""))</f>
        <v/>
      </c>
      <c r="BI203" s="359">
        <f>IF($A203="","",IFERROR(AVERAGEIFS(Data!$AF$4:$AF$375,Data!$A$4:$A$375,"&gt;"&amp;($A203-7),Data!$A$4:$A$375,"&lt;="&amp;$A203,Data!$AF$4:$AF$375,"&gt;0"),""))</f>
        <v/>
      </c>
      <c r="BJ203" s="345">
        <f>IF($A203="","",F203+G203+H203+I203+J203+K203+L203+M203+N203-IF(AS203=1,0,J203))</f>
        <v/>
      </c>
      <c r="BK203" s="345">
        <f>IF($A203="","",8+AS203)</f>
        <v/>
      </c>
      <c r="BL203" s="345">
        <f>IF(ISNUMBER(BF203),BF203,NA())</f>
        <v/>
      </c>
      <c r="BM203" s="345">
        <f>IF(ISNUMBER(AF203),AF203,NA())</f>
        <v/>
      </c>
      <c r="BN203" s="345">
        <f>IF(ISNUMBER(BI203),BI203,NA())</f>
        <v/>
      </c>
      <c r="BO203" s="345">
        <f>IF(ISNUMBER(AL203),AL203,NA())</f>
        <v/>
      </c>
      <c r="BP203" s="345">
        <f>IF(ISNUMBER(AM203),AM203,NA())</f>
        <v/>
      </c>
      <c r="BQ203" s="345">
        <f>IF(ISNUMBER(AN203),AN203,NA())</f>
        <v/>
      </c>
    </row>
    <row r="204">
      <c r="A204" s="358">
        <f>IF('Apr 2027'!S7="","",'Apr 2027'!S7)</f>
        <v/>
      </c>
      <c r="B204" s="345" t="n">
        <v>7</v>
      </c>
      <c r="C204" s="345">
        <f>IF($A204="","",15)</f>
        <v/>
      </c>
      <c r="D204" s="345">
        <f>IF($A204="","",WEEKDAY($A204,2))</f>
        <v/>
      </c>
      <c r="E204" s="345">
        <f>IF($A204="","",UPPER(TRIM('Apr 2027'!S8)))</f>
        <v/>
      </c>
      <c r="F204" s="345">
        <f>IF($A204="","",IF(OR('Apr 2027'!S10=TRUE,'Apr 2027'!S10="x",'Apr 2027'!S10="X"),1,0))</f>
        <v/>
      </c>
      <c r="G204" s="345">
        <f>IF($A204="","",IF(OR('Apr 2027'!S11=TRUE,'Apr 2027'!S11="x",'Apr 2027'!S11="X"),1,0))</f>
        <v/>
      </c>
      <c r="H204" s="345">
        <f>IF($A204="","",IF(OR('Apr 2027'!S12=TRUE,'Apr 2027'!S12="x",'Apr 2027'!S12="X"),1,0))</f>
        <v/>
      </c>
      <c r="I204" s="345">
        <f>IF($A204="","",IF(OR('Apr 2027'!S13=TRUE,'Apr 2027'!S13="x",'Apr 2027'!S13="X"),1,0))</f>
        <v/>
      </c>
      <c r="J204" s="345">
        <f>IF($A204="","",IF(OR('Apr 2027'!S14=TRUE,'Apr 2027'!S14="x",'Apr 2027'!S14="X"),1,0))</f>
        <v/>
      </c>
      <c r="K204" s="345">
        <f>IF($A204="","",IF(OR('Apr 2027'!S15=TRUE,'Apr 2027'!S15="x",'Apr 2027'!S15="X"),1,0))</f>
        <v/>
      </c>
      <c r="L204" s="345">
        <f>IF($A204="","",IF(OR('Apr 2027'!S16=TRUE,'Apr 2027'!S16="x",'Apr 2027'!S16="X"),1,0))</f>
        <v/>
      </c>
      <c r="M204" s="345">
        <f>IF($A204="","",IF(OR('Apr 2027'!S17=TRUE,'Apr 2027'!S17="x",'Apr 2027'!S17="X"),1,0))</f>
        <v/>
      </c>
      <c r="N204" s="345">
        <f>IF($A204="","",IF(OR('Apr 2027'!S18=TRUE,'Apr 2027'!S18="x",'Apr 2027'!S18="X"),1,0))</f>
        <v/>
      </c>
      <c r="O204" s="345">
        <f>IF($A204="","",IF(OR('Apr 2027'!S20=TRUE,'Apr 2027'!S20="x",'Apr 2027'!S20="X"),1,0))</f>
        <v/>
      </c>
      <c r="P204" s="345">
        <f>IF($A204="","",IF(OR('Apr 2027'!S21=TRUE,'Apr 2027'!S21="x",'Apr 2027'!S21="X"),1,0))</f>
        <v/>
      </c>
      <c r="Q204" s="345">
        <f>IF($A204="","",IF(OR('Apr 2027'!S22=TRUE,'Apr 2027'!S22="x",'Apr 2027'!S22="X"),1,0))</f>
        <v/>
      </c>
      <c r="R204" s="345">
        <f>IF($A204="","",IF(OR('Apr 2027'!S23=TRUE,'Apr 2027'!S23="x",'Apr 2027'!S23="X"),1,0))</f>
        <v/>
      </c>
      <c r="S204" s="345">
        <f>IF($A204="","",IF(OR('Apr 2027'!S24=TRUE,'Apr 2027'!S24="x",'Apr 2027'!S24="X"),1,0))</f>
        <v/>
      </c>
      <c r="T204" s="345">
        <f>IF($A204="","",IF(OR('Apr 2027'!S25=TRUE,'Apr 2027'!S25="x",'Apr 2027'!S25="X"),1,0))</f>
        <v/>
      </c>
      <c r="U204" s="345">
        <f>IF($A204="","",IF(OR('Apr 2027'!S26=TRUE,'Apr 2027'!S26="x",'Apr 2027'!S26="X"),1,0))</f>
        <v/>
      </c>
      <c r="V204" s="345">
        <f>IF($A204="","",IF(OR('Apr 2027'!S27=TRUE,'Apr 2027'!S27="x",'Apr 2027'!S27="X"),1,0))</f>
        <v/>
      </c>
      <c r="W204" s="345">
        <f>IF($A204="","",IF(OR('Apr 2027'!S28=TRUE,'Apr 2027'!S28="x",'Apr 2027'!S28="X"),1,0))</f>
        <v/>
      </c>
      <c r="X204" s="345">
        <f>IF($A204="","",IF(OR('Apr 2027'!S29=TRUE,'Apr 2027'!S29="x",'Apr 2027'!S29="X"),1,0))</f>
        <v/>
      </c>
      <c r="Y204" s="345">
        <f>IF($A204="","",IF(OR('Apr 2027'!S30=TRUE,'Apr 2027'!S30="x",'Apr 2027'!S30="X"),1,0))</f>
        <v/>
      </c>
      <c r="Z204" s="345">
        <f>IF($A204="","",IF(OR('Apr 2027'!S31=TRUE,'Apr 2027'!S31="x",'Apr 2027'!S31="X"),1,0))</f>
        <v/>
      </c>
      <c r="AA204" s="345">
        <f>IF($A204="","",IF(OR('Apr 2027'!S32=TRUE,'Apr 2027'!S32="x",'Apr 2027'!S32="X"),1,0))</f>
        <v/>
      </c>
      <c r="AB204" s="345">
        <f>IF($A204="","",IF(OR('Apr 2027'!S34=TRUE,'Apr 2027'!S34="x",'Apr 2027'!S34="X"),1,0))</f>
        <v/>
      </c>
      <c r="AC204" s="345">
        <f>IF($A204="","",IF(OR('Apr 2027'!S35=TRUE,'Apr 2027'!S35="x",'Apr 2027'!S35="X"),1,0))</f>
        <v/>
      </c>
      <c r="AD204" s="345">
        <f>IF($A204="","",IF(OR('Apr 2027'!S36=TRUE,'Apr 2027'!S36="x",'Apr 2027'!S36="X"),1,0))</f>
        <v/>
      </c>
      <c r="AE204" s="345">
        <f>IF($A204="","",IF(OR('Apr 2027'!S37=TRUE,'Apr 2027'!S37="x",'Apr 2027'!S37="X"),1,0))</f>
        <v/>
      </c>
      <c r="AF204" s="345">
        <f>IF($A204="","",IF('Apr 2027'!S59="","",'Apr 2027'!S59))</f>
        <v/>
      </c>
      <c r="AG204" s="345">
        <f>IF($A204="","",IF('Apr 2027'!S60="","",'Apr 2027'!S60))</f>
        <v/>
      </c>
      <c r="AH204" s="345">
        <f>IF($A204="","",IF('Apr 2027'!S61="","",'Apr 2027'!S61))</f>
        <v/>
      </c>
      <c r="AI204" s="345">
        <f>IF($A204="","",IF('Apr 2027'!S62="","",'Apr 2027'!S62))</f>
        <v/>
      </c>
      <c r="AJ204" s="345">
        <f>IF($A204="","",IF('Apr 2027'!S63="","",'Apr 2027'!S63))</f>
        <v/>
      </c>
      <c r="AK204" s="345">
        <f>IF($A204="","",IF('Apr 2027'!S64="","",'Apr 2027'!S64))</f>
        <v/>
      </c>
      <c r="AL204" s="345">
        <f>IF($A204="","",IF('Apr 2027'!S65="","",'Apr 2027'!S65))</f>
        <v/>
      </c>
      <c r="AM204" s="345">
        <f>IF($A204="","",IF('Apr 2027'!S66="","",'Apr 2027'!S66))</f>
        <v/>
      </c>
      <c r="AN204" s="345">
        <f>IF($A204="","",IF('Apr 2027'!S67="","",'Apr 2027'!S67))</f>
        <v/>
      </c>
      <c r="AO204" s="345">
        <f>IF($A204="",0,IF(AND($A204&gt;=TrackStart,$A204&lt;=TODAY()),1,0))</f>
        <v/>
      </c>
      <c r="AP204" s="345">
        <f>IF($A204="",0,IF(SUM(F204:AE204)+COUNT(AF204:AN204)&gt;0,1,0))</f>
        <v/>
      </c>
      <c r="AQ204" s="345">
        <f>IF($A204="","",INT(($A204-TrackStart)/7)+1)</f>
        <v/>
      </c>
      <c r="AR204" s="345">
        <f>IF($A204="","",IF(AQ204&lt;=1,Steps1,IF(AQ204=2,Steps2,Steps3)))</f>
        <v/>
      </c>
      <c r="AS204" s="345">
        <f>IF($A204="",0,IF(ISNUMBER(SEARCH(TEXT(D204,"0"),WorkDays&amp;"")),1,0))</f>
        <v/>
      </c>
      <c r="AT204" s="345">
        <f>IF($A204="",0,IF(ISNUMBER(SEARCH(TEXT(D204,"0"),StrDays&amp;"")),1,0))</f>
        <v/>
      </c>
      <c r="AU204" s="345">
        <f>IF($A204="",0,IF(ISNUMBER(AK204),IF(AK204&gt;=SleepMin,1,0),N204))</f>
        <v/>
      </c>
      <c r="AV204" s="345">
        <f>IF($A204="",0,MAX(I204,O204,S204,AC204))</f>
        <v/>
      </c>
      <c r="AW204" s="345">
        <f>IF($A204="",0,IF(ISNUMBER(AH204),IF(AH204&gt;=ProtHit,1,0),0))</f>
        <v/>
      </c>
      <c r="AX204" s="345">
        <f>IF($A204="",0,IF(ISNUMBER(AI204),IF(AI204&gt;=WaterHit,1,0),0))</f>
        <v/>
      </c>
      <c r="AY204" s="345">
        <f>IF($A204="",0,IF(ISNUMBER(AG204),IF(AG204&gt;=AR204,1,0),0))</f>
        <v/>
      </c>
      <c r="AZ204" s="345">
        <f>IF($A204="",0,G204)</f>
        <v/>
      </c>
      <c r="BA204" s="345">
        <f>IF($A204="",0,J204)</f>
        <v/>
      </c>
      <c r="BB204" s="345">
        <f>IF($A204="",0,K204)</f>
        <v/>
      </c>
      <c r="BC204" s="345">
        <f>IF($A204="",0,MAX(L204,AE204))</f>
        <v/>
      </c>
      <c r="BD204" s="344">
        <f>IF($A204="","",(AU204+AV204+AW204+AX204+AY204+AZ204+BB204+BC204+IF(AS204=1,BA204,0))/(8+AS204))</f>
        <v/>
      </c>
      <c r="BE204" s="344">
        <f>IF($A204="","",(IF(ISNUMBER(AI204),IF(AI204&gt;=WaterMVD,1,0),0)+AV204+IF(ISNUMBER(AH204),IF(AH204&gt;=ProtMVD,1,0),0)+MAX(H204,AD204)+AZ204+BB204+AU204)/7)</f>
        <v/>
      </c>
      <c r="BF204" s="344">
        <f>IF(AO204=0,"",IF(E204="S","",IF(AND(AP204=0,$A204=TODAY()),"",IF(E204="M",BE204,BD204))))</f>
        <v/>
      </c>
      <c r="BG204" s="344">
        <f>IF(AO204=0,"",IFERROR(AVERAGEIFS(Data!$BF$4:$BF$375,Data!$A$4:$A$375,"&gt;"&amp;($A204-7),Data!$A$4:$A$375,"&lt;="&amp;$A204),""))</f>
        <v/>
      </c>
      <c r="BH204" s="344">
        <f>IF(AO204=0,"",IFERROR(AVERAGEIFS(Data!$BF$4:$BF$375,Data!$A$4:$A$375,"&gt;"&amp;($A204-30),Data!$A$4:$A$375,"&lt;="&amp;$A204),""))</f>
        <v/>
      </c>
      <c r="BI204" s="359">
        <f>IF($A204="","",IFERROR(AVERAGEIFS(Data!$AF$4:$AF$375,Data!$A$4:$A$375,"&gt;"&amp;($A204-7),Data!$A$4:$A$375,"&lt;="&amp;$A204,Data!$AF$4:$AF$375,"&gt;0"),""))</f>
        <v/>
      </c>
      <c r="BJ204" s="345">
        <f>IF($A204="","",F204+G204+H204+I204+J204+K204+L204+M204+N204-IF(AS204=1,0,J204))</f>
        <v/>
      </c>
      <c r="BK204" s="345">
        <f>IF($A204="","",8+AS204)</f>
        <v/>
      </c>
      <c r="BL204" s="345">
        <f>IF(ISNUMBER(BF204),BF204,NA())</f>
        <v/>
      </c>
      <c r="BM204" s="345">
        <f>IF(ISNUMBER(AF204),AF204,NA())</f>
        <v/>
      </c>
      <c r="BN204" s="345">
        <f>IF(ISNUMBER(BI204),BI204,NA())</f>
        <v/>
      </c>
      <c r="BO204" s="345">
        <f>IF(ISNUMBER(AL204),AL204,NA())</f>
        <v/>
      </c>
      <c r="BP204" s="345">
        <f>IF(ISNUMBER(AM204),AM204,NA())</f>
        <v/>
      </c>
      <c r="BQ204" s="345">
        <f>IF(ISNUMBER(AN204),AN204,NA())</f>
        <v/>
      </c>
    </row>
    <row r="205">
      <c r="A205" s="358">
        <f>IF('Apr 2027'!T7="","",'Apr 2027'!T7)</f>
        <v/>
      </c>
      <c r="B205" s="345" t="n">
        <v>7</v>
      </c>
      <c r="C205" s="345">
        <f>IF($A205="","",16)</f>
        <v/>
      </c>
      <c r="D205" s="345">
        <f>IF($A205="","",WEEKDAY($A205,2))</f>
        <v/>
      </c>
      <c r="E205" s="345">
        <f>IF($A205="","",UPPER(TRIM('Apr 2027'!T8)))</f>
        <v/>
      </c>
      <c r="F205" s="345">
        <f>IF($A205="","",IF(OR('Apr 2027'!T10=TRUE,'Apr 2027'!T10="x",'Apr 2027'!T10="X"),1,0))</f>
        <v/>
      </c>
      <c r="G205" s="345">
        <f>IF($A205="","",IF(OR('Apr 2027'!T11=TRUE,'Apr 2027'!T11="x",'Apr 2027'!T11="X"),1,0))</f>
        <v/>
      </c>
      <c r="H205" s="345">
        <f>IF($A205="","",IF(OR('Apr 2027'!T12=TRUE,'Apr 2027'!T12="x",'Apr 2027'!T12="X"),1,0))</f>
        <v/>
      </c>
      <c r="I205" s="345">
        <f>IF($A205="","",IF(OR('Apr 2027'!T13=TRUE,'Apr 2027'!T13="x",'Apr 2027'!T13="X"),1,0))</f>
        <v/>
      </c>
      <c r="J205" s="345">
        <f>IF($A205="","",IF(OR('Apr 2027'!T14=TRUE,'Apr 2027'!T14="x",'Apr 2027'!T14="X"),1,0))</f>
        <v/>
      </c>
      <c r="K205" s="345">
        <f>IF($A205="","",IF(OR('Apr 2027'!T15=TRUE,'Apr 2027'!T15="x",'Apr 2027'!T15="X"),1,0))</f>
        <v/>
      </c>
      <c r="L205" s="345">
        <f>IF($A205="","",IF(OR('Apr 2027'!T16=TRUE,'Apr 2027'!T16="x",'Apr 2027'!T16="X"),1,0))</f>
        <v/>
      </c>
      <c r="M205" s="345">
        <f>IF($A205="","",IF(OR('Apr 2027'!T17=TRUE,'Apr 2027'!T17="x",'Apr 2027'!T17="X"),1,0))</f>
        <v/>
      </c>
      <c r="N205" s="345">
        <f>IF($A205="","",IF(OR('Apr 2027'!T18=TRUE,'Apr 2027'!T18="x",'Apr 2027'!T18="X"),1,0))</f>
        <v/>
      </c>
      <c r="O205" s="345">
        <f>IF($A205="","",IF(OR('Apr 2027'!T20=TRUE,'Apr 2027'!T20="x",'Apr 2027'!T20="X"),1,0))</f>
        <v/>
      </c>
      <c r="P205" s="345">
        <f>IF($A205="","",IF(OR('Apr 2027'!T21=TRUE,'Apr 2027'!T21="x",'Apr 2027'!T21="X"),1,0))</f>
        <v/>
      </c>
      <c r="Q205" s="345">
        <f>IF($A205="","",IF(OR('Apr 2027'!T22=TRUE,'Apr 2027'!T22="x",'Apr 2027'!T22="X"),1,0))</f>
        <v/>
      </c>
      <c r="R205" s="345">
        <f>IF($A205="","",IF(OR('Apr 2027'!T23=TRUE,'Apr 2027'!T23="x",'Apr 2027'!T23="X"),1,0))</f>
        <v/>
      </c>
      <c r="S205" s="345">
        <f>IF($A205="","",IF(OR('Apr 2027'!T24=TRUE,'Apr 2027'!T24="x",'Apr 2027'!T24="X"),1,0))</f>
        <v/>
      </c>
      <c r="T205" s="345">
        <f>IF($A205="","",IF(OR('Apr 2027'!T25=TRUE,'Apr 2027'!T25="x",'Apr 2027'!T25="X"),1,0))</f>
        <v/>
      </c>
      <c r="U205" s="345">
        <f>IF($A205="","",IF(OR('Apr 2027'!T26=TRUE,'Apr 2027'!T26="x",'Apr 2027'!T26="X"),1,0))</f>
        <v/>
      </c>
      <c r="V205" s="345">
        <f>IF($A205="","",IF(OR('Apr 2027'!T27=TRUE,'Apr 2027'!T27="x",'Apr 2027'!T27="X"),1,0))</f>
        <v/>
      </c>
      <c r="W205" s="345">
        <f>IF($A205="","",IF(OR('Apr 2027'!T28=TRUE,'Apr 2027'!T28="x",'Apr 2027'!T28="X"),1,0))</f>
        <v/>
      </c>
      <c r="X205" s="345">
        <f>IF($A205="","",IF(OR('Apr 2027'!T29=TRUE,'Apr 2027'!T29="x",'Apr 2027'!T29="X"),1,0))</f>
        <v/>
      </c>
      <c r="Y205" s="345">
        <f>IF($A205="","",IF(OR('Apr 2027'!T30=TRUE,'Apr 2027'!T30="x",'Apr 2027'!T30="X"),1,0))</f>
        <v/>
      </c>
      <c r="Z205" s="345">
        <f>IF($A205="","",IF(OR('Apr 2027'!T31=TRUE,'Apr 2027'!T31="x",'Apr 2027'!T31="X"),1,0))</f>
        <v/>
      </c>
      <c r="AA205" s="345">
        <f>IF($A205="","",IF(OR('Apr 2027'!T32=TRUE,'Apr 2027'!T32="x",'Apr 2027'!T32="X"),1,0))</f>
        <v/>
      </c>
      <c r="AB205" s="345">
        <f>IF($A205="","",IF(OR('Apr 2027'!T34=TRUE,'Apr 2027'!T34="x",'Apr 2027'!T34="X"),1,0))</f>
        <v/>
      </c>
      <c r="AC205" s="345">
        <f>IF($A205="","",IF(OR('Apr 2027'!T35=TRUE,'Apr 2027'!T35="x",'Apr 2027'!T35="X"),1,0))</f>
        <v/>
      </c>
      <c r="AD205" s="345">
        <f>IF($A205="","",IF(OR('Apr 2027'!T36=TRUE,'Apr 2027'!T36="x",'Apr 2027'!T36="X"),1,0))</f>
        <v/>
      </c>
      <c r="AE205" s="345">
        <f>IF($A205="","",IF(OR('Apr 2027'!T37=TRUE,'Apr 2027'!T37="x",'Apr 2027'!T37="X"),1,0))</f>
        <v/>
      </c>
      <c r="AF205" s="345">
        <f>IF($A205="","",IF('Apr 2027'!T59="","",'Apr 2027'!T59))</f>
        <v/>
      </c>
      <c r="AG205" s="345">
        <f>IF($A205="","",IF('Apr 2027'!T60="","",'Apr 2027'!T60))</f>
        <v/>
      </c>
      <c r="AH205" s="345">
        <f>IF($A205="","",IF('Apr 2027'!T61="","",'Apr 2027'!T61))</f>
        <v/>
      </c>
      <c r="AI205" s="345">
        <f>IF($A205="","",IF('Apr 2027'!T62="","",'Apr 2027'!T62))</f>
        <v/>
      </c>
      <c r="AJ205" s="345">
        <f>IF($A205="","",IF('Apr 2027'!T63="","",'Apr 2027'!T63))</f>
        <v/>
      </c>
      <c r="AK205" s="345">
        <f>IF($A205="","",IF('Apr 2027'!T64="","",'Apr 2027'!T64))</f>
        <v/>
      </c>
      <c r="AL205" s="345">
        <f>IF($A205="","",IF('Apr 2027'!T65="","",'Apr 2027'!T65))</f>
        <v/>
      </c>
      <c r="AM205" s="345">
        <f>IF($A205="","",IF('Apr 2027'!T66="","",'Apr 2027'!T66))</f>
        <v/>
      </c>
      <c r="AN205" s="345">
        <f>IF($A205="","",IF('Apr 2027'!T67="","",'Apr 2027'!T67))</f>
        <v/>
      </c>
      <c r="AO205" s="345">
        <f>IF($A205="",0,IF(AND($A205&gt;=TrackStart,$A205&lt;=TODAY()),1,0))</f>
        <v/>
      </c>
      <c r="AP205" s="345">
        <f>IF($A205="",0,IF(SUM(F205:AE205)+COUNT(AF205:AN205)&gt;0,1,0))</f>
        <v/>
      </c>
      <c r="AQ205" s="345">
        <f>IF($A205="","",INT(($A205-TrackStart)/7)+1)</f>
        <v/>
      </c>
      <c r="AR205" s="345">
        <f>IF($A205="","",IF(AQ205&lt;=1,Steps1,IF(AQ205=2,Steps2,Steps3)))</f>
        <v/>
      </c>
      <c r="AS205" s="345">
        <f>IF($A205="",0,IF(ISNUMBER(SEARCH(TEXT(D205,"0"),WorkDays&amp;"")),1,0))</f>
        <v/>
      </c>
      <c r="AT205" s="345">
        <f>IF($A205="",0,IF(ISNUMBER(SEARCH(TEXT(D205,"0"),StrDays&amp;"")),1,0))</f>
        <v/>
      </c>
      <c r="AU205" s="345">
        <f>IF($A205="",0,IF(ISNUMBER(AK205),IF(AK205&gt;=SleepMin,1,0),N205))</f>
        <v/>
      </c>
      <c r="AV205" s="345">
        <f>IF($A205="",0,MAX(I205,O205,S205,AC205))</f>
        <v/>
      </c>
      <c r="AW205" s="345">
        <f>IF($A205="",0,IF(ISNUMBER(AH205),IF(AH205&gt;=ProtHit,1,0),0))</f>
        <v/>
      </c>
      <c r="AX205" s="345">
        <f>IF($A205="",0,IF(ISNUMBER(AI205),IF(AI205&gt;=WaterHit,1,0),0))</f>
        <v/>
      </c>
      <c r="AY205" s="345">
        <f>IF($A205="",0,IF(ISNUMBER(AG205),IF(AG205&gt;=AR205,1,0),0))</f>
        <v/>
      </c>
      <c r="AZ205" s="345">
        <f>IF($A205="",0,G205)</f>
        <v/>
      </c>
      <c r="BA205" s="345">
        <f>IF($A205="",0,J205)</f>
        <v/>
      </c>
      <c r="BB205" s="345">
        <f>IF($A205="",0,K205)</f>
        <v/>
      </c>
      <c r="BC205" s="345">
        <f>IF($A205="",0,MAX(L205,AE205))</f>
        <v/>
      </c>
      <c r="BD205" s="344">
        <f>IF($A205="","",(AU205+AV205+AW205+AX205+AY205+AZ205+BB205+BC205+IF(AS205=1,BA205,0))/(8+AS205))</f>
        <v/>
      </c>
      <c r="BE205" s="344">
        <f>IF($A205="","",(IF(ISNUMBER(AI205),IF(AI205&gt;=WaterMVD,1,0),0)+AV205+IF(ISNUMBER(AH205),IF(AH205&gt;=ProtMVD,1,0),0)+MAX(H205,AD205)+AZ205+BB205+AU205)/7)</f>
        <v/>
      </c>
      <c r="BF205" s="344">
        <f>IF(AO205=0,"",IF(E205="S","",IF(AND(AP205=0,$A205=TODAY()),"",IF(E205="M",BE205,BD205))))</f>
        <v/>
      </c>
      <c r="BG205" s="344">
        <f>IF(AO205=0,"",IFERROR(AVERAGEIFS(Data!$BF$4:$BF$375,Data!$A$4:$A$375,"&gt;"&amp;($A205-7),Data!$A$4:$A$375,"&lt;="&amp;$A205),""))</f>
        <v/>
      </c>
      <c r="BH205" s="344">
        <f>IF(AO205=0,"",IFERROR(AVERAGEIFS(Data!$BF$4:$BF$375,Data!$A$4:$A$375,"&gt;"&amp;($A205-30),Data!$A$4:$A$375,"&lt;="&amp;$A205),""))</f>
        <v/>
      </c>
      <c r="BI205" s="359">
        <f>IF($A205="","",IFERROR(AVERAGEIFS(Data!$AF$4:$AF$375,Data!$A$4:$A$375,"&gt;"&amp;($A205-7),Data!$A$4:$A$375,"&lt;="&amp;$A205,Data!$AF$4:$AF$375,"&gt;0"),""))</f>
        <v/>
      </c>
      <c r="BJ205" s="345">
        <f>IF($A205="","",F205+G205+H205+I205+J205+K205+L205+M205+N205-IF(AS205=1,0,J205))</f>
        <v/>
      </c>
      <c r="BK205" s="345">
        <f>IF($A205="","",8+AS205)</f>
        <v/>
      </c>
      <c r="BL205" s="345">
        <f>IF(ISNUMBER(BF205),BF205,NA())</f>
        <v/>
      </c>
      <c r="BM205" s="345">
        <f>IF(ISNUMBER(AF205),AF205,NA())</f>
        <v/>
      </c>
      <c r="BN205" s="345">
        <f>IF(ISNUMBER(BI205),BI205,NA())</f>
        <v/>
      </c>
      <c r="BO205" s="345">
        <f>IF(ISNUMBER(AL205),AL205,NA())</f>
        <v/>
      </c>
      <c r="BP205" s="345">
        <f>IF(ISNUMBER(AM205),AM205,NA())</f>
        <v/>
      </c>
      <c r="BQ205" s="345">
        <f>IF(ISNUMBER(AN205),AN205,NA())</f>
        <v/>
      </c>
    </row>
    <row r="206">
      <c r="A206" s="358">
        <f>IF('Apr 2027'!U7="","",'Apr 2027'!U7)</f>
        <v/>
      </c>
      <c r="B206" s="345" t="n">
        <v>7</v>
      </c>
      <c r="C206" s="345">
        <f>IF($A206="","",17)</f>
        <v/>
      </c>
      <c r="D206" s="345">
        <f>IF($A206="","",WEEKDAY($A206,2))</f>
        <v/>
      </c>
      <c r="E206" s="345">
        <f>IF($A206="","",UPPER(TRIM('Apr 2027'!U8)))</f>
        <v/>
      </c>
      <c r="F206" s="345">
        <f>IF($A206="","",IF(OR('Apr 2027'!U10=TRUE,'Apr 2027'!U10="x",'Apr 2027'!U10="X"),1,0))</f>
        <v/>
      </c>
      <c r="G206" s="345">
        <f>IF($A206="","",IF(OR('Apr 2027'!U11=TRUE,'Apr 2027'!U11="x",'Apr 2027'!U11="X"),1,0))</f>
        <v/>
      </c>
      <c r="H206" s="345">
        <f>IF($A206="","",IF(OR('Apr 2027'!U12=TRUE,'Apr 2027'!U12="x",'Apr 2027'!U12="X"),1,0))</f>
        <v/>
      </c>
      <c r="I206" s="345">
        <f>IF($A206="","",IF(OR('Apr 2027'!U13=TRUE,'Apr 2027'!U13="x",'Apr 2027'!U13="X"),1,0))</f>
        <v/>
      </c>
      <c r="J206" s="345">
        <f>IF($A206="","",IF(OR('Apr 2027'!U14=TRUE,'Apr 2027'!U14="x",'Apr 2027'!U14="X"),1,0))</f>
        <v/>
      </c>
      <c r="K206" s="345">
        <f>IF($A206="","",IF(OR('Apr 2027'!U15=TRUE,'Apr 2027'!U15="x",'Apr 2027'!U15="X"),1,0))</f>
        <v/>
      </c>
      <c r="L206" s="345">
        <f>IF($A206="","",IF(OR('Apr 2027'!U16=TRUE,'Apr 2027'!U16="x",'Apr 2027'!U16="X"),1,0))</f>
        <v/>
      </c>
      <c r="M206" s="345">
        <f>IF($A206="","",IF(OR('Apr 2027'!U17=TRUE,'Apr 2027'!U17="x",'Apr 2027'!U17="X"),1,0))</f>
        <v/>
      </c>
      <c r="N206" s="345">
        <f>IF($A206="","",IF(OR('Apr 2027'!U18=TRUE,'Apr 2027'!U18="x",'Apr 2027'!U18="X"),1,0))</f>
        <v/>
      </c>
      <c r="O206" s="345">
        <f>IF($A206="","",IF(OR('Apr 2027'!U20=TRUE,'Apr 2027'!U20="x",'Apr 2027'!U20="X"),1,0))</f>
        <v/>
      </c>
      <c r="P206" s="345">
        <f>IF($A206="","",IF(OR('Apr 2027'!U21=TRUE,'Apr 2027'!U21="x",'Apr 2027'!U21="X"),1,0))</f>
        <v/>
      </c>
      <c r="Q206" s="345">
        <f>IF($A206="","",IF(OR('Apr 2027'!U22=TRUE,'Apr 2027'!U22="x",'Apr 2027'!U22="X"),1,0))</f>
        <v/>
      </c>
      <c r="R206" s="345">
        <f>IF($A206="","",IF(OR('Apr 2027'!U23=TRUE,'Apr 2027'!U23="x",'Apr 2027'!U23="X"),1,0))</f>
        <v/>
      </c>
      <c r="S206" s="345">
        <f>IF($A206="","",IF(OR('Apr 2027'!U24=TRUE,'Apr 2027'!U24="x",'Apr 2027'!U24="X"),1,0))</f>
        <v/>
      </c>
      <c r="T206" s="345">
        <f>IF($A206="","",IF(OR('Apr 2027'!U25=TRUE,'Apr 2027'!U25="x",'Apr 2027'!U25="X"),1,0))</f>
        <v/>
      </c>
      <c r="U206" s="345">
        <f>IF($A206="","",IF(OR('Apr 2027'!U26=TRUE,'Apr 2027'!U26="x",'Apr 2027'!U26="X"),1,0))</f>
        <v/>
      </c>
      <c r="V206" s="345">
        <f>IF($A206="","",IF(OR('Apr 2027'!U27=TRUE,'Apr 2027'!U27="x",'Apr 2027'!U27="X"),1,0))</f>
        <v/>
      </c>
      <c r="W206" s="345">
        <f>IF($A206="","",IF(OR('Apr 2027'!U28=TRUE,'Apr 2027'!U28="x",'Apr 2027'!U28="X"),1,0))</f>
        <v/>
      </c>
      <c r="X206" s="345">
        <f>IF($A206="","",IF(OR('Apr 2027'!U29=TRUE,'Apr 2027'!U29="x",'Apr 2027'!U29="X"),1,0))</f>
        <v/>
      </c>
      <c r="Y206" s="345">
        <f>IF($A206="","",IF(OR('Apr 2027'!U30=TRUE,'Apr 2027'!U30="x",'Apr 2027'!U30="X"),1,0))</f>
        <v/>
      </c>
      <c r="Z206" s="345">
        <f>IF($A206="","",IF(OR('Apr 2027'!U31=TRUE,'Apr 2027'!U31="x",'Apr 2027'!U31="X"),1,0))</f>
        <v/>
      </c>
      <c r="AA206" s="345">
        <f>IF($A206="","",IF(OR('Apr 2027'!U32=TRUE,'Apr 2027'!U32="x",'Apr 2027'!U32="X"),1,0))</f>
        <v/>
      </c>
      <c r="AB206" s="345">
        <f>IF($A206="","",IF(OR('Apr 2027'!U34=TRUE,'Apr 2027'!U34="x",'Apr 2027'!U34="X"),1,0))</f>
        <v/>
      </c>
      <c r="AC206" s="345">
        <f>IF($A206="","",IF(OR('Apr 2027'!U35=TRUE,'Apr 2027'!U35="x",'Apr 2027'!U35="X"),1,0))</f>
        <v/>
      </c>
      <c r="AD206" s="345">
        <f>IF($A206="","",IF(OR('Apr 2027'!U36=TRUE,'Apr 2027'!U36="x",'Apr 2027'!U36="X"),1,0))</f>
        <v/>
      </c>
      <c r="AE206" s="345">
        <f>IF($A206="","",IF(OR('Apr 2027'!U37=TRUE,'Apr 2027'!U37="x",'Apr 2027'!U37="X"),1,0))</f>
        <v/>
      </c>
      <c r="AF206" s="345">
        <f>IF($A206="","",IF('Apr 2027'!U59="","",'Apr 2027'!U59))</f>
        <v/>
      </c>
      <c r="AG206" s="345">
        <f>IF($A206="","",IF('Apr 2027'!U60="","",'Apr 2027'!U60))</f>
        <v/>
      </c>
      <c r="AH206" s="345">
        <f>IF($A206="","",IF('Apr 2027'!U61="","",'Apr 2027'!U61))</f>
        <v/>
      </c>
      <c r="AI206" s="345">
        <f>IF($A206="","",IF('Apr 2027'!U62="","",'Apr 2027'!U62))</f>
        <v/>
      </c>
      <c r="AJ206" s="345">
        <f>IF($A206="","",IF('Apr 2027'!U63="","",'Apr 2027'!U63))</f>
        <v/>
      </c>
      <c r="AK206" s="345">
        <f>IF($A206="","",IF('Apr 2027'!U64="","",'Apr 2027'!U64))</f>
        <v/>
      </c>
      <c r="AL206" s="345">
        <f>IF($A206="","",IF('Apr 2027'!U65="","",'Apr 2027'!U65))</f>
        <v/>
      </c>
      <c r="AM206" s="345">
        <f>IF($A206="","",IF('Apr 2027'!U66="","",'Apr 2027'!U66))</f>
        <v/>
      </c>
      <c r="AN206" s="345">
        <f>IF($A206="","",IF('Apr 2027'!U67="","",'Apr 2027'!U67))</f>
        <v/>
      </c>
      <c r="AO206" s="345">
        <f>IF($A206="",0,IF(AND($A206&gt;=TrackStart,$A206&lt;=TODAY()),1,0))</f>
        <v/>
      </c>
      <c r="AP206" s="345">
        <f>IF($A206="",0,IF(SUM(F206:AE206)+COUNT(AF206:AN206)&gt;0,1,0))</f>
        <v/>
      </c>
      <c r="AQ206" s="345">
        <f>IF($A206="","",INT(($A206-TrackStart)/7)+1)</f>
        <v/>
      </c>
      <c r="AR206" s="345">
        <f>IF($A206="","",IF(AQ206&lt;=1,Steps1,IF(AQ206=2,Steps2,Steps3)))</f>
        <v/>
      </c>
      <c r="AS206" s="345">
        <f>IF($A206="",0,IF(ISNUMBER(SEARCH(TEXT(D206,"0"),WorkDays&amp;"")),1,0))</f>
        <v/>
      </c>
      <c r="AT206" s="345">
        <f>IF($A206="",0,IF(ISNUMBER(SEARCH(TEXT(D206,"0"),StrDays&amp;"")),1,0))</f>
        <v/>
      </c>
      <c r="AU206" s="345">
        <f>IF($A206="",0,IF(ISNUMBER(AK206),IF(AK206&gt;=SleepMin,1,0),N206))</f>
        <v/>
      </c>
      <c r="AV206" s="345">
        <f>IF($A206="",0,MAX(I206,O206,S206,AC206))</f>
        <v/>
      </c>
      <c r="AW206" s="345">
        <f>IF($A206="",0,IF(ISNUMBER(AH206),IF(AH206&gt;=ProtHit,1,0),0))</f>
        <v/>
      </c>
      <c r="AX206" s="345">
        <f>IF($A206="",0,IF(ISNUMBER(AI206),IF(AI206&gt;=WaterHit,1,0),0))</f>
        <v/>
      </c>
      <c r="AY206" s="345">
        <f>IF($A206="",0,IF(ISNUMBER(AG206),IF(AG206&gt;=AR206,1,0),0))</f>
        <v/>
      </c>
      <c r="AZ206" s="345">
        <f>IF($A206="",0,G206)</f>
        <v/>
      </c>
      <c r="BA206" s="345">
        <f>IF($A206="",0,J206)</f>
        <v/>
      </c>
      <c r="BB206" s="345">
        <f>IF($A206="",0,K206)</f>
        <v/>
      </c>
      <c r="BC206" s="345">
        <f>IF($A206="",0,MAX(L206,AE206))</f>
        <v/>
      </c>
      <c r="BD206" s="344">
        <f>IF($A206="","",(AU206+AV206+AW206+AX206+AY206+AZ206+BB206+BC206+IF(AS206=1,BA206,0))/(8+AS206))</f>
        <v/>
      </c>
      <c r="BE206" s="344">
        <f>IF($A206="","",(IF(ISNUMBER(AI206),IF(AI206&gt;=WaterMVD,1,0),0)+AV206+IF(ISNUMBER(AH206),IF(AH206&gt;=ProtMVD,1,0),0)+MAX(H206,AD206)+AZ206+BB206+AU206)/7)</f>
        <v/>
      </c>
      <c r="BF206" s="344">
        <f>IF(AO206=0,"",IF(E206="S","",IF(AND(AP206=0,$A206=TODAY()),"",IF(E206="M",BE206,BD206))))</f>
        <v/>
      </c>
      <c r="BG206" s="344">
        <f>IF(AO206=0,"",IFERROR(AVERAGEIFS(Data!$BF$4:$BF$375,Data!$A$4:$A$375,"&gt;"&amp;($A206-7),Data!$A$4:$A$375,"&lt;="&amp;$A206),""))</f>
        <v/>
      </c>
      <c r="BH206" s="344">
        <f>IF(AO206=0,"",IFERROR(AVERAGEIFS(Data!$BF$4:$BF$375,Data!$A$4:$A$375,"&gt;"&amp;($A206-30),Data!$A$4:$A$375,"&lt;="&amp;$A206),""))</f>
        <v/>
      </c>
      <c r="BI206" s="359">
        <f>IF($A206="","",IFERROR(AVERAGEIFS(Data!$AF$4:$AF$375,Data!$A$4:$A$375,"&gt;"&amp;($A206-7),Data!$A$4:$A$375,"&lt;="&amp;$A206,Data!$AF$4:$AF$375,"&gt;0"),""))</f>
        <v/>
      </c>
      <c r="BJ206" s="345">
        <f>IF($A206="","",F206+G206+H206+I206+J206+K206+L206+M206+N206-IF(AS206=1,0,J206))</f>
        <v/>
      </c>
      <c r="BK206" s="345">
        <f>IF($A206="","",8+AS206)</f>
        <v/>
      </c>
      <c r="BL206" s="345">
        <f>IF(ISNUMBER(BF206),BF206,NA())</f>
        <v/>
      </c>
      <c r="BM206" s="345">
        <f>IF(ISNUMBER(AF206),AF206,NA())</f>
        <v/>
      </c>
      <c r="BN206" s="345">
        <f>IF(ISNUMBER(BI206),BI206,NA())</f>
        <v/>
      </c>
      <c r="BO206" s="345">
        <f>IF(ISNUMBER(AL206),AL206,NA())</f>
        <v/>
      </c>
      <c r="BP206" s="345">
        <f>IF(ISNUMBER(AM206),AM206,NA())</f>
        <v/>
      </c>
      <c r="BQ206" s="345">
        <f>IF(ISNUMBER(AN206),AN206,NA())</f>
        <v/>
      </c>
    </row>
    <row r="207">
      <c r="A207" s="358">
        <f>IF('Apr 2027'!V7="","",'Apr 2027'!V7)</f>
        <v/>
      </c>
      <c r="B207" s="345" t="n">
        <v>7</v>
      </c>
      <c r="C207" s="345">
        <f>IF($A207="","",18)</f>
        <v/>
      </c>
      <c r="D207" s="345">
        <f>IF($A207="","",WEEKDAY($A207,2))</f>
        <v/>
      </c>
      <c r="E207" s="345">
        <f>IF($A207="","",UPPER(TRIM('Apr 2027'!V8)))</f>
        <v/>
      </c>
      <c r="F207" s="345">
        <f>IF($A207="","",IF(OR('Apr 2027'!V10=TRUE,'Apr 2027'!V10="x",'Apr 2027'!V10="X"),1,0))</f>
        <v/>
      </c>
      <c r="G207" s="345">
        <f>IF($A207="","",IF(OR('Apr 2027'!V11=TRUE,'Apr 2027'!V11="x",'Apr 2027'!V11="X"),1,0))</f>
        <v/>
      </c>
      <c r="H207" s="345">
        <f>IF($A207="","",IF(OR('Apr 2027'!V12=TRUE,'Apr 2027'!V12="x",'Apr 2027'!V12="X"),1,0))</f>
        <v/>
      </c>
      <c r="I207" s="345">
        <f>IF($A207="","",IF(OR('Apr 2027'!V13=TRUE,'Apr 2027'!V13="x",'Apr 2027'!V13="X"),1,0))</f>
        <v/>
      </c>
      <c r="J207" s="345">
        <f>IF($A207="","",IF(OR('Apr 2027'!V14=TRUE,'Apr 2027'!V14="x",'Apr 2027'!V14="X"),1,0))</f>
        <v/>
      </c>
      <c r="K207" s="345">
        <f>IF($A207="","",IF(OR('Apr 2027'!V15=TRUE,'Apr 2027'!V15="x",'Apr 2027'!V15="X"),1,0))</f>
        <v/>
      </c>
      <c r="L207" s="345">
        <f>IF($A207="","",IF(OR('Apr 2027'!V16=TRUE,'Apr 2027'!V16="x",'Apr 2027'!V16="X"),1,0))</f>
        <v/>
      </c>
      <c r="M207" s="345">
        <f>IF($A207="","",IF(OR('Apr 2027'!V17=TRUE,'Apr 2027'!V17="x",'Apr 2027'!V17="X"),1,0))</f>
        <v/>
      </c>
      <c r="N207" s="345">
        <f>IF($A207="","",IF(OR('Apr 2027'!V18=TRUE,'Apr 2027'!V18="x",'Apr 2027'!V18="X"),1,0))</f>
        <v/>
      </c>
      <c r="O207" s="345">
        <f>IF($A207="","",IF(OR('Apr 2027'!V20=TRUE,'Apr 2027'!V20="x",'Apr 2027'!V20="X"),1,0))</f>
        <v/>
      </c>
      <c r="P207" s="345">
        <f>IF($A207="","",IF(OR('Apr 2027'!V21=TRUE,'Apr 2027'!V21="x",'Apr 2027'!V21="X"),1,0))</f>
        <v/>
      </c>
      <c r="Q207" s="345">
        <f>IF($A207="","",IF(OR('Apr 2027'!V22=TRUE,'Apr 2027'!V22="x",'Apr 2027'!V22="X"),1,0))</f>
        <v/>
      </c>
      <c r="R207" s="345">
        <f>IF($A207="","",IF(OR('Apr 2027'!V23=TRUE,'Apr 2027'!V23="x",'Apr 2027'!V23="X"),1,0))</f>
        <v/>
      </c>
      <c r="S207" s="345">
        <f>IF($A207="","",IF(OR('Apr 2027'!V24=TRUE,'Apr 2027'!V24="x",'Apr 2027'!V24="X"),1,0))</f>
        <v/>
      </c>
      <c r="T207" s="345">
        <f>IF($A207="","",IF(OR('Apr 2027'!V25=TRUE,'Apr 2027'!V25="x",'Apr 2027'!V25="X"),1,0))</f>
        <v/>
      </c>
      <c r="U207" s="345">
        <f>IF($A207="","",IF(OR('Apr 2027'!V26=TRUE,'Apr 2027'!V26="x",'Apr 2027'!V26="X"),1,0))</f>
        <v/>
      </c>
      <c r="V207" s="345">
        <f>IF($A207="","",IF(OR('Apr 2027'!V27=TRUE,'Apr 2027'!V27="x",'Apr 2027'!V27="X"),1,0))</f>
        <v/>
      </c>
      <c r="W207" s="345">
        <f>IF($A207="","",IF(OR('Apr 2027'!V28=TRUE,'Apr 2027'!V28="x",'Apr 2027'!V28="X"),1,0))</f>
        <v/>
      </c>
      <c r="X207" s="345">
        <f>IF($A207="","",IF(OR('Apr 2027'!V29=TRUE,'Apr 2027'!V29="x",'Apr 2027'!V29="X"),1,0))</f>
        <v/>
      </c>
      <c r="Y207" s="345">
        <f>IF($A207="","",IF(OR('Apr 2027'!V30=TRUE,'Apr 2027'!V30="x",'Apr 2027'!V30="X"),1,0))</f>
        <v/>
      </c>
      <c r="Z207" s="345">
        <f>IF($A207="","",IF(OR('Apr 2027'!V31=TRUE,'Apr 2027'!V31="x",'Apr 2027'!V31="X"),1,0))</f>
        <v/>
      </c>
      <c r="AA207" s="345">
        <f>IF($A207="","",IF(OR('Apr 2027'!V32=TRUE,'Apr 2027'!V32="x",'Apr 2027'!V32="X"),1,0))</f>
        <v/>
      </c>
      <c r="AB207" s="345">
        <f>IF($A207="","",IF(OR('Apr 2027'!V34=TRUE,'Apr 2027'!V34="x",'Apr 2027'!V34="X"),1,0))</f>
        <v/>
      </c>
      <c r="AC207" s="345">
        <f>IF($A207="","",IF(OR('Apr 2027'!V35=TRUE,'Apr 2027'!V35="x",'Apr 2027'!V35="X"),1,0))</f>
        <v/>
      </c>
      <c r="AD207" s="345">
        <f>IF($A207="","",IF(OR('Apr 2027'!V36=TRUE,'Apr 2027'!V36="x",'Apr 2027'!V36="X"),1,0))</f>
        <v/>
      </c>
      <c r="AE207" s="345">
        <f>IF($A207="","",IF(OR('Apr 2027'!V37=TRUE,'Apr 2027'!V37="x",'Apr 2027'!V37="X"),1,0))</f>
        <v/>
      </c>
      <c r="AF207" s="345">
        <f>IF($A207="","",IF('Apr 2027'!V59="","",'Apr 2027'!V59))</f>
        <v/>
      </c>
      <c r="AG207" s="345">
        <f>IF($A207="","",IF('Apr 2027'!V60="","",'Apr 2027'!V60))</f>
        <v/>
      </c>
      <c r="AH207" s="345">
        <f>IF($A207="","",IF('Apr 2027'!V61="","",'Apr 2027'!V61))</f>
        <v/>
      </c>
      <c r="AI207" s="345">
        <f>IF($A207="","",IF('Apr 2027'!V62="","",'Apr 2027'!V62))</f>
        <v/>
      </c>
      <c r="AJ207" s="345">
        <f>IF($A207="","",IF('Apr 2027'!V63="","",'Apr 2027'!V63))</f>
        <v/>
      </c>
      <c r="AK207" s="345">
        <f>IF($A207="","",IF('Apr 2027'!V64="","",'Apr 2027'!V64))</f>
        <v/>
      </c>
      <c r="AL207" s="345">
        <f>IF($A207="","",IF('Apr 2027'!V65="","",'Apr 2027'!V65))</f>
        <v/>
      </c>
      <c r="AM207" s="345">
        <f>IF($A207="","",IF('Apr 2027'!V66="","",'Apr 2027'!V66))</f>
        <v/>
      </c>
      <c r="AN207" s="345">
        <f>IF($A207="","",IF('Apr 2027'!V67="","",'Apr 2027'!V67))</f>
        <v/>
      </c>
      <c r="AO207" s="345">
        <f>IF($A207="",0,IF(AND($A207&gt;=TrackStart,$A207&lt;=TODAY()),1,0))</f>
        <v/>
      </c>
      <c r="AP207" s="345">
        <f>IF($A207="",0,IF(SUM(F207:AE207)+COUNT(AF207:AN207)&gt;0,1,0))</f>
        <v/>
      </c>
      <c r="AQ207" s="345">
        <f>IF($A207="","",INT(($A207-TrackStart)/7)+1)</f>
        <v/>
      </c>
      <c r="AR207" s="345">
        <f>IF($A207="","",IF(AQ207&lt;=1,Steps1,IF(AQ207=2,Steps2,Steps3)))</f>
        <v/>
      </c>
      <c r="AS207" s="345">
        <f>IF($A207="",0,IF(ISNUMBER(SEARCH(TEXT(D207,"0"),WorkDays&amp;"")),1,0))</f>
        <v/>
      </c>
      <c r="AT207" s="345">
        <f>IF($A207="",0,IF(ISNUMBER(SEARCH(TEXT(D207,"0"),StrDays&amp;"")),1,0))</f>
        <v/>
      </c>
      <c r="AU207" s="345">
        <f>IF($A207="",0,IF(ISNUMBER(AK207),IF(AK207&gt;=SleepMin,1,0),N207))</f>
        <v/>
      </c>
      <c r="AV207" s="345">
        <f>IF($A207="",0,MAX(I207,O207,S207,AC207))</f>
        <v/>
      </c>
      <c r="AW207" s="345">
        <f>IF($A207="",0,IF(ISNUMBER(AH207),IF(AH207&gt;=ProtHit,1,0),0))</f>
        <v/>
      </c>
      <c r="AX207" s="345">
        <f>IF($A207="",0,IF(ISNUMBER(AI207),IF(AI207&gt;=WaterHit,1,0),0))</f>
        <v/>
      </c>
      <c r="AY207" s="345">
        <f>IF($A207="",0,IF(ISNUMBER(AG207),IF(AG207&gt;=AR207,1,0),0))</f>
        <v/>
      </c>
      <c r="AZ207" s="345">
        <f>IF($A207="",0,G207)</f>
        <v/>
      </c>
      <c r="BA207" s="345">
        <f>IF($A207="",0,J207)</f>
        <v/>
      </c>
      <c r="BB207" s="345">
        <f>IF($A207="",0,K207)</f>
        <v/>
      </c>
      <c r="BC207" s="345">
        <f>IF($A207="",0,MAX(L207,AE207))</f>
        <v/>
      </c>
      <c r="BD207" s="344">
        <f>IF($A207="","",(AU207+AV207+AW207+AX207+AY207+AZ207+BB207+BC207+IF(AS207=1,BA207,0))/(8+AS207))</f>
        <v/>
      </c>
      <c r="BE207" s="344">
        <f>IF($A207="","",(IF(ISNUMBER(AI207),IF(AI207&gt;=WaterMVD,1,0),0)+AV207+IF(ISNUMBER(AH207),IF(AH207&gt;=ProtMVD,1,0),0)+MAX(H207,AD207)+AZ207+BB207+AU207)/7)</f>
        <v/>
      </c>
      <c r="BF207" s="344">
        <f>IF(AO207=0,"",IF(E207="S","",IF(AND(AP207=0,$A207=TODAY()),"",IF(E207="M",BE207,BD207))))</f>
        <v/>
      </c>
      <c r="BG207" s="344">
        <f>IF(AO207=0,"",IFERROR(AVERAGEIFS(Data!$BF$4:$BF$375,Data!$A$4:$A$375,"&gt;"&amp;($A207-7),Data!$A$4:$A$375,"&lt;="&amp;$A207),""))</f>
        <v/>
      </c>
      <c r="BH207" s="344">
        <f>IF(AO207=0,"",IFERROR(AVERAGEIFS(Data!$BF$4:$BF$375,Data!$A$4:$A$375,"&gt;"&amp;($A207-30),Data!$A$4:$A$375,"&lt;="&amp;$A207),""))</f>
        <v/>
      </c>
      <c r="BI207" s="359">
        <f>IF($A207="","",IFERROR(AVERAGEIFS(Data!$AF$4:$AF$375,Data!$A$4:$A$375,"&gt;"&amp;($A207-7),Data!$A$4:$A$375,"&lt;="&amp;$A207,Data!$AF$4:$AF$375,"&gt;0"),""))</f>
        <v/>
      </c>
      <c r="BJ207" s="345">
        <f>IF($A207="","",F207+G207+H207+I207+J207+K207+L207+M207+N207-IF(AS207=1,0,J207))</f>
        <v/>
      </c>
      <c r="BK207" s="345">
        <f>IF($A207="","",8+AS207)</f>
        <v/>
      </c>
      <c r="BL207" s="345">
        <f>IF(ISNUMBER(BF207),BF207,NA())</f>
        <v/>
      </c>
      <c r="BM207" s="345">
        <f>IF(ISNUMBER(AF207),AF207,NA())</f>
        <v/>
      </c>
      <c r="BN207" s="345">
        <f>IF(ISNUMBER(BI207),BI207,NA())</f>
        <v/>
      </c>
      <c r="BO207" s="345">
        <f>IF(ISNUMBER(AL207),AL207,NA())</f>
        <v/>
      </c>
      <c r="BP207" s="345">
        <f>IF(ISNUMBER(AM207),AM207,NA())</f>
        <v/>
      </c>
      <c r="BQ207" s="345">
        <f>IF(ISNUMBER(AN207),AN207,NA())</f>
        <v/>
      </c>
    </row>
    <row r="208">
      <c r="A208" s="358">
        <f>IF('Apr 2027'!W7="","",'Apr 2027'!W7)</f>
        <v/>
      </c>
      <c r="B208" s="345" t="n">
        <v>7</v>
      </c>
      <c r="C208" s="345">
        <f>IF($A208="","",19)</f>
        <v/>
      </c>
      <c r="D208" s="345">
        <f>IF($A208="","",WEEKDAY($A208,2))</f>
        <v/>
      </c>
      <c r="E208" s="345">
        <f>IF($A208="","",UPPER(TRIM('Apr 2027'!W8)))</f>
        <v/>
      </c>
      <c r="F208" s="345">
        <f>IF($A208="","",IF(OR('Apr 2027'!W10=TRUE,'Apr 2027'!W10="x",'Apr 2027'!W10="X"),1,0))</f>
        <v/>
      </c>
      <c r="G208" s="345">
        <f>IF($A208="","",IF(OR('Apr 2027'!W11=TRUE,'Apr 2027'!W11="x",'Apr 2027'!W11="X"),1,0))</f>
        <v/>
      </c>
      <c r="H208" s="345">
        <f>IF($A208="","",IF(OR('Apr 2027'!W12=TRUE,'Apr 2027'!W12="x",'Apr 2027'!W12="X"),1,0))</f>
        <v/>
      </c>
      <c r="I208" s="345">
        <f>IF($A208="","",IF(OR('Apr 2027'!W13=TRUE,'Apr 2027'!W13="x",'Apr 2027'!W13="X"),1,0))</f>
        <v/>
      </c>
      <c r="J208" s="345">
        <f>IF($A208="","",IF(OR('Apr 2027'!W14=TRUE,'Apr 2027'!W14="x",'Apr 2027'!W14="X"),1,0))</f>
        <v/>
      </c>
      <c r="K208" s="345">
        <f>IF($A208="","",IF(OR('Apr 2027'!W15=TRUE,'Apr 2027'!W15="x",'Apr 2027'!W15="X"),1,0))</f>
        <v/>
      </c>
      <c r="L208" s="345">
        <f>IF($A208="","",IF(OR('Apr 2027'!W16=TRUE,'Apr 2027'!W16="x",'Apr 2027'!W16="X"),1,0))</f>
        <v/>
      </c>
      <c r="M208" s="345">
        <f>IF($A208="","",IF(OR('Apr 2027'!W17=TRUE,'Apr 2027'!W17="x",'Apr 2027'!W17="X"),1,0))</f>
        <v/>
      </c>
      <c r="N208" s="345">
        <f>IF($A208="","",IF(OR('Apr 2027'!W18=TRUE,'Apr 2027'!W18="x",'Apr 2027'!W18="X"),1,0))</f>
        <v/>
      </c>
      <c r="O208" s="345">
        <f>IF($A208="","",IF(OR('Apr 2027'!W20=TRUE,'Apr 2027'!W20="x",'Apr 2027'!W20="X"),1,0))</f>
        <v/>
      </c>
      <c r="P208" s="345">
        <f>IF($A208="","",IF(OR('Apr 2027'!W21=TRUE,'Apr 2027'!W21="x",'Apr 2027'!W21="X"),1,0))</f>
        <v/>
      </c>
      <c r="Q208" s="345">
        <f>IF($A208="","",IF(OR('Apr 2027'!W22=TRUE,'Apr 2027'!W22="x",'Apr 2027'!W22="X"),1,0))</f>
        <v/>
      </c>
      <c r="R208" s="345">
        <f>IF($A208="","",IF(OR('Apr 2027'!W23=TRUE,'Apr 2027'!W23="x",'Apr 2027'!W23="X"),1,0))</f>
        <v/>
      </c>
      <c r="S208" s="345">
        <f>IF($A208="","",IF(OR('Apr 2027'!W24=TRUE,'Apr 2027'!W24="x",'Apr 2027'!W24="X"),1,0))</f>
        <v/>
      </c>
      <c r="T208" s="345">
        <f>IF($A208="","",IF(OR('Apr 2027'!W25=TRUE,'Apr 2027'!W25="x",'Apr 2027'!W25="X"),1,0))</f>
        <v/>
      </c>
      <c r="U208" s="345">
        <f>IF($A208="","",IF(OR('Apr 2027'!W26=TRUE,'Apr 2027'!W26="x",'Apr 2027'!W26="X"),1,0))</f>
        <v/>
      </c>
      <c r="V208" s="345">
        <f>IF($A208="","",IF(OR('Apr 2027'!W27=TRUE,'Apr 2027'!W27="x",'Apr 2027'!W27="X"),1,0))</f>
        <v/>
      </c>
      <c r="W208" s="345">
        <f>IF($A208="","",IF(OR('Apr 2027'!W28=TRUE,'Apr 2027'!W28="x",'Apr 2027'!W28="X"),1,0))</f>
        <v/>
      </c>
      <c r="X208" s="345">
        <f>IF($A208="","",IF(OR('Apr 2027'!W29=TRUE,'Apr 2027'!W29="x",'Apr 2027'!W29="X"),1,0))</f>
        <v/>
      </c>
      <c r="Y208" s="345">
        <f>IF($A208="","",IF(OR('Apr 2027'!W30=TRUE,'Apr 2027'!W30="x",'Apr 2027'!W30="X"),1,0))</f>
        <v/>
      </c>
      <c r="Z208" s="345">
        <f>IF($A208="","",IF(OR('Apr 2027'!W31=TRUE,'Apr 2027'!W31="x",'Apr 2027'!W31="X"),1,0))</f>
        <v/>
      </c>
      <c r="AA208" s="345">
        <f>IF($A208="","",IF(OR('Apr 2027'!W32=TRUE,'Apr 2027'!W32="x",'Apr 2027'!W32="X"),1,0))</f>
        <v/>
      </c>
      <c r="AB208" s="345">
        <f>IF($A208="","",IF(OR('Apr 2027'!W34=TRUE,'Apr 2027'!W34="x",'Apr 2027'!W34="X"),1,0))</f>
        <v/>
      </c>
      <c r="AC208" s="345">
        <f>IF($A208="","",IF(OR('Apr 2027'!W35=TRUE,'Apr 2027'!W35="x",'Apr 2027'!W35="X"),1,0))</f>
        <v/>
      </c>
      <c r="AD208" s="345">
        <f>IF($A208="","",IF(OR('Apr 2027'!W36=TRUE,'Apr 2027'!W36="x",'Apr 2027'!W36="X"),1,0))</f>
        <v/>
      </c>
      <c r="AE208" s="345">
        <f>IF($A208="","",IF(OR('Apr 2027'!W37=TRUE,'Apr 2027'!W37="x",'Apr 2027'!W37="X"),1,0))</f>
        <v/>
      </c>
      <c r="AF208" s="345">
        <f>IF($A208="","",IF('Apr 2027'!W59="","",'Apr 2027'!W59))</f>
        <v/>
      </c>
      <c r="AG208" s="345">
        <f>IF($A208="","",IF('Apr 2027'!W60="","",'Apr 2027'!W60))</f>
        <v/>
      </c>
      <c r="AH208" s="345">
        <f>IF($A208="","",IF('Apr 2027'!W61="","",'Apr 2027'!W61))</f>
        <v/>
      </c>
      <c r="AI208" s="345">
        <f>IF($A208="","",IF('Apr 2027'!W62="","",'Apr 2027'!W62))</f>
        <v/>
      </c>
      <c r="AJ208" s="345">
        <f>IF($A208="","",IF('Apr 2027'!W63="","",'Apr 2027'!W63))</f>
        <v/>
      </c>
      <c r="AK208" s="345">
        <f>IF($A208="","",IF('Apr 2027'!W64="","",'Apr 2027'!W64))</f>
        <v/>
      </c>
      <c r="AL208" s="345">
        <f>IF($A208="","",IF('Apr 2027'!W65="","",'Apr 2027'!W65))</f>
        <v/>
      </c>
      <c r="AM208" s="345">
        <f>IF($A208="","",IF('Apr 2027'!W66="","",'Apr 2027'!W66))</f>
        <v/>
      </c>
      <c r="AN208" s="345">
        <f>IF($A208="","",IF('Apr 2027'!W67="","",'Apr 2027'!W67))</f>
        <v/>
      </c>
      <c r="AO208" s="345">
        <f>IF($A208="",0,IF(AND($A208&gt;=TrackStart,$A208&lt;=TODAY()),1,0))</f>
        <v/>
      </c>
      <c r="AP208" s="345">
        <f>IF($A208="",0,IF(SUM(F208:AE208)+COUNT(AF208:AN208)&gt;0,1,0))</f>
        <v/>
      </c>
      <c r="AQ208" s="345">
        <f>IF($A208="","",INT(($A208-TrackStart)/7)+1)</f>
        <v/>
      </c>
      <c r="AR208" s="345">
        <f>IF($A208="","",IF(AQ208&lt;=1,Steps1,IF(AQ208=2,Steps2,Steps3)))</f>
        <v/>
      </c>
      <c r="AS208" s="345">
        <f>IF($A208="",0,IF(ISNUMBER(SEARCH(TEXT(D208,"0"),WorkDays&amp;"")),1,0))</f>
        <v/>
      </c>
      <c r="AT208" s="345">
        <f>IF($A208="",0,IF(ISNUMBER(SEARCH(TEXT(D208,"0"),StrDays&amp;"")),1,0))</f>
        <v/>
      </c>
      <c r="AU208" s="345">
        <f>IF($A208="",0,IF(ISNUMBER(AK208),IF(AK208&gt;=SleepMin,1,0),N208))</f>
        <v/>
      </c>
      <c r="AV208" s="345">
        <f>IF($A208="",0,MAX(I208,O208,S208,AC208))</f>
        <v/>
      </c>
      <c r="AW208" s="345">
        <f>IF($A208="",0,IF(ISNUMBER(AH208),IF(AH208&gt;=ProtHit,1,0),0))</f>
        <v/>
      </c>
      <c r="AX208" s="345">
        <f>IF($A208="",0,IF(ISNUMBER(AI208),IF(AI208&gt;=WaterHit,1,0),0))</f>
        <v/>
      </c>
      <c r="AY208" s="345">
        <f>IF($A208="",0,IF(ISNUMBER(AG208),IF(AG208&gt;=AR208,1,0),0))</f>
        <v/>
      </c>
      <c r="AZ208" s="345">
        <f>IF($A208="",0,G208)</f>
        <v/>
      </c>
      <c r="BA208" s="345">
        <f>IF($A208="",0,J208)</f>
        <v/>
      </c>
      <c r="BB208" s="345">
        <f>IF($A208="",0,K208)</f>
        <v/>
      </c>
      <c r="BC208" s="345">
        <f>IF($A208="",0,MAX(L208,AE208))</f>
        <v/>
      </c>
      <c r="BD208" s="344">
        <f>IF($A208="","",(AU208+AV208+AW208+AX208+AY208+AZ208+BB208+BC208+IF(AS208=1,BA208,0))/(8+AS208))</f>
        <v/>
      </c>
      <c r="BE208" s="344">
        <f>IF($A208="","",(IF(ISNUMBER(AI208),IF(AI208&gt;=WaterMVD,1,0),0)+AV208+IF(ISNUMBER(AH208),IF(AH208&gt;=ProtMVD,1,0),0)+MAX(H208,AD208)+AZ208+BB208+AU208)/7)</f>
        <v/>
      </c>
      <c r="BF208" s="344">
        <f>IF(AO208=0,"",IF(E208="S","",IF(AND(AP208=0,$A208=TODAY()),"",IF(E208="M",BE208,BD208))))</f>
        <v/>
      </c>
      <c r="BG208" s="344">
        <f>IF(AO208=0,"",IFERROR(AVERAGEIFS(Data!$BF$4:$BF$375,Data!$A$4:$A$375,"&gt;"&amp;($A208-7),Data!$A$4:$A$375,"&lt;="&amp;$A208),""))</f>
        <v/>
      </c>
      <c r="BH208" s="344">
        <f>IF(AO208=0,"",IFERROR(AVERAGEIFS(Data!$BF$4:$BF$375,Data!$A$4:$A$375,"&gt;"&amp;($A208-30),Data!$A$4:$A$375,"&lt;="&amp;$A208),""))</f>
        <v/>
      </c>
      <c r="BI208" s="359">
        <f>IF($A208="","",IFERROR(AVERAGEIFS(Data!$AF$4:$AF$375,Data!$A$4:$A$375,"&gt;"&amp;($A208-7),Data!$A$4:$A$375,"&lt;="&amp;$A208,Data!$AF$4:$AF$375,"&gt;0"),""))</f>
        <v/>
      </c>
      <c r="BJ208" s="345">
        <f>IF($A208="","",F208+G208+H208+I208+J208+K208+L208+M208+N208-IF(AS208=1,0,J208))</f>
        <v/>
      </c>
      <c r="BK208" s="345">
        <f>IF($A208="","",8+AS208)</f>
        <v/>
      </c>
      <c r="BL208" s="345">
        <f>IF(ISNUMBER(BF208),BF208,NA())</f>
        <v/>
      </c>
      <c r="BM208" s="345">
        <f>IF(ISNUMBER(AF208),AF208,NA())</f>
        <v/>
      </c>
      <c r="BN208" s="345">
        <f>IF(ISNUMBER(BI208),BI208,NA())</f>
        <v/>
      </c>
      <c r="BO208" s="345">
        <f>IF(ISNUMBER(AL208),AL208,NA())</f>
        <v/>
      </c>
      <c r="BP208" s="345">
        <f>IF(ISNUMBER(AM208),AM208,NA())</f>
        <v/>
      </c>
      <c r="BQ208" s="345">
        <f>IF(ISNUMBER(AN208),AN208,NA())</f>
        <v/>
      </c>
    </row>
    <row r="209">
      <c r="A209" s="358">
        <f>IF('Apr 2027'!X7="","",'Apr 2027'!X7)</f>
        <v/>
      </c>
      <c r="B209" s="345" t="n">
        <v>7</v>
      </c>
      <c r="C209" s="345">
        <f>IF($A209="","",20)</f>
        <v/>
      </c>
      <c r="D209" s="345">
        <f>IF($A209="","",WEEKDAY($A209,2))</f>
        <v/>
      </c>
      <c r="E209" s="345">
        <f>IF($A209="","",UPPER(TRIM('Apr 2027'!X8)))</f>
        <v/>
      </c>
      <c r="F209" s="345">
        <f>IF($A209="","",IF(OR('Apr 2027'!X10=TRUE,'Apr 2027'!X10="x",'Apr 2027'!X10="X"),1,0))</f>
        <v/>
      </c>
      <c r="G209" s="345">
        <f>IF($A209="","",IF(OR('Apr 2027'!X11=TRUE,'Apr 2027'!X11="x",'Apr 2027'!X11="X"),1,0))</f>
        <v/>
      </c>
      <c r="H209" s="345">
        <f>IF($A209="","",IF(OR('Apr 2027'!X12=TRUE,'Apr 2027'!X12="x",'Apr 2027'!X12="X"),1,0))</f>
        <v/>
      </c>
      <c r="I209" s="345">
        <f>IF($A209="","",IF(OR('Apr 2027'!X13=TRUE,'Apr 2027'!X13="x",'Apr 2027'!X13="X"),1,0))</f>
        <v/>
      </c>
      <c r="J209" s="345">
        <f>IF($A209="","",IF(OR('Apr 2027'!X14=TRUE,'Apr 2027'!X14="x",'Apr 2027'!X14="X"),1,0))</f>
        <v/>
      </c>
      <c r="K209" s="345">
        <f>IF($A209="","",IF(OR('Apr 2027'!X15=TRUE,'Apr 2027'!X15="x",'Apr 2027'!X15="X"),1,0))</f>
        <v/>
      </c>
      <c r="L209" s="345">
        <f>IF($A209="","",IF(OR('Apr 2027'!X16=TRUE,'Apr 2027'!X16="x",'Apr 2027'!X16="X"),1,0))</f>
        <v/>
      </c>
      <c r="M209" s="345">
        <f>IF($A209="","",IF(OR('Apr 2027'!X17=TRUE,'Apr 2027'!X17="x",'Apr 2027'!X17="X"),1,0))</f>
        <v/>
      </c>
      <c r="N209" s="345">
        <f>IF($A209="","",IF(OR('Apr 2027'!X18=TRUE,'Apr 2027'!X18="x",'Apr 2027'!X18="X"),1,0))</f>
        <v/>
      </c>
      <c r="O209" s="345">
        <f>IF($A209="","",IF(OR('Apr 2027'!X20=TRUE,'Apr 2027'!X20="x",'Apr 2027'!X20="X"),1,0))</f>
        <v/>
      </c>
      <c r="P209" s="345">
        <f>IF($A209="","",IF(OR('Apr 2027'!X21=TRUE,'Apr 2027'!X21="x",'Apr 2027'!X21="X"),1,0))</f>
        <v/>
      </c>
      <c r="Q209" s="345">
        <f>IF($A209="","",IF(OR('Apr 2027'!X22=TRUE,'Apr 2027'!X22="x",'Apr 2027'!X22="X"),1,0))</f>
        <v/>
      </c>
      <c r="R209" s="345">
        <f>IF($A209="","",IF(OR('Apr 2027'!X23=TRUE,'Apr 2027'!X23="x",'Apr 2027'!X23="X"),1,0))</f>
        <v/>
      </c>
      <c r="S209" s="345">
        <f>IF($A209="","",IF(OR('Apr 2027'!X24=TRUE,'Apr 2027'!X24="x",'Apr 2027'!X24="X"),1,0))</f>
        <v/>
      </c>
      <c r="T209" s="345">
        <f>IF($A209="","",IF(OR('Apr 2027'!X25=TRUE,'Apr 2027'!X25="x",'Apr 2027'!X25="X"),1,0))</f>
        <v/>
      </c>
      <c r="U209" s="345">
        <f>IF($A209="","",IF(OR('Apr 2027'!X26=TRUE,'Apr 2027'!X26="x",'Apr 2027'!X26="X"),1,0))</f>
        <v/>
      </c>
      <c r="V209" s="345">
        <f>IF($A209="","",IF(OR('Apr 2027'!X27=TRUE,'Apr 2027'!X27="x",'Apr 2027'!X27="X"),1,0))</f>
        <v/>
      </c>
      <c r="W209" s="345">
        <f>IF($A209="","",IF(OR('Apr 2027'!X28=TRUE,'Apr 2027'!X28="x",'Apr 2027'!X28="X"),1,0))</f>
        <v/>
      </c>
      <c r="X209" s="345">
        <f>IF($A209="","",IF(OR('Apr 2027'!X29=TRUE,'Apr 2027'!X29="x",'Apr 2027'!X29="X"),1,0))</f>
        <v/>
      </c>
      <c r="Y209" s="345">
        <f>IF($A209="","",IF(OR('Apr 2027'!X30=TRUE,'Apr 2027'!X30="x",'Apr 2027'!X30="X"),1,0))</f>
        <v/>
      </c>
      <c r="Z209" s="345">
        <f>IF($A209="","",IF(OR('Apr 2027'!X31=TRUE,'Apr 2027'!X31="x",'Apr 2027'!X31="X"),1,0))</f>
        <v/>
      </c>
      <c r="AA209" s="345">
        <f>IF($A209="","",IF(OR('Apr 2027'!X32=TRUE,'Apr 2027'!X32="x",'Apr 2027'!X32="X"),1,0))</f>
        <v/>
      </c>
      <c r="AB209" s="345">
        <f>IF($A209="","",IF(OR('Apr 2027'!X34=TRUE,'Apr 2027'!X34="x",'Apr 2027'!X34="X"),1,0))</f>
        <v/>
      </c>
      <c r="AC209" s="345">
        <f>IF($A209="","",IF(OR('Apr 2027'!X35=TRUE,'Apr 2027'!X35="x",'Apr 2027'!X35="X"),1,0))</f>
        <v/>
      </c>
      <c r="AD209" s="345">
        <f>IF($A209="","",IF(OR('Apr 2027'!X36=TRUE,'Apr 2027'!X36="x",'Apr 2027'!X36="X"),1,0))</f>
        <v/>
      </c>
      <c r="AE209" s="345">
        <f>IF($A209="","",IF(OR('Apr 2027'!X37=TRUE,'Apr 2027'!X37="x",'Apr 2027'!X37="X"),1,0))</f>
        <v/>
      </c>
      <c r="AF209" s="345">
        <f>IF($A209="","",IF('Apr 2027'!X59="","",'Apr 2027'!X59))</f>
        <v/>
      </c>
      <c r="AG209" s="345">
        <f>IF($A209="","",IF('Apr 2027'!X60="","",'Apr 2027'!X60))</f>
        <v/>
      </c>
      <c r="AH209" s="345">
        <f>IF($A209="","",IF('Apr 2027'!X61="","",'Apr 2027'!X61))</f>
        <v/>
      </c>
      <c r="AI209" s="345">
        <f>IF($A209="","",IF('Apr 2027'!X62="","",'Apr 2027'!X62))</f>
        <v/>
      </c>
      <c r="AJ209" s="345">
        <f>IF($A209="","",IF('Apr 2027'!X63="","",'Apr 2027'!X63))</f>
        <v/>
      </c>
      <c r="AK209" s="345">
        <f>IF($A209="","",IF('Apr 2027'!X64="","",'Apr 2027'!X64))</f>
        <v/>
      </c>
      <c r="AL209" s="345">
        <f>IF($A209="","",IF('Apr 2027'!X65="","",'Apr 2027'!X65))</f>
        <v/>
      </c>
      <c r="AM209" s="345">
        <f>IF($A209="","",IF('Apr 2027'!X66="","",'Apr 2027'!X66))</f>
        <v/>
      </c>
      <c r="AN209" s="345">
        <f>IF($A209="","",IF('Apr 2027'!X67="","",'Apr 2027'!X67))</f>
        <v/>
      </c>
      <c r="AO209" s="345">
        <f>IF($A209="",0,IF(AND($A209&gt;=TrackStart,$A209&lt;=TODAY()),1,0))</f>
        <v/>
      </c>
      <c r="AP209" s="345">
        <f>IF($A209="",0,IF(SUM(F209:AE209)+COUNT(AF209:AN209)&gt;0,1,0))</f>
        <v/>
      </c>
      <c r="AQ209" s="345">
        <f>IF($A209="","",INT(($A209-TrackStart)/7)+1)</f>
        <v/>
      </c>
      <c r="AR209" s="345">
        <f>IF($A209="","",IF(AQ209&lt;=1,Steps1,IF(AQ209=2,Steps2,Steps3)))</f>
        <v/>
      </c>
      <c r="AS209" s="345">
        <f>IF($A209="",0,IF(ISNUMBER(SEARCH(TEXT(D209,"0"),WorkDays&amp;"")),1,0))</f>
        <v/>
      </c>
      <c r="AT209" s="345">
        <f>IF($A209="",0,IF(ISNUMBER(SEARCH(TEXT(D209,"0"),StrDays&amp;"")),1,0))</f>
        <v/>
      </c>
      <c r="AU209" s="345">
        <f>IF($A209="",0,IF(ISNUMBER(AK209),IF(AK209&gt;=SleepMin,1,0),N209))</f>
        <v/>
      </c>
      <c r="AV209" s="345">
        <f>IF($A209="",0,MAX(I209,O209,S209,AC209))</f>
        <v/>
      </c>
      <c r="AW209" s="345">
        <f>IF($A209="",0,IF(ISNUMBER(AH209),IF(AH209&gt;=ProtHit,1,0),0))</f>
        <v/>
      </c>
      <c r="AX209" s="345">
        <f>IF($A209="",0,IF(ISNUMBER(AI209),IF(AI209&gt;=WaterHit,1,0),0))</f>
        <v/>
      </c>
      <c r="AY209" s="345">
        <f>IF($A209="",0,IF(ISNUMBER(AG209),IF(AG209&gt;=AR209,1,0),0))</f>
        <v/>
      </c>
      <c r="AZ209" s="345">
        <f>IF($A209="",0,G209)</f>
        <v/>
      </c>
      <c r="BA209" s="345">
        <f>IF($A209="",0,J209)</f>
        <v/>
      </c>
      <c r="BB209" s="345">
        <f>IF($A209="",0,K209)</f>
        <v/>
      </c>
      <c r="BC209" s="345">
        <f>IF($A209="",0,MAX(L209,AE209))</f>
        <v/>
      </c>
      <c r="BD209" s="344">
        <f>IF($A209="","",(AU209+AV209+AW209+AX209+AY209+AZ209+BB209+BC209+IF(AS209=1,BA209,0))/(8+AS209))</f>
        <v/>
      </c>
      <c r="BE209" s="344">
        <f>IF($A209="","",(IF(ISNUMBER(AI209),IF(AI209&gt;=WaterMVD,1,0),0)+AV209+IF(ISNUMBER(AH209),IF(AH209&gt;=ProtMVD,1,0),0)+MAX(H209,AD209)+AZ209+BB209+AU209)/7)</f>
        <v/>
      </c>
      <c r="BF209" s="344">
        <f>IF(AO209=0,"",IF(E209="S","",IF(AND(AP209=0,$A209=TODAY()),"",IF(E209="M",BE209,BD209))))</f>
        <v/>
      </c>
      <c r="BG209" s="344">
        <f>IF(AO209=0,"",IFERROR(AVERAGEIFS(Data!$BF$4:$BF$375,Data!$A$4:$A$375,"&gt;"&amp;($A209-7),Data!$A$4:$A$375,"&lt;="&amp;$A209),""))</f>
        <v/>
      </c>
      <c r="BH209" s="344">
        <f>IF(AO209=0,"",IFERROR(AVERAGEIFS(Data!$BF$4:$BF$375,Data!$A$4:$A$375,"&gt;"&amp;($A209-30),Data!$A$4:$A$375,"&lt;="&amp;$A209),""))</f>
        <v/>
      </c>
      <c r="BI209" s="359">
        <f>IF($A209="","",IFERROR(AVERAGEIFS(Data!$AF$4:$AF$375,Data!$A$4:$A$375,"&gt;"&amp;($A209-7),Data!$A$4:$A$375,"&lt;="&amp;$A209,Data!$AF$4:$AF$375,"&gt;0"),""))</f>
        <v/>
      </c>
      <c r="BJ209" s="345">
        <f>IF($A209="","",F209+G209+H209+I209+J209+K209+L209+M209+N209-IF(AS209=1,0,J209))</f>
        <v/>
      </c>
      <c r="BK209" s="345">
        <f>IF($A209="","",8+AS209)</f>
        <v/>
      </c>
      <c r="BL209" s="345">
        <f>IF(ISNUMBER(BF209),BF209,NA())</f>
        <v/>
      </c>
      <c r="BM209" s="345">
        <f>IF(ISNUMBER(AF209),AF209,NA())</f>
        <v/>
      </c>
      <c r="BN209" s="345">
        <f>IF(ISNUMBER(BI209),BI209,NA())</f>
        <v/>
      </c>
      <c r="BO209" s="345">
        <f>IF(ISNUMBER(AL209),AL209,NA())</f>
        <v/>
      </c>
      <c r="BP209" s="345">
        <f>IF(ISNUMBER(AM209),AM209,NA())</f>
        <v/>
      </c>
      <c r="BQ209" s="345">
        <f>IF(ISNUMBER(AN209),AN209,NA())</f>
        <v/>
      </c>
    </row>
    <row r="210">
      <c r="A210" s="358">
        <f>IF('Apr 2027'!Y7="","",'Apr 2027'!Y7)</f>
        <v/>
      </c>
      <c r="B210" s="345" t="n">
        <v>7</v>
      </c>
      <c r="C210" s="345">
        <f>IF($A210="","",21)</f>
        <v/>
      </c>
      <c r="D210" s="345">
        <f>IF($A210="","",WEEKDAY($A210,2))</f>
        <v/>
      </c>
      <c r="E210" s="345">
        <f>IF($A210="","",UPPER(TRIM('Apr 2027'!Y8)))</f>
        <v/>
      </c>
      <c r="F210" s="345">
        <f>IF($A210="","",IF(OR('Apr 2027'!Y10=TRUE,'Apr 2027'!Y10="x",'Apr 2027'!Y10="X"),1,0))</f>
        <v/>
      </c>
      <c r="G210" s="345">
        <f>IF($A210="","",IF(OR('Apr 2027'!Y11=TRUE,'Apr 2027'!Y11="x",'Apr 2027'!Y11="X"),1,0))</f>
        <v/>
      </c>
      <c r="H210" s="345">
        <f>IF($A210="","",IF(OR('Apr 2027'!Y12=TRUE,'Apr 2027'!Y12="x",'Apr 2027'!Y12="X"),1,0))</f>
        <v/>
      </c>
      <c r="I210" s="345">
        <f>IF($A210="","",IF(OR('Apr 2027'!Y13=TRUE,'Apr 2027'!Y13="x",'Apr 2027'!Y13="X"),1,0))</f>
        <v/>
      </c>
      <c r="J210" s="345">
        <f>IF($A210="","",IF(OR('Apr 2027'!Y14=TRUE,'Apr 2027'!Y14="x",'Apr 2027'!Y14="X"),1,0))</f>
        <v/>
      </c>
      <c r="K210" s="345">
        <f>IF($A210="","",IF(OR('Apr 2027'!Y15=TRUE,'Apr 2027'!Y15="x",'Apr 2027'!Y15="X"),1,0))</f>
        <v/>
      </c>
      <c r="L210" s="345">
        <f>IF($A210="","",IF(OR('Apr 2027'!Y16=TRUE,'Apr 2027'!Y16="x",'Apr 2027'!Y16="X"),1,0))</f>
        <v/>
      </c>
      <c r="M210" s="345">
        <f>IF($A210="","",IF(OR('Apr 2027'!Y17=TRUE,'Apr 2027'!Y17="x",'Apr 2027'!Y17="X"),1,0))</f>
        <v/>
      </c>
      <c r="N210" s="345">
        <f>IF($A210="","",IF(OR('Apr 2027'!Y18=TRUE,'Apr 2027'!Y18="x",'Apr 2027'!Y18="X"),1,0))</f>
        <v/>
      </c>
      <c r="O210" s="345">
        <f>IF($A210="","",IF(OR('Apr 2027'!Y20=TRUE,'Apr 2027'!Y20="x",'Apr 2027'!Y20="X"),1,0))</f>
        <v/>
      </c>
      <c r="P210" s="345">
        <f>IF($A210="","",IF(OR('Apr 2027'!Y21=TRUE,'Apr 2027'!Y21="x",'Apr 2027'!Y21="X"),1,0))</f>
        <v/>
      </c>
      <c r="Q210" s="345">
        <f>IF($A210="","",IF(OR('Apr 2027'!Y22=TRUE,'Apr 2027'!Y22="x",'Apr 2027'!Y22="X"),1,0))</f>
        <v/>
      </c>
      <c r="R210" s="345">
        <f>IF($A210="","",IF(OR('Apr 2027'!Y23=TRUE,'Apr 2027'!Y23="x",'Apr 2027'!Y23="X"),1,0))</f>
        <v/>
      </c>
      <c r="S210" s="345">
        <f>IF($A210="","",IF(OR('Apr 2027'!Y24=TRUE,'Apr 2027'!Y24="x",'Apr 2027'!Y24="X"),1,0))</f>
        <v/>
      </c>
      <c r="T210" s="345">
        <f>IF($A210="","",IF(OR('Apr 2027'!Y25=TRUE,'Apr 2027'!Y25="x",'Apr 2027'!Y25="X"),1,0))</f>
        <v/>
      </c>
      <c r="U210" s="345">
        <f>IF($A210="","",IF(OR('Apr 2027'!Y26=TRUE,'Apr 2027'!Y26="x",'Apr 2027'!Y26="X"),1,0))</f>
        <v/>
      </c>
      <c r="V210" s="345">
        <f>IF($A210="","",IF(OR('Apr 2027'!Y27=TRUE,'Apr 2027'!Y27="x",'Apr 2027'!Y27="X"),1,0))</f>
        <v/>
      </c>
      <c r="W210" s="345">
        <f>IF($A210="","",IF(OR('Apr 2027'!Y28=TRUE,'Apr 2027'!Y28="x",'Apr 2027'!Y28="X"),1,0))</f>
        <v/>
      </c>
      <c r="X210" s="345">
        <f>IF($A210="","",IF(OR('Apr 2027'!Y29=TRUE,'Apr 2027'!Y29="x",'Apr 2027'!Y29="X"),1,0))</f>
        <v/>
      </c>
      <c r="Y210" s="345">
        <f>IF($A210="","",IF(OR('Apr 2027'!Y30=TRUE,'Apr 2027'!Y30="x",'Apr 2027'!Y30="X"),1,0))</f>
        <v/>
      </c>
      <c r="Z210" s="345">
        <f>IF($A210="","",IF(OR('Apr 2027'!Y31=TRUE,'Apr 2027'!Y31="x",'Apr 2027'!Y31="X"),1,0))</f>
        <v/>
      </c>
      <c r="AA210" s="345">
        <f>IF($A210="","",IF(OR('Apr 2027'!Y32=TRUE,'Apr 2027'!Y32="x",'Apr 2027'!Y32="X"),1,0))</f>
        <v/>
      </c>
      <c r="AB210" s="345">
        <f>IF($A210="","",IF(OR('Apr 2027'!Y34=TRUE,'Apr 2027'!Y34="x",'Apr 2027'!Y34="X"),1,0))</f>
        <v/>
      </c>
      <c r="AC210" s="345">
        <f>IF($A210="","",IF(OR('Apr 2027'!Y35=TRUE,'Apr 2027'!Y35="x",'Apr 2027'!Y35="X"),1,0))</f>
        <v/>
      </c>
      <c r="AD210" s="345">
        <f>IF($A210="","",IF(OR('Apr 2027'!Y36=TRUE,'Apr 2027'!Y36="x",'Apr 2027'!Y36="X"),1,0))</f>
        <v/>
      </c>
      <c r="AE210" s="345">
        <f>IF($A210="","",IF(OR('Apr 2027'!Y37=TRUE,'Apr 2027'!Y37="x",'Apr 2027'!Y37="X"),1,0))</f>
        <v/>
      </c>
      <c r="AF210" s="345">
        <f>IF($A210="","",IF('Apr 2027'!Y59="","",'Apr 2027'!Y59))</f>
        <v/>
      </c>
      <c r="AG210" s="345">
        <f>IF($A210="","",IF('Apr 2027'!Y60="","",'Apr 2027'!Y60))</f>
        <v/>
      </c>
      <c r="AH210" s="345">
        <f>IF($A210="","",IF('Apr 2027'!Y61="","",'Apr 2027'!Y61))</f>
        <v/>
      </c>
      <c r="AI210" s="345">
        <f>IF($A210="","",IF('Apr 2027'!Y62="","",'Apr 2027'!Y62))</f>
        <v/>
      </c>
      <c r="AJ210" s="345">
        <f>IF($A210="","",IF('Apr 2027'!Y63="","",'Apr 2027'!Y63))</f>
        <v/>
      </c>
      <c r="AK210" s="345">
        <f>IF($A210="","",IF('Apr 2027'!Y64="","",'Apr 2027'!Y64))</f>
        <v/>
      </c>
      <c r="AL210" s="345">
        <f>IF($A210="","",IF('Apr 2027'!Y65="","",'Apr 2027'!Y65))</f>
        <v/>
      </c>
      <c r="AM210" s="345">
        <f>IF($A210="","",IF('Apr 2027'!Y66="","",'Apr 2027'!Y66))</f>
        <v/>
      </c>
      <c r="AN210" s="345">
        <f>IF($A210="","",IF('Apr 2027'!Y67="","",'Apr 2027'!Y67))</f>
        <v/>
      </c>
      <c r="AO210" s="345">
        <f>IF($A210="",0,IF(AND($A210&gt;=TrackStart,$A210&lt;=TODAY()),1,0))</f>
        <v/>
      </c>
      <c r="AP210" s="345">
        <f>IF($A210="",0,IF(SUM(F210:AE210)+COUNT(AF210:AN210)&gt;0,1,0))</f>
        <v/>
      </c>
      <c r="AQ210" s="345">
        <f>IF($A210="","",INT(($A210-TrackStart)/7)+1)</f>
        <v/>
      </c>
      <c r="AR210" s="345">
        <f>IF($A210="","",IF(AQ210&lt;=1,Steps1,IF(AQ210=2,Steps2,Steps3)))</f>
        <v/>
      </c>
      <c r="AS210" s="345">
        <f>IF($A210="",0,IF(ISNUMBER(SEARCH(TEXT(D210,"0"),WorkDays&amp;"")),1,0))</f>
        <v/>
      </c>
      <c r="AT210" s="345">
        <f>IF($A210="",0,IF(ISNUMBER(SEARCH(TEXT(D210,"0"),StrDays&amp;"")),1,0))</f>
        <v/>
      </c>
      <c r="AU210" s="345">
        <f>IF($A210="",0,IF(ISNUMBER(AK210),IF(AK210&gt;=SleepMin,1,0),N210))</f>
        <v/>
      </c>
      <c r="AV210" s="345">
        <f>IF($A210="",0,MAX(I210,O210,S210,AC210))</f>
        <v/>
      </c>
      <c r="AW210" s="345">
        <f>IF($A210="",0,IF(ISNUMBER(AH210),IF(AH210&gt;=ProtHit,1,0),0))</f>
        <v/>
      </c>
      <c r="AX210" s="345">
        <f>IF($A210="",0,IF(ISNUMBER(AI210),IF(AI210&gt;=WaterHit,1,0),0))</f>
        <v/>
      </c>
      <c r="AY210" s="345">
        <f>IF($A210="",0,IF(ISNUMBER(AG210),IF(AG210&gt;=AR210,1,0),0))</f>
        <v/>
      </c>
      <c r="AZ210" s="345">
        <f>IF($A210="",0,G210)</f>
        <v/>
      </c>
      <c r="BA210" s="345">
        <f>IF($A210="",0,J210)</f>
        <v/>
      </c>
      <c r="BB210" s="345">
        <f>IF($A210="",0,K210)</f>
        <v/>
      </c>
      <c r="BC210" s="345">
        <f>IF($A210="",0,MAX(L210,AE210))</f>
        <v/>
      </c>
      <c r="BD210" s="344">
        <f>IF($A210="","",(AU210+AV210+AW210+AX210+AY210+AZ210+BB210+BC210+IF(AS210=1,BA210,0))/(8+AS210))</f>
        <v/>
      </c>
      <c r="BE210" s="344">
        <f>IF($A210="","",(IF(ISNUMBER(AI210),IF(AI210&gt;=WaterMVD,1,0),0)+AV210+IF(ISNUMBER(AH210),IF(AH210&gt;=ProtMVD,1,0),0)+MAX(H210,AD210)+AZ210+BB210+AU210)/7)</f>
        <v/>
      </c>
      <c r="BF210" s="344">
        <f>IF(AO210=0,"",IF(E210="S","",IF(AND(AP210=0,$A210=TODAY()),"",IF(E210="M",BE210,BD210))))</f>
        <v/>
      </c>
      <c r="BG210" s="344">
        <f>IF(AO210=0,"",IFERROR(AVERAGEIFS(Data!$BF$4:$BF$375,Data!$A$4:$A$375,"&gt;"&amp;($A210-7),Data!$A$4:$A$375,"&lt;="&amp;$A210),""))</f>
        <v/>
      </c>
      <c r="BH210" s="344">
        <f>IF(AO210=0,"",IFERROR(AVERAGEIFS(Data!$BF$4:$BF$375,Data!$A$4:$A$375,"&gt;"&amp;($A210-30),Data!$A$4:$A$375,"&lt;="&amp;$A210),""))</f>
        <v/>
      </c>
      <c r="BI210" s="359">
        <f>IF($A210="","",IFERROR(AVERAGEIFS(Data!$AF$4:$AF$375,Data!$A$4:$A$375,"&gt;"&amp;($A210-7),Data!$A$4:$A$375,"&lt;="&amp;$A210,Data!$AF$4:$AF$375,"&gt;0"),""))</f>
        <v/>
      </c>
      <c r="BJ210" s="345">
        <f>IF($A210="","",F210+G210+H210+I210+J210+K210+L210+M210+N210-IF(AS210=1,0,J210))</f>
        <v/>
      </c>
      <c r="BK210" s="345">
        <f>IF($A210="","",8+AS210)</f>
        <v/>
      </c>
      <c r="BL210" s="345">
        <f>IF(ISNUMBER(BF210),BF210,NA())</f>
        <v/>
      </c>
      <c r="BM210" s="345">
        <f>IF(ISNUMBER(AF210),AF210,NA())</f>
        <v/>
      </c>
      <c r="BN210" s="345">
        <f>IF(ISNUMBER(BI210),BI210,NA())</f>
        <v/>
      </c>
      <c r="BO210" s="345">
        <f>IF(ISNUMBER(AL210),AL210,NA())</f>
        <v/>
      </c>
      <c r="BP210" s="345">
        <f>IF(ISNUMBER(AM210),AM210,NA())</f>
        <v/>
      </c>
      <c r="BQ210" s="345">
        <f>IF(ISNUMBER(AN210),AN210,NA())</f>
        <v/>
      </c>
    </row>
    <row r="211">
      <c r="A211" s="358">
        <f>IF('Apr 2027'!Z7="","",'Apr 2027'!Z7)</f>
        <v/>
      </c>
      <c r="B211" s="345" t="n">
        <v>7</v>
      </c>
      <c r="C211" s="345">
        <f>IF($A211="","",22)</f>
        <v/>
      </c>
      <c r="D211" s="345">
        <f>IF($A211="","",WEEKDAY($A211,2))</f>
        <v/>
      </c>
      <c r="E211" s="345">
        <f>IF($A211="","",UPPER(TRIM('Apr 2027'!Z8)))</f>
        <v/>
      </c>
      <c r="F211" s="345">
        <f>IF($A211="","",IF(OR('Apr 2027'!Z10=TRUE,'Apr 2027'!Z10="x",'Apr 2027'!Z10="X"),1,0))</f>
        <v/>
      </c>
      <c r="G211" s="345">
        <f>IF($A211="","",IF(OR('Apr 2027'!Z11=TRUE,'Apr 2027'!Z11="x",'Apr 2027'!Z11="X"),1,0))</f>
        <v/>
      </c>
      <c r="H211" s="345">
        <f>IF($A211="","",IF(OR('Apr 2027'!Z12=TRUE,'Apr 2027'!Z12="x",'Apr 2027'!Z12="X"),1,0))</f>
        <v/>
      </c>
      <c r="I211" s="345">
        <f>IF($A211="","",IF(OR('Apr 2027'!Z13=TRUE,'Apr 2027'!Z13="x",'Apr 2027'!Z13="X"),1,0))</f>
        <v/>
      </c>
      <c r="J211" s="345">
        <f>IF($A211="","",IF(OR('Apr 2027'!Z14=TRUE,'Apr 2027'!Z14="x",'Apr 2027'!Z14="X"),1,0))</f>
        <v/>
      </c>
      <c r="K211" s="345">
        <f>IF($A211="","",IF(OR('Apr 2027'!Z15=TRUE,'Apr 2027'!Z15="x",'Apr 2027'!Z15="X"),1,0))</f>
        <v/>
      </c>
      <c r="L211" s="345">
        <f>IF($A211="","",IF(OR('Apr 2027'!Z16=TRUE,'Apr 2027'!Z16="x",'Apr 2027'!Z16="X"),1,0))</f>
        <v/>
      </c>
      <c r="M211" s="345">
        <f>IF($A211="","",IF(OR('Apr 2027'!Z17=TRUE,'Apr 2027'!Z17="x",'Apr 2027'!Z17="X"),1,0))</f>
        <v/>
      </c>
      <c r="N211" s="345">
        <f>IF($A211="","",IF(OR('Apr 2027'!Z18=TRUE,'Apr 2027'!Z18="x",'Apr 2027'!Z18="X"),1,0))</f>
        <v/>
      </c>
      <c r="O211" s="345">
        <f>IF($A211="","",IF(OR('Apr 2027'!Z20=TRUE,'Apr 2027'!Z20="x",'Apr 2027'!Z20="X"),1,0))</f>
        <v/>
      </c>
      <c r="P211" s="345">
        <f>IF($A211="","",IF(OR('Apr 2027'!Z21=TRUE,'Apr 2027'!Z21="x",'Apr 2027'!Z21="X"),1,0))</f>
        <v/>
      </c>
      <c r="Q211" s="345">
        <f>IF($A211="","",IF(OR('Apr 2027'!Z22=TRUE,'Apr 2027'!Z22="x",'Apr 2027'!Z22="X"),1,0))</f>
        <v/>
      </c>
      <c r="R211" s="345">
        <f>IF($A211="","",IF(OR('Apr 2027'!Z23=TRUE,'Apr 2027'!Z23="x",'Apr 2027'!Z23="X"),1,0))</f>
        <v/>
      </c>
      <c r="S211" s="345">
        <f>IF($A211="","",IF(OR('Apr 2027'!Z24=TRUE,'Apr 2027'!Z24="x",'Apr 2027'!Z24="X"),1,0))</f>
        <v/>
      </c>
      <c r="T211" s="345">
        <f>IF($A211="","",IF(OR('Apr 2027'!Z25=TRUE,'Apr 2027'!Z25="x",'Apr 2027'!Z25="X"),1,0))</f>
        <v/>
      </c>
      <c r="U211" s="345">
        <f>IF($A211="","",IF(OR('Apr 2027'!Z26=TRUE,'Apr 2027'!Z26="x",'Apr 2027'!Z26="X"),1,0))</f>
        <v/>
      </c>
      <c r="V211" s="345">
        <f>IF($A211="","",IF(OR('Apr 2027'!Z27=TRUE,'Apr 2027'!Z27="x",'Apr 2027'!Z27="X"),1,0))</f>
        <v/>
      </c>
      <c r="W211" s="345">
        <f>IF($A211="","",IF(OR('Apr 2027'!Z28=TRUE,'Apr 2027'!Z28="x",'Apr 2027'!Z28="X"),1,0))</f>
        <v/>
      </c>
      <c r="X211" s="345">
        <f>IF($A211="","",IF(OR('Apr 2027'!Z29=TRUE,'Apr 2027'!Z29="x",'Apr 2027'!Z29="X"),1,0))</f>
        <v/>
      </c>
      <c r="Y211" s="345">
        <f>IF($A211="","",IF(OR('Apr 2027'!Z30=TRUE,'Apr 2027'!Z30="x",'Apr 2027'!Z30="X"),1,0))</f>
        <v/>
      </c>
      <c r="Z211" s="345">
        <f>IF($A211="","",IF(OR('Apr 2027'!Z31=TRUE,'Apr 2027'!Z31="x",'Apr 2027'!Z31="X"),1,0))</f>
        <v/>
      </c>
      <c r="AA211" s="345">
        <f>IF($A211="","",IF(OR('Apr 2027'!Z32=TRUE,'Apr 2027'!Z32="x",'Apr 2027'!Z32="X"),1,0))</f>
        <v/>
      </c>
      <c r="AB211" s="345">
        <f>IF($A211="","",IF(OR('Apr 2027'!Z34=TRUE,'Apr 2027'!Z34="x",'Apr 2027'!Z34="X"),1,0))</f>
        <v/>
      </c>
      <c r="AC211" s="345">
        <f>IF($A211="","",IF(OR('Apr 2027'!Z35=TRUE,'Apr 2027'!Z35="x",'Apr 2027'!Z35="X"),1,0))</f>
        <v/>
      </c>
      <c r="AD211" s="345">
        <f>IF($A211="","",IF(OR('Apr 2027'!Z36=TRUE,'Apr 2027'!Z36="x",'Apr 2027'!Z36="X"),1,0))</f>
        <v/>
      </c>
      <c r="AE211" s="345">
        <f>IF($A211="","",IF(OR('Apr 2027'!Z37=TRUE,'Apr 2027'!Z37="x",'Apr 2027'!Z37="X"),1,0))</f>
        <v/>
      </c>
      <c r="AF211" s="345">
        <f>IF($A211="","",IF('Apr 2027'!Z59="","",'Apr 2027'!Z59))</f>
        <v/>
      </c>
      <c r="AG211" s="345">
        <f>IF($A211="","",IF('Apr 2027'!Z60="","",'Apr 2027'!Z60))</f>
        <v/>
      </c>
      <c r="AH211" s="345">
        <f>IF($A211="","",IF('Apr 2027'!Z61="","",'Apr 2027'!Z61))</f>
        <v/>
      </c>
      <c r="AI211" s="345">
        <f>IF($A211="","",IF('Apr 2027'!Z62="","",'Apr 2027'!Z62))</f>
        <v/>
      </c>
      <c r="AJ211" s="345">
        <f>IF($A211="","",IF('Apr 2027'!Z63="","",'Apr 2027'!Z63))</f>
        <v/>
      </c>
      <c r="AK211" s="345">
        <f>IF($A211="","",IF('Apr 2027'!Z64="","",'Apr 2027'!Z64))</f>
        <v/>
      </c>
      <c r="AL211" s="345">
        <f>IF($A211="","",IF('Apr 2027'!Z65="","",'Apr 2027'!Z65))</f>
        <v/>
      </c>
      <c r="AM211" s="345">
        <f>IF($A211="","",IF('Apr 2027'!Z66="","",'Apr 2027'!Z66))</f>
        <v/>
      </c>
      <c r="AN211" s="345">
        <f>IF($A211="","",IF('Apr 2027'!Z67="","",'Apr 2027'!Z67))</f>
        <v/>
      </c>
      <c r="AO211" s="345">
        <f>IF($A211="",0,IF(AND($A211&gt;=TrackStart,$A211&lt;=TODAY()),1,0))</f>
        <v/>
      </c>
      <c r="AP211" s="345">
        <f>IF($A211="",0,IF(SUM(F211:AE211)+COUNT(AF211:AN211)&gt;0,1,0))</f>
        <v/>
      </c>
      <c r="AQ211" s="345">
        <f>IF($A211="","",INT(($A211-TrackStart)/7)+1)</f>
        <v/>
      </c>
      <c r="AR211" s="345">
        <f>IF($A211="","",IF(AQ211&lt;=1,Steps1,IF(AQ211=2,Steps2,Steps3)))</f>
        <v/>
      </c>
      <c r="AS211" s="345">
        <f>IF($A211="",0,IF(ISNUMBER(SEARCH(TEXT(D211,"0"),WorkDays&amp;"")),1,0))</f>
        <v/>
      </c>
      <c r="AT211" s="345">
        <f>IF($A211="",0,IF(ISNUMBER(SEARCH(TEXT(D211,"0"),StrDays&amp;"")),1,0))</f>
        <v/>
      </c>
      <c r="AU211" s="345">
        <f>IF($A211="",0,IF(ISNUMBER(AK211),IF(AK211&gt;=SleepMin,1,0),N211))</f>
        <v/>
      </c>
      <c r="AV211" s="345">
        <f>IF($A211="",0,MAX(I211,O211,S211,AC211))</f>
        <v/>
      </c>
      <c r="AW211" s="345">
        <f>IF($A211="",0,IF(ISNUMBER(AH211),IF(AH211&gt;=ProtHit,1,0),0))</f>
        <v/>
      </c>
      <c r="AX211" s="345">
        <f>IF($A211="",0,IF(ISNUMBER(AI211),IF(AI211&gt;=WaterHit,1,0),0))</f>
        <v/>
      </c>
      <c r="AY211" s="345">
        <f>IF($A211="",0,IF(ISNUMBER(AG211),IF(AG211&gt;=AR211,1,0),0))</f>
        <v/>
      </c>
      <c r="AZ211" s="345">
        <f>IF($A211="",0,G211)</f>
        <v/>
      </c>
      <c r="BA211" s="345">
        <f>IF($A211="",0,J211)</f>
        <v/>
      </c>
      <c r="BB211" s="345">
        <f>IF($A211="",0,K211)</f>
        <v/>
      </c>
      <c r="BC211" s="345">
        <f>IF($A211="",0,MAX(L211,AE211))</f>
        <v/>
      </c>
      <c r="BD211" s="344">
        <f>IF($A211="","",(AU211+AV211+AW211+AX211+AY211+AZ211+BB211+BC211+IF(AS211=1,BA211,0))/(8+AS211))</f>
        <v/>
      </c>
      <c r="BE211" s="344">
        <f>IF($A211="","",(IF(ISNUMBER(AI211),IF(AI211&gt;=WaterMVD,1,0),0)+AV211+IF(ISNUMBER(AH211),IF(AH211&gt;=ProtMVD,1,0),0)+MAX(H211,AD211)+AZ211+BB211+AU211)/7)</f>
        <v/>
      </c>
      <c r="BF211" s="344">
        <f>IF(AO211=0,"",IF(E211="S","",IF(AND(AP211=0,$A211=TODAY()),"",IF(E211="M",BE211,BD211))))</f>
        <v/>
      </c>
      <c r="BG211" s="344">
        <f>IF(AO211=0,"",IFERROR(AVERAGEIFS(Data!$BF$4:$BF$375,Data!$A$4:$A$375,"&gt;"&amp;($A211-7),Data!$A$4:$A$375,"&lt;="&amp;$A211),""))</f>
        <v/>
      </c>
      <c r="BH211" s="344">
        <f>IF(AO211=0,"",IFERROR(AVERAGEIFS(Data!$BF$4:$BF$375,Data!$A$4:$A$375,"&gt;"&amp;($A211-30),Data!$A$4:$A$375,"&lt;="&amp;$A211),""))</f>
        <v/>
      </c>
      <c r="BI211" s="359">
        <f>IF($A211="","",IFERROR(AVERAGEIFS(Data!$AF$4:$AF$375,Data!$A$4:$A$375,"&gt;"&amp;($A211-7),Data!$A$4:$A$375,"&lt;="&amp;$A211,Data!$AF$4:$AF$375,"&gt;0"),""))</f>
        <v/>
      </c>
      <c r="BJ211" s="345">
        <f>IF($A211="","",F211+G211+H211+I211+J211+K211+L211+M211+N211-IF(AS211=1,0,J211))</f>
        <v/>
      </c>
      <c r="BK211" s="345">
        <f>IF($A211="","",8+AS211)</f>
        <v/>
      </c>
      <c r="BL211" s="345">
        <f>IF(ISNUMBER(BF211),BF211,NA())</f>
        <v/>
      </c>
      <c r="BM211" s="345">
        <f>IF(ISNUMBER(AF211),AF211,NA())</f>
        <v/>
      </c>
      <c r="BN211" s="345">
        <f>IF(ISNUMBER(BI211),BI211,NA())</f>
        <v/>
      </c>
      <c r="BO211" s="345">
        <f>IF(ISNUMBER(AL211),AL211,NA())</f>
        <v/>
      </c>
      <c r="BP211" s="345">
        <f>IF(ISNUMBER(AM211),AM211,NA())</f>
        <v/>
      </c>
      <c r="BQ211" s="345">
        <f>IF(ISNUMBER(AN211),AN211,NA())</f>
        <v/>
      </c>
    </row>
    <row r="212">
      <c r="A212" s="358">
        <f>IF('Apr 2027'!AA7="","",'Apr 2027'!AA7)</f>
        <v/>
      </c>
      <c r="B212" s="345" t="n">
        <v>7</v>
      </c>
      <c r="C212" s="345">
        <f>IF($A212="","",23)</f>
        <v/>
      </c>
      <c r="D212" s="345">
        <f>IF($A212="","",WEEKDAY($A212,2))</f>
        <v/>
      </c>
      <c r="E212" s="345">
        <f>IF($A212="","",UPPER(TRIM('Apr 2027'!AA8)))</f>
        <v/>
      </c>
      <c r="F212" s="345">
        <f>IF($A212="","",IF(OR('Apr 2027'!AA10=TRUE,'Apr 2027'!AA10="x",'Apr 2027'!AA10="X"),1,0))</f>
        <v/>
      </c>
      <c r="G212" s="345">
        <f>IF($A212="","",IF(OR('Apr 2027'!AA11=TRUE,'Apr 2027'!AA11="x",'Apr 2027'!AA11="X"),1,0))</f>
        <v/>
      </c>
      <c r="H212" s="345">
        <f>IF($A212="","",IF(OR('Apr 2027'!AA12=TRUE,'Apr 2027'!AA12="x",'Apr 2027'!AA12="X"),1,0))</f>
        <v/>
      </c>
      <c r="I212" s="345">
        <f>IF($A212="","",IF(OR('Apr 2027'!AA13=TRUE,'Apr 2027'!AA13="x",'Apr 2027'!AA13="X"),1,0))</f>
        <v/>
      </c>
      <c r="J212" s="345">
        <f>IF($A212="","",IF(OR('Apr 2027'!AA14=TRUE,'Apr 2027'!AA14="x",'Apr 2027'!AA14="X"),1,0))</f>
        <v/>
      </c>
      <c r="K212" s="345">
        <f>IF($A212="","",IF(OR('Apr 2027'!AA15=TRUE,'Apr 2027'!AA15="x",'Apr 2027'!AA15="X"),1,0))</f>
        <v/>
      </c>
      <c r="L212" s="345">
        <f>IF($A212="","",IF(OR('Apr 2027'!AA16=TRUE,'Apr 2027'!AA16="x",'Apr 2027'!AA16="X"),1,0))</f>
        <v/>
      </c>
      <c r="M212" s="345">
        <f>IF($A212="","",IF(OR('Apr 2027'!AA17=TRUE,'Apr 2027'!AA17="x",'Apr 2027'!AA17="X"),1,0))</f>
        <v/>
      </c>
      <c r="N212" s="345">
        <f>IF($A212="","",IF(OR('Apr 2027'!AA18=TRUE,'Apr 2027'!AA18="x",'Apr 2027'!AA18="X"),1,0))</f>
        <v/>
      </c>
      <c r="O212" s="345">
        <f>IF($A212="","",IF(OR('Apr 2027'!AA20=TRUE,'Apr 2027'!AA20="x",'Apr 2027'!AA20="X"),1,0))</f>
        <v/>
      </c>
      <c r="P212" s="345">
        <f>IF($A212="","",IF(OR('Apr 2027'!AA21=TRUE,'Apr 2027'!AA21="x",'Apr 2027'!AA21="X"),1,0))</f>
        <v/>
      </c>
      <c r="Q212" s="345">
        <f>IF($A212="","",IF(OR('Apr 2027'!AA22=TRUE,'Apr 2027'!AA22="x",'Apr 2027'!AA22="X"),1,0))</f>
        <v/>
      </c>
      <c r="R212" s="345">
        <f>IF($A212="","",IF(OR('Apr 2027'!AA23=TRUE,'Apr 2027'!AA23="x",'Apr 2027'!AA23="X"),1,0))</f>
        <v/>
      </c>
      <c r="S212" s="345">
        <f>IF($A212="","",IF(OR('Apr 2027'!AA24=TRUE,'Apr 2027'!AA24="x",'Apr 2027'!AA24="X"),1,0))</f>
        <v/>
      </c>
      <c r="T212" s="345">
        <f>IF($A212="","",IF(OR('Apr 2027'!AA25=TRUE,'Apr 2027'!AA25="x",'Apr 2027'!AA25="X"),1,0))</f>
        <v/>
      </c>
      <c r="U212" s="345">
        <f>IF($A212="","",IF(OR('Apr 2027'!AA26=TRUE,'Apr 2027'!AA26="x",'Apr 2027'!AA26="X"),1,0))</f>
        <v/>
      </c>
      <c r="V212" s="345">
        <f>IF($A212="","",IF(OR('Apr 2027'!AA27=TRUE,'Apr 2027'!AA27="x",'Apr 2027'!AA27="X"),1,0))</f>
        <v/>
      </c>
      <c r="W212" s="345">
        <f>IF($A212="","",IF(OR('Apr 2027'!AA28=TRUE,'Apr 2027'!AA28="x",'Apr 2027'!AA28="X"),1,0))</f>
        <v/>
      </c>
      <c r="X212" s="345">
        <f>IF($A212="","",IF(OR('Apr 2027'!AA29=TRUE,'Apr 2027'!AA29="x",'Apr 2027'!AA29="X"),1,0))</f>
        <v/>
      </c>
      <c r="Y212" s="345">
        <f>IF($A212="","",IF(OR('Apr 2027'!AA30=TRUE,'Apr 2027'!AA30="x",'Apr 2027'!AA30="X"),1,0))</f>
        <v/>
      </c>
      <c r="Z212" s="345">
        <f>IF($A212="","",IF(OR('Apr 2027'!AA31=TRUE,'Apr 2027'!AA31="x",'Apr 2027'!AA31="X"),1,0))</f>
        <v/>
      </c>
      <c r="AA212" s="345">
        <f>IF($A212="","",IF(OR('Apr 2027'!AA32=TRUE,'Apr 2027'!AA32="x",'Apr 2027'!AA32="X"),1,0))</f>
        <v/>
      </c>
      <c r="AB212" s="345">
        <f>IF($A212="","",IF(OR('Apr 2027'!AA34=TRUE,'Apr 2027'!AA34="x",'Apr 2027'!AA34="X"),1,0))</f>
        <v/>
      </c>
      <c r="AC212" s="345">
        <f>IF($A212="","",IF(OR('Apr 2027'!AA35=TRUE,'Apr 2027'!AA35="x",'Apr 2027'!AA35="X"),1,0))</f>
        <v/>
      </c>
      <c r="AD212" s="345">
        <f>IF($A212="","",IF(OR('Apr 2027'!AA36=TRUE,'Apr 2027'!AA36="x",'Apr 2027'!AA36="X"),1,0))</f>
        <v/>
      </c>
      <c r="AE212" s="345">
        <f>IF($A212="","",IF(OR('Apr 2027'!AA37=TRUE,'Apr 2027'!AA37="x",'Apr 2027'!AA37="X"),1,0))</f>
        <v/>
      </c>
      <c r="AF212" s="345">
        <f>IF($A212="","",IF('Apr 2027'!AA59="","",'Apr 2027'!AA59))</f>
        <v/>
      </c>
      <c r="AG212" s="345">
        <f>IF($A212="","",IF('Apr 2027'!AA60="","",'Apr 2027'!AA60))</f>
        <v/>
      </c>
      <c r="AH212" s="345">
        <f>IF($A212="","",IF('Apr 2027'!AA61="","",'Apr 2027'!AA61))</f>
        <v/>
      </c>
      <c r="AI212" s="345">
        <f>IF($A212="","",IF('Apr 2027'!AA62="","",'Apr 2027'!AA62))</f>
        <v/>
      </c>
      <c r="AJ212" s="345">
        <f>IF($A212="","",IF('Apr 2027'!AA63="","",'Apr 2027'!AA63))</f>
        <v/>
      </c>
      <c r="AK212" s="345">
        <f>IF($A212="","",IF('Apr 2027'!AA64="","",'Apr 2027'!AA64))</f>
        <v/>
      </c>
      <c r="AL212" s="345">
        <f>IF($A212="","",IF('Apr 2027'!AA65="","",'Apr 2027'!AA65))</f>
        <v/>
      </c>
      <c r="AM212" s="345">
        <f>IF($A212="","",IF('Apr 2027'!AA66="","",'Apr 2027'!AA66))</f>
        <v/>
      </c>
      <c r="AN212" s="345">
        <f>IF($A212="","",IF('Apr 2027'!AA67="","",'Apr 2027'!AA67))</f>
        <v/>
      </c>
      <c r="AO212" s="345">
        <f>IF($A212="",0,IF(AND($A212&gt;=TrackStart,$A212&lt;=TODAY()),1,0))</f>
        <v/>
      </c>
      <c r="AP212" s="345">
        <f>IF($A212="",0,IF(SUM(F212:AE212)+COUNT(AF212:AN212)&gt;0,1,0))</f>
        <v/>
      </c>
      <c r="AQ212" s="345">
        <f>IF($A212="","",INT(($A212-TrackStart)/7)+1)</f>
        <v/>
      </c>
      <c r="AR212" s="345">
        <f>IF($A212="","",IF(AQ212&lt;=1,Steps1,IF(AQ212=2,Steps2,Steps3)))</f>
        <v/>
      </c>
      <c r="AS212" s="345">
        <f>IF($A212="",0,IF(ISNUMBER(SEARCH(TEXT(D212,"0"),WorkDays&amp;"")),1,0))</f>
        <v/>
      </c>
      <c r="AT212" s="345">
        <f>IF($A212="",0,IF(ISNUMBER(SEARCH(TEXT(D212,"0"),StrDays&amp;"")),1,0))</f>
        <v/>
      </c>
      <c r="AU212" s="345">
        <f>IF($A212="",0,IF(ISNUMBER(AK212),IF(AK212&gt;=SleepMin,1,0),N212))</f>
        <v/>
      </c>
      <c r="AV212" s="345">
        <f>IF($A212="",0,MAX(I212,O212,S212,AC212))</f>
        <v/>
      </c>
      <c r="AW212" s="345">
        <f>IF($A212="",0,IF(ISNUMBER(AH212),IF(AH212&gt;=ProtHit,1,0),0))</f>
        <v/>
      </c>
      <c r="AX212" s="345">
        <f>IF($A212="",0,IF(ISNUMBER(AI212),IF(AI212&gt;=WaterHit,1,0),0))</f>
        <v/>
      </c>
      <c r="AY212" s="345">
        <f>IF($A212="",0,IF(ISNUMBER(AG212),IF(AG212&gt;=AR212,1,0),0))</f>
        <v/>
      </c>
      <c r="AZ212" s="345">
        <f>IF($A212="",0,G212)</f>
        <v/>
      </c>
      <c r="BA212" s="345">
        <f>IF($A212="",0,J212)</f>
        <v/>
      </c>
      <c r="BB212" s="345">
        <f>IF($A212="",0,K212)</f>
        <v/>
      </c>
      <c r="BC212" s="345">
        <f>IF($A212="",0,MAX(L212,AE212))</f>
        <v/>
      </c>
      <c r="BD212" s="344">
        <f>IF($A212="","",(AU212+AV212+AW212+AX212+AY212+AZ212+BB212+BC212+IF(AS212=1,BA212,0))/(8+AS212))</f>
        <v/>
      </c>
      <c r="BE212" s="344">
        <f>IF($A212="","",(IF(ISNUMBER(AI212),IF(AI212&gt;=WaterMVD,1,0),0)+AV212+IF(ISNUMBER(AH212),IF(AH212&gt;=ProtMVD,1,0),0)+MAX(H212,AD212)+AZ212+BB212+AU212)/7)</f>
        <v/>
      </c>
      <c r="BF212" s="344">
        <f>IF(AO212=0,"",IF(E212="S","",IF(AND(AP212=0,$A212=TODAY()),"",IF(E212="M",BE212,BD212))))</f>
        <v/>
      </c>
      <c r="BG212" s="344">
        <f>IF(AO212=0,"",IFERROR(AVERAGEIFS(Data!$BF$4:$BF$375,Data!$A$4:$A$375,"&gt;"&amp;($A212-7),Data!$A$4:$A$375,"&lt;="&amp;$A212),""))</f>
        <v/>
      </c>
      <c r="BH212" s="344">
        <f>IF(AO212=0,"",IFERROR(AVERAGEIFS(Data!$BF$4:$BF$375,Data!$A$4:$A$375,"&gt;"&amp;($A212-30),Data!$A$4:$A$375,"&lt;="&amp;$A212),""))</f>
        <v/>
      </c>
      <c r="BI212" s="359">
        <f>IF($A212="","",IFERROR(AVERAGEIFS(Data!$AF$4:$AF$375,Data!$A$4:$A$375,"&gt;"&amp;($A212-7),Data!$A$4:$A$375,"&lt;="&amp;$A212,Data!$AF$4:$AF$375,"&gt;0"),""))</f>
        <v/>
      </c>
      <c r="BJ212" s="345">
        <f>IF($A212="","",F212+G212+H212+I212+J212+K212+L212+M212+N212-IF(AS212=1,0,J212))</f>
        <v/>
      </c>
      <c r="BK212" s="345">
        <f>IF($A212="","",8+AS212)</f>
        <v/>
      </c>
      <c r="BL212" s="345">
        <f>IF(ISNUMBER(BF212),BF212,NA())</f>
        <v/>
      </c>
      <c r="BM212" s="345">
        <f>IF(ISNUMBER(AF212),AF212,NA())</f>
        <v/>
      </c>
      <c r="BN212" s="345">
        <f>IF(ISNUMBER(BI212),BI212,NA())</f>
        <v/>
      </c>
      <c r="BO212" s="345">
        <f>IF(ISNUMBER(AL212),AL212,NA())</f>
        <v/>
      </c>
      <c r="BP212" s="345">
        <f>IF(ISNUMBER(AM212),AM212,NA())</f>
        <v/>
      </c>
      <c r="BQ212" s="345">
        <f>IF(ISNUMBER(AN212),AN212,NA())</f>
        <v/>
      </c>
    </row>
    <row r="213">
      <c r="A213" s="358">
        <f>IF('Apr 2027'!AB7="","",'Apr 2027'!AB7)</f>
        <v/>
      </c>
      <c r="B213" s="345" t="n">
        <v>7</v>
      </c>
      <c r="C213" s="345">
        <f>IF($A213="","",24)</f>
        <v/>
      </c>
      <c r="D213" s="345">
        <f>IF($A213="","",WEEKDAY($A213,2))</f>
        <v/>
      </c>
      <c r="E213" s="345">
        <f>IF($A213="","",UPPER(TRIM('Apr 2027'!AB8)))</f>
        <v/>
      </c>
      <c r="F213" s="345">
        <f>IF($A213="","",IF(OR('Apr 2027'!AB10=TRUE,'Apr 2027'!AB10="x",'Apr 2027'!AB10="X"),1,0))</f>
        <v/>
      </c>
      <c r="G213" s="345">
        <f>IF($A213="","",IF(OR('Apr 2027'!AB11=TRUE,'Apr 2027'!AB11="x",'Apr 2027'!AB11="X"),1,0))</f>
        <v/>
      </c>
      <c r="H213" s="345">
        <f>IF($A213="","",IF(OR('Apr 2027'!AB12=TRUE,'Apr 2027'!AB12="x",'Apr 2027'!AB12="X"),1,0))</f>
        <v/>
      </c>
      <c r="I213" s="345">
        <f>IF($A213="","",IF(OR('Apr 2027'!AB13=TRUE,'Apr 2027'!AB13="x",'Apr 2027'!AB13="X"),1,0))</f>
        <v/>
      </c>
      <c r="J213" s="345">
        <f>IF($A213="","",IF(OR('Apr 2027'!AB14=TRUE,'Apr 2027'!AB14="x",'Apr 2027'!AB14="X"),1,0))</f>
        <v/>
      </c>
      <c r="K213" s="345">
        <f>IF($A213="","",IF(OR('Apr 2027'!AB15=TRUE,'Apr 2027'!AB15="x",'Apr 2027'!AB15="X"),1,0))</f>
        <v/>
      </c>
      <c r="L213" s="345">
        <f>IF($A213="","",IF(OR('Apr 2027'!AB16=TRUE,'Apr 2027'!AB16="x",'Apr 2027'!AB16="X"),1,0))</f>
        <v/>
      </c>
      <c r="M213" s="345">
        <f>IF($A213="","",IF(OR('Apr 2027'!AB17=TRUE,'Apr 2027'!AB17="x",'Apr 2027'!AB17="X"),1,0))</f>
        <v/>
      </c>
      <c r="N213" s="345">
        <f>IF($A213="","",IF(OR('Apr 2027'!AB18=TRUE,'Apr 2027'!AB18="x",'Apr 2027'!AB18="X"),1,0))</f>
        <v/>
      </c>
      <c r="O213" s="345">
        <f>IF($A213="","",IF(OR('Apr 2027'!AB20=TRUE,'Apr 2027'!AB20="x",'Apr 2027'!AB20="X"),1,0))</f>
        <v/>
      </c>
      <c r="P213" s="345">
        <f>IF($A213="","",IF(OR('Apr 2027'!AB21=TRUE,'Apr 2027'!AB21="x",'Apr 2027'!AB21="X"),1,0))</f>
        <v/>
      </c>
      <c r="Q213" s="345">
        <f>IF($A213="","",IF(OR('Apr 2027'!AB22=TRUE,'Apr 2027'!AB22="x",'Apr 2027'!AB22="X"),1,0))</f>
        <v/>
      </c>
      <c r="R213" s="345">
        <f>IF($A213="","",IF(OR('Apr 2027'!AB23=TRUE,'Apr 2027'!AB23="x",'Apr 2027'!AB23="X"),1,0))</f>
        <v/>
      </c>
      <c r="S213" s="345">
        <f>IF($A213="","",IF(OR('Apr 2027'!AB24=TRUE,'Apr 2027'!AB24="x",'Apr 2027'!AB24="X"),1,0))</f>
        <v/>
      </c>
      <c r="T213" s="345">
        <f>IF($A213="","",IF(OR('Apr 2027'!AB25=TRUE,'Apr 2027'!AB25="x",'Apr 2027'!AB25="X"),1,0))</f>
        <v/>
      </c>
      <c r="U213" s="345">
        <f>IF($A213="","",IF(OR('Apr 2027'!AB26=TRUE,'Apr 2027'!AB26="x",'Apr 2027'!AB26="X"),1,0))</f>
        <v/>
      </c>
      <c r="V213" s="345">
        <f>IF($A213="","",IF(OR('Apr 2027'!AB27=TRUE,'Apr 2027'!AB27="x",'Apr 2027'!AB27="X"),1,0))</f>
        <v/>
      </c>
      <c r="W213" s="345">
        <f>IF($A213="","",IF(OR('Apr 2027'!AB28=TRUE,'Apr 2027'!AB28="x",'Apr 2027'!AB28="X"),1,0))</f>
        <v/>
      </c>
      <c r="X213" s="345">
        <f>IF($A213="","",IF(OR('Apr 2027'!AB29=TRUE,'Apr 2027'!AB29="x",'Apr 2027'!AB29="X"),1,0))</f>
        <v/>
      </c>
      <c r="Y213" s="345">
        <f>IF($A213="","",IF(OR('Apr 2027'!AB30=TRUE,'Apr 2027'!AB30="x",'Apr 2027'!AB30="X"),1,0))</f>
        <v/>
      </c>
      <c r="Z213" s="345">
        <f>IF($A213="","",IF(OR('Apr 2027'!AB31=TRUE,'Apr 2027'!AB31="x",'Apr 2027'!AB31="X"),1,0))</f>
        <v/>
      </c>
      <c r="AA213" s="345">
        <f>IF($A213="","",IF(OR('Apr 2027'!AB32=TRUE,'Apr 2027'!AB32="x",'Apr 2027'!AB32="X"),1,0))</f>
        <v/>
      </c>
      <c r="AB213" s="345">
        <f>IF($A213="","",IF(OR('Apr 2027'!AB34=TRUE,'Apr 2027'!AB34="x",'Apr 2027'!AB34="X"),1,0))</f>
        <v/>
      </c>
      <c r="AC213" s="345">
        <f>IF($A213="","",IF(OR('Apr 2027'!AB35=TRUE,'Apr 2027'!AB35="x",'Apr 2027'!AB35="X"),1,0))</f>
        <v/>
      </c>
      <c r="AD213" s="345">
        <f>IF($A213="","",IF(OR('Apr 2027'!AB36=TRUE,'Apr 2027'!AB36="x",'Apr 2027'!AB36="X"),1,0))</f>
        <v/>
      </c>
      <c r="AE213" s="345">
        <f>IF($A213="","",IF(OR('Apr 2027'!AB37=TRUE,'Apr 2027'!AB37="x",'Apr 2027'!AB37="X"),1,0))</f>
        <v/>
      </c>
      <c r="AF213" s="345">
        <f>IF($A213="","",IF('Apr 2027'!AB59="","",'Apr 2027'!AB59))</f>
        <v/>
      </c>
      <c r="AG213" s="345">
        <f>IF($A213="","",IF('Apr 2027'!AB60="","",'Apr 2027'!AB60))</f>
        <v/>
      </c>
      <c r="AH213" s="345">
        <f>IF($A213="","",IF('Apr 2027'!AB61="","",'Apr 2027'!AB61))</f>
        <v/>
      </c>
      <c r="AI213" s="345">
        <f>IF($A213="","",IF('Apr 2027'!AB62="","",'Apr 2027'!AB62))</f>
        <v/>
      </c>
      <c r="AJ213" s="345">
        <f>IF($A213="","",IF('Apr 2027'!AB63="","",'Apr 2027'!AB63))</f>
        <v/>
      </c>
      <c r="AK213" s="345">
        <f>IF($A213="","",IF('Apr 2027'!AB64="","",'Apr 2027'!AB64))</f>
        <v/>
      </c>
      <c r="AL213" s="345">
        <f>IF($A213="","",IF('Apr 2027'!AB65="","",'Apr 2027'!AB65))</f>
        <v/>
      </c>
      <c r="AM213" s="345">
        <f>IF($A213="","",IF('Apr 2027'!AB66="","",'Apr 2027'!AB66))</f>
        <v/>
      </c>
      <c r="AN213" s="345">
        <f>IF($A213="","",IF('Apr 2027'!AB67="","",'Apr 2027'!AB67))</f>
        <v/>
      </c>
      <c r="AO213" s="345">
        <f>IF($A213="",0,IF(AND($A213&gt;=TrackStart,$A213&lt;=TODAY()),1,0))</f>
        <v/>
      </c>
      <c r="AP213" s="345">
        <f>IF($A213="",0,IF(SUM(F213:AE213)+COUNT(AF213:AN213)&gt;0,1,0))</f>
        <v/>
      </c>
      <c r="AQ213" s="345">
        <f>IF($A213="","",INT(($A213-TrackStart)/7)+1)</f>
        <v/>
      </c>
      <c r="AR213" s="345">
        <f>IF($A213="","",IF(AQ213&lt;=1,Steps1,IF(AQ213=2,Steps2,Steps3)))</f>
        <v/>
      </c>
      <c r="AS213" s="345">
        <f>IF($A213="",0,IF(ISNUMBER(SEARCH(TEXT(D213,"0"),WorkDays&amp;"")),1,0))</f>
        <v/>
      </c>
      <c r="AT213" s="345">
        <f>IF($A213="",0,IF(ISNUMBER(SEARCH(TEXT(D213,"0"),StrDays&amp;"")),1,0))</f>
        <v/>
      </c>
      <c r="AU213" s="345">
        <f>IF($A213="",0,IF(ISNUMBER(AK213),IF(AK213&gt;=SleepMin,1,0),N213))</f>
        <v/>
      </c>
      <c r="AV213" s="345">
        <f>IF($A213="",0,MAX(I213,O213,S213,AC213))</f>
        <v/>
      </c>
      <c r="AW213" s="345">
        <f>IF($A213="",0,IF(ISNUMBER(AH213),IF(AH213&gt;=ProtHit,1,0),0))</f>
        <v/>
      </c>
      <c r="AX213" s="345">
        <f>IF($A213="",0,IF(ISNUMBER(AI213),IF(AI213&gt;=WaterHit,1,0),0))</f>
        <v/>
      </c>
      <c r="AY213" s="345">
        <f>IF($A213="",0,IF(ISNUMBER(AG213),IF(AG213&gt;=AR213,1,0),0))</f>
        <v/>
      </c>
      <c r="AZ213" s="345">
        <f>IF($A213="",0,G213)</f>
        <v/>
      </c>
      <c r="BA213" s="345">
        <f>IF($A213="",0,J213)</f>
        <v/>
      </c>
      <c r="BB213" s="345">
        <f>IF($A213="",0,K213)</f>
        <v/>
      </c>
      <c r="BC213" s="345">
        <f>IF($A213="",0,MAX(L213,AE213))</f>
        <v/>
      </c>
      <c r="BD213" s="344">
        <f>IF($A213="","",(AU213+AV213+AW213+AX213+AY213+AZ213+BB213+BC213+IF(AS213=1,BA213,0))/(8+AS213))</f>
        <v/>
      </c>
      <c r="BE213" s="344">
        <f>IF($A213="","",(IF(ISNUMBER(AI213),IF(AI213&gt;=WaterMVD,1,0),0)+AV213+IF(ISNUMBER(AH213),IF(AH213&gt;=ProtMVD,1,0),0)+MAX(H213,AD213)+AZ213+BB213+AU213)/7)</f>
        <v/>
      </c>
      <c r="BF213" s="344">
        <f>IF(AO213=0,"",IF(E213="S","",IF(AND(AP213=0,$A213=TODAY()),"",IF(E213="M",BE213,BD213))))</f>
        <v/>
      </c>
      <c r="BG213" s="344">
        <f>IF(AO213=0,"",IFERROR(AVERAGEIFS(Data!$BF$4:$BF$375,Data!$A$4:$A$375,"&gt;"&amp;($A213-7),Data!$A$4:$A$375,"&lt;="&amp;$A213),""))</f>
        <v/>
      </c>
      <c r="BH213" s="344">
        <f>IF(AO213=0,"",IFERROR(AVERAGEIFS(Data!$BF$4:$BF$375,Data!$A$4:$A$375,"&gt;"&amp;($A213-30),Data!$A$4:$A$375,"&lt;="&amp;$A213),""))</f>
        <v/>
      </c>
      <c r="BI213" s="359">
        <f>IF($A213="","",IFERROR(AVERAGEIFS(Data!$AF$4:$AF$375,Data!$A$4:$A$375,"&gt;"&amp;($A213-7),Data!$A$4:$A$375,"&lt;="&amp;$A213,Data!$AF$4:$AF$375,"&gt;0"),""))</f>
        <v/>
      </c>
      <c r="BJ213" s="345">
        <f>IF($A213="","",F213+G213+H213+I213+J213+K213+L213+M213+N213-IF(AS213=1,0,J213))</f>
        <v/>
      </c>
      <c r="BK213" s="345">
        <f>IF($A213="","",8+AS213)</f>
        <v/>
      </c>
      <c r="BL213" s="345">
        <f>IF(ISNUMBER(BF213),BF213,NA())</f>
        <v/>
      </c>
      <c r="BM213" s="345">
        <f>IF(ISNUMBER(AF213),AF213,NA())</f>
        <v/>
      </c>
      <c r="BN213" s="345">
        <f>IF(ISNUMBER(BI213),BI213,NA())</f>
        <v/>
      </c>
      <c r="BO213" s="345">
        <f>IF(ISNUMBER(AL213),AL213,NA())</f>
        <v/>
      </c>
      <c r="BP213" s="345">
        <f>IF(ISNUMBER(AM213),AM213,NA())</f>
        <v/>
      </c>
      <c r="BQ213" s="345">
        <f>IF(ISNUMBER(AN213),AN213,NA())</f>
        <v/>
      </c>
    </row>
    <row r="214">
      <c r="A214" s="358">
        <f>IF('Apr 2027'!AC7="","",'Apr 2027'!AC7)</f>
        <v/>
      </c>
      <c r="B214" s="345" t="n">
        <v>7</v>
      </c>
      <c r="C214" s="345">
        <f>IF($A214="","",25)</f>
        <v/>
      </c>
      <c r="D214" s="345">
        <f>IF($A214="","",WEEKDAY($A214,2))</f>
        <v/>
      </c>
      <c r="E214" s="345">
        <f>IF($A214="","",UPPER(TRIM('Apr 2027'!AC8)))</f>
        <v/>
      </c>
      <c r="F214" s="345">
        <f>IF($A214="","",IF(OR('Apr 2027'!AC10=TRUE,'Apr 2027'!AC10="x",'Apr 2027'!AC10="X"),1,0))</f>
        <v/>
      </c>
      <c r="G214" s="345">
        <f>IF($A214="","",IF(OR('Apr 2027'!AC11=TRUE,'Apr 2027'!AC11="x",'Apr 2027'!AC11="X"),1,0))</f>
        <v/>
      </c>
      <c r="H214" s="345">
        <f>IF($A214="","",IF(OR('Apr 2027'!AC12=TRUE,'Apr 2027'!AC12="x",'Apr 2027'!AC12="X"),1,0))</f>
        <v/>
      </c>
      <c r="I214" s="345">
        <f>IF($A214="","",IF(OR('Apr 2027'!AC13=TRUE,'Apr 2027'!AC13="x",'Apr 2027'!AC13="X"),1,0))</f>
        <v/>
      </c>
      <c r="J214" s="345">
        <f>IF($A214="","",IF(OR('Apr 2027'!AC14=TRUE,'Apr 2027'!AC14="x",'Apr 2027'!AC14="X"),1,0))</f>
        <v/>
      </c>
      <c r="K214" s="345">
        <f>IF($A214="","",IF(OR('Apr 2027'!AC15=TRUE,'Apr 2027'!AC15="x",'Apr 2027'!AC15="X"),1,0))</f>
        <v/>
      </c>
      <c r="L214" s="345">
        <f>IF($A214="","",IF(OR('Apr 2027'!AC16=TRUE,'Apr 2027'!AC16="x",'Apr 2027'!AC16="X"),1,0))</f>
        <v/>
      </c>
      <c r="M214" s="345">
        <f>IF($A214="","",IF(OR('Apr 2027'!AC17=TRUE,'Apr 2027'!AC17="x",'Apr 2027'!AC17="X"),1,0))</f>
        <v/>
      </c>
      <c r="N214" s="345">
        <f>IF($A214="","",IF(OR('Apr 2027'!AC18=TRUE,'Apr 2027'!AC18="x",'Apr 2027'!AC18="X"),1,0))</f>
        <v/>
      </c>
      <c r="O214" s="345">
        <f>IF($A214="","",IF(OR('Apr 2027'!AC20=TRUE,'Apr 2027'!AC20="x",'Apr 2027'!AC20="X"),1,0))</f>
        <v/>
      </c>
      <c r="P214" s="345">
        <f>IF($A214="","",IF(OR('Apr 2027'!AC21=TRUE,'Apr 2027'!AC21="x",'Apr 2027'!AC21="X"),1,0))</f>
        <v/>
      </c>
      <c r="Q214" s="345">
        <f>IF($A214="","",IF(OR('Apr 2027'!AC22=TRUE,'Apr 2027'!AC22="x",'Apr 2027'!AC22="X"),1,0))</f>
        <v/>
      </c>
      <c r="R214" s="345">
        <f>IF($A214="","",IF(OR('Apr 2027'!AC23=TRUE,'Apr 2027'!AC23="x",'Apr 2027'!AC23="X"),1,0))</f>
        <v/>
      </c>
      <c r="S214" s="345">
        <f>IF($A214="","",IF(OR('Apr 2027'!AC24=TRUE,'Apr 2027'!AC24="x",'Apr 2027'!AC24="X"),1,0))</f>
        <v/>
      </c>
      <c r="T214" s="345">
        <f>IF($A214="","",IF(OR('Apr 2027'!AC25=TRUE,'Apr 2027'!AC25="x",'Apr 2027'!AC25="X"),1,0))</f>
        <v/>
      </c>
      <c r="U214" s="345">
        <f>IF($A214="","",IF(OR('Apr 2027'!AC26=TRUE,'Apr 2027'!AC26="x",'Apr 2027'!AC26="X"),1,0))</f>
        <v/>
      </c>
      <c r="V214" s="345">
        <f>IF($A214="","",IF(OR('Apr 2027'!AC27=TRUE,'Apr 2027'!AC27="x",'Apr 2027'!AC27="X"),1,0))</f>
        <v/>
      </c>
      <c r="W214" s="345">
        <f>IF($A214="","",IF(OR('Apr 2027'!AC28=TRUE,'Apr 2027'!AC28="x",'Apr 2027'!AC28="X"),1,0))</f>
        <v/>
      </c>
      <c r="X214" s="345">
        <f>IF($A214="","",IF(OR('Apr 2027'!AC29=TRUE,'Apr 2027'!AC29="x",'Apr 2027'!AC29="X"),1,0))</f>
        <v/>
      </c>
      <c r="Y214" s="345">
        <f>IF($A214="","",IF(OR('Apr 2027'!AC30=TRUE,'Apr 2027'!AC30="x",'Apr 2027'!AC30="X"),1,0))</f>
        <v/>
      </c>
      <c r="Z214" s="345">
        <f>IF($A214="","",IF(OR('Apr 2027'!AC31=TRUE,'Apr 2027'!AC31="x",'Apr 2027'!AC31="X"),1,0))</f>
        <v/>
      </c>
      <c r="AA214" s="345">
        <f>IF($A214="","",IF(OR('Apr 2027'!AC32=TRUE,'Apr 2027'!AC32="x",'Apr 2027'!AC32="X"),1,0))</f>
        <v/>
      </c>
      <c r="AB214" s="345">
        <f>IF($A214="","",IF(OR('Apr 2027'!AC34=TRUE,'Apr 2027'!AC34="x",'Apr 2027'!AC34="X"),1,0))</f>
        <v/>
      </c>
      <c r="AC214" s="345">
        <f>IF($A214="","",IF(OR('Apr 2027'!AC35=TRUE,'Apr 2027'!AC35="x",'Apr 2027'!AC35="X"),1,0))</f>
        <v/>
      </c>
      <c r="AD214" s="345">
        <f>IF($A214="","",IF(OR('Apr 2027'!AC36=TRUE,'Apr 2027'!AC36="x",'Apr 2027'!AC36="X"),1,0))</f>
        <v/>
      </c>
      <c r="AE214" s="345">
        <f>IF($A214="","",IF(OR('Apr 2027'!AC37=TRUE,'Apr 2027'!AC37="x",'Apr 2027'!AC37="X"),1,0))</f>
        <v/>
      </c>
      <c r="AF214" s="345">
        <f>IF($A214="","",IF('Apr 2027'!AC59="","",'Apr 2027'!AC59))</f>
        <v/>
      </c>
      <c r="AG214" s="345">
        <f>IF($A214="","",IF('Apr 2027'!AC60="","",'Apr 2027'!AC60))</f>
        <v/>
      </c>
      <c r="AH214" s="345">
        <f>IF($A214="","",IF('Apr 2027'!AC61="","",'Apr 2027'!AC61))</f>
        <v/>
      </c>
      <c r="AI214" s="345">
        <f>IF($A214="","",IF('Apr 2027'!AC62="","",'Apr 2027'!AC62))</f>
        <v/>
      </c>
      <c r="AJ214" s="345">
        <f>IF($A214="","",IF('Apr 2027'!AC63="","",'Apr 2027'!AC63))</f>
        <v/>
      </c>
      <c r="AK214" s="345">
        <f>IF($A214="","",IF('Apr 2027'!AC64="","",'Apr 2027'!AC64))</f>
        <v/>
      </c>
      <c r="AL214" s="345">
        <f>IF($A214="","",IF('Apr 2027'!AC65="","",'Apr 2027'!AC65))</f>
        <v/>
      </c>
      <c r="AM214" s="345">
        <f>IF($A214="","",IF('Apr 2027'!AC66="","",'Apr 2027'!AC66))</f>
        <v/>
      </c>
      <c r="AN214" s="345">
        <f>IF($A214="","",IF('Apr 2027'!AC67="","",'Apr 2027'!AC67))</f>
        <v/>
      </c>
      <c r="AO214" s="345">
        <f>IF($A214="",0,IF(AND($A214&gt;=TrackStart,$A214&lt;=TODAY()),1,0))</f>
        <v/>
      </c>
      <c r="AP214" s="345">
        <f>IF($A214="",0,IF(SUM(F214:AE214)+COUNT(AF214:AN214)&gt;0,1,0))</f>
        <v/>
      </c>
      <c r="AQ214" s="345">
        <f>IF($A214="","",INT(($A214-TrackStart)/7)+1)</f>
        <v/>
      </c>
      <c r="AR214" s="345">
        <f>IF($A214="","",IF(AQ214&lt;=1,Steps1,IF(AQ214=2,Steps2,Steps3)))</f>
        <v/>
      </c>
      <c r="AS214" s="345">
        <f>IF($A214="",0,IF(ISNUMBER(SEARCH(TEXT(D214,"0"),WorkDays&amp;"")),1,0))</f>
        <v/>
      </c>
      <c r="AT214" s="345">
        <f>IF($A214="",0,IF(ISNUMBER(SEARCH(TEXT(D214,"0"),StrDays&amp;"")),1,0))</f>
        <v/>
      </c>
      <c r="AU214" s="345">
        <f>IF($A214="",0,IF(ISNUMBER(AK214),IF(AK214&gt;=SleepMin,1,0),N214))</f>
        <v/>
      </c>
      <c r="AV214" s="345">
        <f>IF($A214="",0,MAX(I214,O214,S214,AC214))</f>
        <v/>
      </c>
      <c r="AW214" s="345">
        <f>IF($A214="",0,IF(ISNUMBER(AH214),IF(AH214&gt;=ProtHit,1,0),0))</f>
        <v/>
      </c>
      <c r="AX214" s="345">
        <f>IF($A214="",0,IF(ISNUMBER(AI214),IF(AI214&gt;=WaterHit,1,0),0))</f>
        <v/>
      </c>
      <c r="AY214" s="345">
        <f>IF($A214="",0,IF(ISNUMBER(AG214),IF(AG214&gt;=AR214,1,0),0))</f>
        <v/>
      </c>
      <c r="AZ214" s="345">
        <f>IF($A214="",0,G214)</f>
        <v/>
      </c>
      <c r="BA214" s="345">
        <f>IF($A214="",0,J214)</f>
        <v/>
      </c>
      <c r="BB214" s="345">
        <f>IF($A214="",0,K214)</f>
        <v/>
      </c>
      <c r="BC214" s="345">
        <f>IF($A214="",0,MAX(L214,AE214))</f>
        <v/>
      </c>
      <c r="BD214" s="344">
        <f>IF($A214="","",(AU214+AV214+AW214+AX214+AY214+AZ214+BB214+BC214+IF(AS214=1,BA214,0))/(8+AS214))</f>
        <v/>
      </c>
      <c r="BE214" s="344">
        <f>IF($A214="","",(IF(ISNUMBER(AI214),IF(AI214&gt;=WaterMVD,1,0),0)+AV214+IF(ISNUMBER(AH214),IF(AH214&gt;=ProtMVD,1,0),0)+MAX(H214,AD214)+AZ214+BB214+AU214)/7)</f>
        <v/>
      </c>
      <c r="BF214" s="344">
        <f>IF(AO214=0,"",IF(E214="S","",IF(AND(AP214=0,$A214=TODAY()),"",IF(E214="M",BE214,BD214))))</f>
        <v/>
      </c>
      <c r="BG214" s="344">
        <f>IF(AO214=0,"",IFERROR(AVERAGEIFS(Data!$BF$4:$BF$375,Data!$A$4:$A$375,"&gt;"&amp;($A214-7),Data!$A$4:$A$375,"&lt;="&amp;$A214),""))</f>
        <v/>
      </c>
      <c r="BH214" s="344">
        <f>IF(AO214=0,"",IFERROR(AVERAGEIFS(Data!$BF$4:$BF$375,Data!$A$4:$A$375,"&gt;"&amp;($A214-30),Data!$A$4:$A$375,"&lt;="&amp;$A214),""))</f>
        <v/>
      </c>
      <c r="BI214" s="359">
        <f>IF($A214="","",IFERROR(AVERAGEIFS(Data!$AF$4:$AF$375,Data!$A$4:$A$375,"&gt;"&amp;($A214-7),Data!$A$4:$A$375,"&lt;="&amp;$A214,Data!$AF$4:$AF$375,"&gt;0"),""))</f>
        <v/>
      </c>
      <c r="BJ214" s="345">
        <f>IF($A214="","",F214+G214+H214+I214+J214+K214+L214+M214+N214-IF(AS214=1,0,J214))</f>
        <v/>
      </c>
      <c r="BK214" s="345">
        <f>IF($A214="","",8+AS214)</f>
        <v/>
      </c>
      <c r="BL214" s="345">
        <f>IF(ISNUMBER(BF214),BF214,NA())</f>
        <v/>
      </c>
      <c r="BM214" s="345">
        <f>IF(ISNUMBER(AF214),AF214,NA())</f>
        <v/>
      </c>
      <c r="BN214" s="345">
        <f>IF(ISNUMBER(BI214),BI214,NA())</f>
        <v/>
      </c>
      <c r="BO214" s="345">
        <f>IF(ISNUMBER(AL214),AL214,NA())</f>
        <v/>
      </c>
      <c r="BP214" s="345">
        <f>IF(ISNUMBER(AM214),AM214,NA())</f>
        <v/>
      </c>
      <c r="BQ214" s="345">
        <f>IF(ISNUMBER(AN214),AN214,NA())</f>
        <v/>
      </c>
    </row>
    <row r="215">
      <c r="A215" s="358">
        <f>IF('Apr 2027'!AD7="","",'Apr 2027'!AD7)</f>
        <v/>
      </c>
      <c r="B215" s="345" t="n">
        <v>7</v>
      </c>
      <c r="C215" s="345">
        <f>IF($A215="","",26)</f>
        <v/>
      </c>
      <c r="D215" s="345">
        <f>IF($A215="","",WEEKDAY($A215,2))</f>
        <v/>
      </c>
      <c r="E215" s="345">
        <f>IF($A215="","",UPPER(TRIM('Apr 2027'!AD8)))</f>
        <v/>
      </c>
      <c r="F215" s="345">
        <f>IF($A215="","",IF(OR('Apr 2027'!AD10=TRUE,'Apr 2027'!AD10="x",'Apr 2027'!AD10="X"),1,0))</f>
        <v/>
      </c>
      <c r="G215" s="345">
        <f>IF($A215="","",IF(OR('Apr 2027'!AD11=TRUE,'Apr 2027'!AD11="x",'Apr 2027'!AD11="X"),1,0))</f>
        <v/>
      </c>
      <c r="H215" s="345">
        <f>IF($A215="","",IF(OR('Apr 2027'!AD12=TRUE,'Apr 2027'!AD12="x",'Apr 2027'!AD12="X"),1,0))</f>
        <v/>
      </c>
      <c r="I215" s="345">
        <f>IF($A215="","",IF(OR('Apr 2027'!AD13=TRUE,'Apr 2027'!AD13="x",'Apr 2027'!AD13="X"),1,0))</f>
        <v/>
      </c>
      <c r="J215" s="345">
        <f>IF($A215="","",IF(OR('Apr 2027'!AD14=TRUE,'Apr 2027'!AD14="x",'Apr 2027'!AD14="X"),1,0))</f>
        <v/>
      </c>
      <c r="K215" s="345">
        <f>IF($A215="","",IF(OR('Apr 2027'!AD15=TRUE,'Apr 2027'!AD15="x",'Apr 2027'!AD15="X"),1,0))</f>
        <v/>
      </c>
      <c r="L215" s="345">
        <f>IF($A215="","",IF(OR('Apr 2027'!AD16=TRUE,'Apr 2027'!AD16="x",'Apr 2027'!AD16="X"),1,0))</f>
        <v/>
      </c>
      <c r="M215" s="345">
        <f>IF($A215="","",IF(OR('Apr 2027'!AD17=TRUE,'Apr 2027'!AD17="x",'Apr 2027'!AD17="X"),1,0))</f>
        <v/>
      </c>
      <c r="N215" s="345">
        <f>IF($A215="","",IF(OR('Apr 2027'!AD18=TRUE,'Apr 2027'!AD18="x",'Apr 2027'!AD18="X"),1,0))</f>
        <v/>
      </c>
      <c r="O215" s="345">
        <f>IF($A215="","",IF(OR('Apr 2027'!AD20=TRUE,'Apr 2027'!AD20="x",'Apr 2027'!AD20="X"),1,0))</f>
        <v/>
      </c>
      <c r="P215" s="345">
        <f>IF($A215="","",IF(OR('Apr 2027'!AD21=TRUE,'Apr 2027'!AD21="x",'Apr 2027'!AD21="X"),1,0))</f>
        <v/>
      </c>
      <c r="Q215" s="345">
        <f>IF($A215="","",IF(OR('Apr 2027'!AD22=TRUE,'Apr 2027'!AD22="x",'Apr 2027'!AD22="X"),1,0))</f>
        <v/>
      </c>
      <c r="R215" s="345">
        <f>IF($A215="","",IF(OR('Apr 2027'!AD23=TRUE,'Apr 2027'!AD23="x",'Apr 2027'!AD23="X"),1,0))</f>
        <v/>
      </c>
      <c r="S215" s="345">
        <f>IF($A215="","",IF(OR('Apr 2027'!AD24=TRUE,'Apr 2027'!AD24="x",'Apr 2027'!AD24="X"),1,0))</f>
        <v/>
      </c>
      <c r="T215" s="345">
        <f>IF($A215="","",IF(OR('Apr 2027'!AD25=TRUE,'Apr 2027'!AD25="x",'Apr 2027'!AD25="X"),1,0))</f>
        <v/>
      </c>
      <c r="U215" s="345">
        <f>IF($A215="","",IF(OR('Apr 2027'!AD26=TRUE,'Apr 2027'!AD26="x",'Apr 2027'!AD26="X"),1,0))</f>
        <v/>
      </c>
      <c r="V215" s="345">
        <f>IF($A215="","",IF(OR('Apr 2027'!AD27=TRUE,'Apr 2027'!AD27="x",'Apr 2027'!AD27="X"),1,0))</f>
        <v/>
      </c>
      <c r="W215" s="345">
        <f>IF($A215="","",IF(OR('Apr 2027'!AD28=TRUE,'Apr 2027'!AD28="x",'Apr 2027'!AD28="X"),1,0))</f>
        <v/>
      </c>
      <c r="X215" s="345">
        <f>IF($A215="","",IF(OR('Apr 2027'!AD29=TRUE,'Apr 2027'!AD29="x",'Apr 2027'!AD29="X"),1,0))</f>
        <v/>
      </c>
      <c r="Y215" s="345">
        <f>IF($A215="","",IF(OR('Apr 2027'!AD30=TRUE,'Apr 2027'!AD30="x",'Apr 2027'!AD30="X"),1,0))</f>
        <v/>
      </c>
      <c r="Z215" s="345">
        <f>IF($A215="","",IF(OR('Apr 2027'!AD31=TRUE,'Apr 2027'!AD31="x",'Apr 2027'!AD31="X"),1,0))</f>
        <v/>
      </c>
      <c r="AA215" s="345">
        <f>IF($A215="","",IF(OR('Apr 2027'!AD32=TRUE,'Apr 2027'!AD32="x",'Apr 2027'!AD32="X"),1,0))</f>
        <v/>
      </c>
      <c r="AB215" s="345">
        <f>IF($A215="","",IF(OR('Apr 2027'!AD34=TRUE,'Apr 2027'!AD34="x",'Apr 2027'!AD34="X"),1,0))</f>
        <v/>
      </c>
      <c r="AC215" s="345">
        <f>IF($A215="","",IF(OR('Apr 2027'!AD35=TRUE,'Apr 2027'!AD35="x",'Apr 2027'!AD35="X"),1,0))</f>
        <v/>
      </c>
      <c r="AD215" s="345">
        <f>IF($A215="","",IF(OR('Apr 2027'!AD36=TRUE,'Apr 2027'!AD36="x",'Apr 2027'!AD36="X"),1,0))</f>
        <v/>
      </c>
      <c r="AE215" s="345">
        <f>IF($A215="","",IF(OR('Apr 2027'!AD37=TRUE,'Apr 2027'!AD37="x",'Apr 2027'!AD37="X"),1,0))</f>
        <v/>
      </c>
      <c r="AF215" s="345">
        <f>IF($A215="","",IF('Apr 2027'!AD59="","",'Apr 2027'!AD59))</f>
        <v/>
      </c>
      <c r="AG215" s="345">
        <f>IF($A215="","",IF('Apr 2027'!AD60="","",'Apr 2027'!AD60))</f>
        <v/>
      </c>
      <c r="AH215" s="345">
        <f>IF($A215="","",IF('Apr 2027'!AD61="","",'Apr 2027'!AD61))</f>
        <v/>
      </c>
      <c r="AI215" s="345">
        <f>IF($A215="","",IF('Apr 2027'!AD62="","",'Apr 2027'!AD62))</f>
        <v/>
      </c>
      <c r="AJ215" s="345">
        <f>IF($A215="","",IF('Apr 2027'!AD63="","",'Apr 2027'!AD63))</f>
        <v/>
      </c>
      <c r="AK215" s="345">
        <f>IF($A215="","",IF('Apr 2027'!AD64="","",'Apr 2027'!AD64))</f>
        <v/>
      </c>
      <c r="AL215" s="345">
        <f>IF($A215="","",IF('Apr 2027'!AD65="","",'Apr 2027'!AD65))</f>
        <v/>
      </c>
      <c r="AM215" s="345">
        <f>IF($A215="","",IF('Apr 2027'!AD66="","",'Apr 2027'!AD66))</f>
        <v/>
      </c>
      <c r="AN215" s="345">
        <f>IF($A215="","",IF('Apr 2027'!AD67="","",'Apr 2027'!AD67))</f>
        <v/>
      </c>
      <c r="AO215" s="345">
        <f>IF($A215="",0,IF(AND($A215&gt;=TrackStart,$A215&lt;=TODAY()),1,0))</f>
        <v/>
      </c>
      <c r="AP215" s="345">
        <f>IF($A215="",0,IF(SUM(F215:AE215)+COUNT(AF215:AN215)&gt;0,1,0))</f>
        <v/>
      </c>
      <c r="AQ215" s="345">
        <f>IF($A215="","",INT(($A215-TrackStart)/7)+1)</f>
        <v/>
      </c>
      <c r="AR215" s="345">
        <f>IF($A215="","",IF(AQ215&lt;=1,Steps1,IF(AQ215=2,Steps2,Steps3)))</f>
        <v/>
      </c>
      <c r="AS215" s="345">
        <f>IF($A215="",0,IF(ISNUMBER(SEARCH(TEXT(D215,"0"),WorkDays&amp;"")),1,0))</f>
        <v/>
      </c>
      <c r="AT215" s="345">
        <f>IF($A215="",0,IF(ISNUMBER(SEARCH(TEXT(D215,"0"),StrDays&amp;"")),1,0))</f>
        <v/>
      </c>
      <c r="AU215" s="345">
        <f>IF($A215="",0,IF(ISNUMBER(AK215),IF(AK215&gt;=SleepMin,1,0),N215))</f>
        <v/>
      </c>
      <c r="AV215" s="345">
        <f>IF($A215="",0,MAX(I215,O215,S215,AC215))</f>
        <v/>
      </c>
      <c r="AW215" s="345">
        <f>IF($A215="",0,IF(ISNUMBER(AH215),IF(AH215&gt;=ProtHit,1,0),0))</f>
        <v/>
      </c>
      <c r="AX215" s="345">
        <f>IF($A215="",0,IF(ISNUMBER(AI215),IF(AI215&gt;=WaterHit,1,0),0))</f>
        <v/>
      </c>
      <c r="AY215" s="345">
        <f>IF($A215="",0,IF(ISNUMBER(AG215),IF(AG215&gt;=AR215,1,0),0))</f>
        <v/>
      </c>
      <c r="AZ215" s="345">
        <f>IF($A215="",0,G215)</f>
        <v/>
      </c>
      <c r="BA215" s="345">
        <f>IF($A215="",0,J215)</f>
        <v/>
      </c>
      <c r="BB215" s="345">
        <f>IF($A215="",0,K215)</f>
        <v/>
      </c>
      <c r="BC215" s="345">
        <f>IF($A215="",0,MAX(L215,AE215))</f>
        <v/>
      </c>
      <c r="BD215" s="344">
        <f>IF($A215="","",(AU215+AV215+AW215+AX215+AY215+AZ215+BB215+BC215+IF(AS215=1,BA215,0))/(8+AS215))</f>
        <v/>
      </c>
      <c r="BE215" s="344">
        <f>IF($A215="","",(IF(ISNUMBER(AI215),IF(AI215&gt;=WaterMVD,1,0),0)+AV215+IF(ISNUMBER(AH215),IF(AH215&gt;=ProtMVD,1,0),0)+MAX(H215,AD215)+AZ215+BB215+AU215)/7)</f>
        <v/>
      </c>
      <c r="BF215" s="344">
        <f>IF(AO215=0,"",IF(E215="S","",IF(AND(AP215=0,$A215=TODAY()),"",IF(E215="M",BE215,BD215))))</f>
        <v/>
      </c>
      <c r="BG215" s="344">
        <f>IF(AO215=0,"",IFERROR(AVERAGEIFS(Data!$BF$4:$BF$375,Data!$A$4:$A$375,"&gt;"&amp;($A215-7),Data!$A$4:$A$375,"&lt;="&amp;$A215),""))</f>
        <v/>
      </c>
      <c r="BH215" s="344">
        <f>IF(AO215=0,"",IFERROR(AVERAGEIFS(Data!$BF$4:$BF$375,Data!$A$4:$A$375,"&gt;"&amp;($A215-30),Data!$A$4:$A$375,"&lt;="&amp;$A215),""))</f>
        <v/>
      </c>
      <c r="BI215" s="359">
        <f>IF($A215="","",IFERROR(AVERAGEIFS(Data!$AF$4:$AF$375,Data!$A$4:$A$375,"&gt;"&amp;($A215-7),Data!$A$4:$A$375,"&lt;="&amp;$A215,Data!$AF$4:$AF$375,"&gt;0"),""))</f>
        <v/>
      </c>
      <c r="BJ215" s="345">
        <f>IF($A215="","",F215+G215+H215+I215+J215+K215+L215+M215+N215-IF(AS215=1,0,J215))</f>
        <v/>
      </c>
      <c r="BK215" s="345">
        <f>IF($A215="","",8+AS215)</f>
        <v/>
      </c>
      <c r="BL215" s="345">
        <f>IF(ISNUMBER(BF215),BF215,NA())</f>
        <v/>
      </c>
      <c r="BM215" s="345">
        <f>IF(ISNUMBER(AF215),AF215,NA())</f>
        <v/>
      </c>
      <c r="BN215" s="345">
        <f>IF(ISNUMBER(BI215),BI215,NA())</f>
        <v/>
      </c>
      <c r="BO215" s="345">
        <f>IF(ISNUMBER(AL215),AL215,NA())</f>
        <v/>
      </c>
      <c r="BP215" s="345">
        <f>IF(ISNUMBER(AM215),AM215,NA())</f>
        <v/>
      </c>
      <c r="BQ215" s="345">
        <f>IF(ISNUMBER(AN215),AN215,NA())</f>
        <v/>
      </c>
    </row>
    <row r="216">
      <c r="A216" s="358">
        <f>IF('Apr 2027'!AE7="","",'Apr 2027'!AE7)</f>
        <v/>
      </c>
      <c r="B216" s="345" t="n">
        <v>7</v>
      </c>
      <c r="C216" s="345">
        <f>IF($A216="","",27)</f>
        <v/>
      </c>
      <c r="D216" s="345">
        <f>IF($A216="","",WEEKDAY($A216,2))</f>
        <v/>
      </c>
      <c r="E216" s="345">
        <f>IF($A216="","",UPPER(TRIM('Apr 2027'!AE8)))</f>
        <v/>
      </c>
      <c r="F216" s="345">
        <f>IF($A216="","",IF(OR('Apr 2027'!AE10=TRUE,'Apr 2027'!AE10="x",'Apr 2027'!AE10="X"),1,0))</f>
        <v/>
      </c>
      <c r="G216" s="345">
        <f>IF($A216="","",IF(OR('Apr 2027'!AE11=TRUE,'Apr 2027'!AE11="x",'Apr 2027'!AE11="X"),1,0))</f>
        <v/>
      </c>
      <c r="H216" s="345">
        <f>IF($A216="","",IF(OR('Apr 2027'!AE12=TRUE,'Apr 2027'!AE12="x",'Apr 2027'!AE12="X"),1,0))</f>
        <v/>
      </c>
      <c r="I216" s="345">
        <f>IF($A216="","",IF(OR('Apr 2027'!AE13=TRUE,'Apr 2027'!AE13="x",'Apr 2027'!AE13="X"),1,0))</f>
        <v/>
      </c>
      <c r="J216" s="345">
        <f>IF($A216="","",IF(OR('Apr 2027'!AE14=TRUE,'Apr 2027'!AE14="x",'Apr 2027'!AE14="X"),1,0))</f>
        <v/>
      </c>
      <c r="K216" s="345">
        <f>IF($A216="","",IF(OR('Apr 2027'!AE15=TRUE,'Apr 2027'!AE15="x",'Apr 2027'!AE15="X"),1,0))</f>
        <v/>
      </c>
      <c r="L216" s="345">
        <f>IF($A216="","",IF(OR('Apr 2027'!AE16=TRUE,'Apr 2027'!AE16="x",'Apr 2027'!AE16="X"),1,0))</f>
        <v/>
      </c>
      <c r="M216" s="345">
        <f>IF($A216="","",IF(OR('Apr 2027'!AE17=TRUE,'Apr 2027'!AE17="x",'Apr 2027'!AE17="X"),1,0))</f>
        <v/>
      </c>
      <c r="N216" s="345">
        <f>IF($A216="","",IF(OR('Apr 2027'!AE18=TRUE,'Apr 2027'!AE18="x",'Apr 2027'!AE18="X"),1,0))</f>
        <v/>
      </c>
      <c r="O216" s="345">
        <f>IF($A216="","",IF(OR('Apr 2027'!AE20=TRUE,'Apr 2027'!AE20="x",'Apr 2027'!AE20="X"),1,0))</f>
        <v/>
      </c>
      <c r="P216" s="345">
        <f>IF($A216="","",IF(OR('Apr 2027'!AE21=TRUE,'Apr 2027'!AE21="x",'Apr 2027'!AE21="X"),1,0))</f>
        <v/>
      </c>
      <c r="Q216" s="345">
        <f>IF($A216="","",IF(OR('Apr 2027'!AE22=TRUE,'Apr 2027'!AE22="x",'Apr 2027'!AE22="X"),1,0))</f>
        <v/>
      </c>
      <c r="R216" s="345">
        <f>IF($A216="","",IF(OR('Apr 2027'!AE23=TRUE,'Apr 2027'!AE23="x",'Apr 2027'!AE23="X"),1,0))</f>
        <v/>
      </c>
      <c r="S216" s="345">
        <f>IF($A216="","",IF(OR('Apr 2027'!AE24=TRUE,'Apr 2027'!AE24="x",'Apr 2027'!AE24="X"),1,0))</f>
        <v/>
      </c>
      <c r="T216" s="345">
        <f>IF($A216="","",IF(OR('Apr 2027'!AE25=TRUE,'Apr 2027'!AE25="x",'Apr 2027'!AE25="X"),1,0))</f>
        <v/>
      </c>
      <c r="U216" s="345">
        <f>IF($A216="","",IF(OR('Apr 2027'!AE26=TRUE,'Apr 2027'!AE26="x",'Apr 2027'!AE26="X"),1,0))</f>
        <v/>
      </c>
      <c r="V216" s="345">
        <f>IF($A216="","",IF(OR('Apr 2027'!AE27=TRUE,'Apr 2027'!AE27="x",'Apr 2027'!AE27="X"),1,0))</f>
        <v/>
      </c>
      <c r="W216" s="345">
        <f>IF($A216="","",IF(OR('Apr 2027'!AE28=TRUE,'Apr 2027'!AE28="x",'Apr 2027'!AE28="X"),1,0))</f>
        <v/>
      </c>
      <c r="X216" s="345">
        <f>IF($A216="","",IF(OR('Apr 2027'!AE29=TRUE,'Apr 2027'!AE29="x",'Apr 2027'!AE29="X"),1,0))</f>
        <v/>
      </c>
      <c r="Y216" s="345">
        <f>IF($A216="","",IF(OR('Apr 2027'!AE30=TRUE,'Apr 2027'!AE30="x",'Apr 2027'!AE30="X"),1,0))</f>
        <v/>
      </c>
      <c r="Z216" s="345">
        <f>IF($A216="","",IF(OR('Apr 2027'!AE31=TRUE,'Apr 2027'!AE31="x",'Apr 2027'!AE31="X"),1,0))</f>
        <v/>
      </c>
      <c r="AA216" s="345">
        <f>IF($A216="","",IF(OR('Apr 2027'!AE32=TRUE,'Apr 2027'!AE32="x",'Apr 2027'!AE32="X"),1,0))</f>
        <v/>
      </c>
      <c r="AB216" s="345">
        <f>IF($A216="","",IF(OR('Apr 2027'!AE34=TRUE,'Apr 2027'!AE34="x",'Apr 2027'!AE34="X"),1,0))</f>
        <v/>
      </c>
      <c r="AC216" s="345">
        <f>IF($A216="","",IF(OR('Apr 2027'!AE35=TRUE,'Apr 2027'!AE35="x",'Apr 2027'!AE35="X"),1,0))</f>
        <v/>
      </c>
      <c r="AD216" s="345">
        <f>IF($A216="","",IF(OR('Apr 2027'!AE36=TRUE,'Apr 2027'!AE36="x",'Apr 2027'!AE36="X"),1,0))</f>
        <v/>
      </c>
      <c r="AE216" s="345">
        <f>IF($A216="","",IF(OR('Apr 2027'!AE37=TRUE,'Apr 2027'!AE37="x",'Apr 2027'!AE37="X"),1,0))</f>
        <v/>
      </c>
      <c r="AF216" s="345">
        <f>IF($A216="","",IF('Apr 2027'!AE59="","",'Apr 2027'!AE59))</f>
        <v/>
      </c>
      <c r="AG216" s="345">
        <f>IF($A216="","",IF('Apr 2027'!AE60="","",'Apr 2027'!AE60))</f>
        <v/>
      </c>
      <c r="AH216" s="345">
        <f>IF($A216="","",IF('Apr 2027'!AE61="","",'Apr 2027'!AE61))</f>
        <v/>
      </c>
      <c r="AI216" s="345">
        <f>IF($A216="","",IF('Apr 2027'!AE62="","",'Apr 2027'!AE62))</f>
        <v/>
      </c>
      <c r="AJ216" s="345">
        <f>IF($A216="","",IF('Apr 2027'!AE63="","",'Apr 2027'!AE63))</f>
        <v/>
      </c>
      <c r="AK216" s="345">
        <f>IF($A216="","",IF('Apr 2027'!AE64="","",'Apr 2027'!AE64))</f>
        <v/>
      </c>
      <c r="AL216" s="345">
        <f>IF($A216="","",IF('Apr 2027'!AE65="","",'Apr 2027'!AE65))</f>
        <v/>
      </c>
      <c r="AM216" s="345">
        <f>IF($A216="","",IF('Apr 2027'!AE66="","",'Apr 2027'!AE66))</f>
        <v/>
      </c>
      <c r="AN216" s="345">
        <f>IF($A216="","",IF('Apr 2027'!AE67="","",'Apr 2027'!AE67))</f>
        <v/>
      </c>
      <c r="AO216" s="345">
        <f>IF($A216="",0,IF(AND($A216&gt;=TrackStart,$A216&lt;=TODAY()),1,0))</f>
        <v/>
      </c>
      <c r="AP216" s="345">
        <f>IF($A216="",0,IF(SUM(F216:AE216)+COUNT(AF216:AN216)&gt;0,1,0))</f>
        <v/>
      </c>
      <c r="AQ216" s="345">
        <f>IF($A216="","",INT(($A216-TrackStart)/7)+1)</f>
        <v/>
      </c>
      <c r="AR216" s="345">
        <f>IF($A216="","",IF(AQ216&lt;=1,Steps1,IF(AQ216=2,Steps2,Steps3)))</f>
        <v/>
      </c>
      <c r="AS216" s="345">
        <f>IF($A216="",0,IF(ISNUMBER(SEARCH(TEXT(D216,"0"),WorkDays&amp;"")),1,0))</f>
        <v/>
      </c>
      <c r="AT216" s="345">
        <f>IF($A216="",0,IF(ISNUMBER(SEARCH(TEXT(D216,"0"),StrDays&amp;"")),1,0))</f>
        <v/>
      </c>
      <c r="AU216" s="345">
        <f>IF($A216="",0,IF(ISNUMBER(AK216),IF(AK216&gt;=SleepMin,1,0),N216))</f>
        <v/>
      </c>
      <c r="AV216" s="345">
        <f>IF($A216="",0,MAX(I216,O216,S216,AC216))</f>
        <v/>
      </c>
      <c r="AW216" s="345">
        <f>IF($A216="",0,IF(ISNUMBER(AH216),IF(AH216&gt;=ProtHit,1,0),0))</f>
        <v/>
      </c>
      <c r="AX216" s="345">
        <f>IF($A216="",0,IF(ISNUMBER(AI216),IF(AI216&gt;=WaterHit,1,0),0))</f>
        <v/>
      </c>
      <c r="AY216" s="345">
        <f>IF($A216="",0,IF(ISNUMBER(AG216),IF(AG216&gt;=AR216,1,0),0))</f>
        <v/>
      </c>
      <c r="AZ216" s="345">
        <f>IF($A216="",0,G216)</f>
        <v/>
      </c>
      <c r="BA216" s="345">
        <f>IF($A216="",0,J216)</f>
        <v/>
      </c>
      <c r="BB216" s="345">
        <f>IF($A216="",0,K216)</f>
        <v/>
      </c>
      <c r="BC216" s="345">
        <f>IF($A216="",0,MAX(L216,AE216))</f>
        <v/>
      </c>
      <c r="BD216" s="344">
        <f>IF($A216="","",(AU216+AV216+AW216+AX216+AY216+AZ216+BB216+BC216+IF(AS216=1,BA216,0))/(8+AS216))</f>
        <v/>
      </c>
      <c r="BE216" s="344">
        <f>IF($A216="","",(IF(ISNUMBER(AI216),IF(AI216&gt;=WaterMVD,1,0),0)+AV216+IF(ISNUMBER(AH216),IF(AH216&gt;=ProtMVD,1,0),0)+MAX(H216,AD216)+AZ216+BB216+AU216)/7)</f>
        <v/>
      </c>
      <c r="BF216" s="344">
        <f>IF(AO216=0,"",IF(E216="S","",IF(AND(AP216=0,$A216=TODAY()),"",IF(E216="M",BE216,BD216))))</f>
        <v/>
      </c>
      <c r="BG216" s="344">
        <f>IF(AO216=0,"",IFERROR(AVERAGEIFS(Data!$BF$4:$BF$375,Data!$A$4:$A$375,"&gt;"&amp;($A216-7),Data!$A$4:$A$375,"&lt;="&amp;$A216),""))</f>
        <v/>
      </c>
      <c r="BH216" s="344">
        <f>IF(AO216=0,"",IFERROR(AVERAGEIFS(Data!$BF$4:$BF$375,Data!$A$4:$A$375,"&gt;"&amp;($A216-30),Data!$A$4:$A$375,"&lt;="&amp;$A216),""))</f>
        <v/>
      </c>
      <c r="BI216" s="359">
        <f>IF($A216="","",IFERROR(AVERAGEIFS(Data!$AF$4:$AF$375,Data!$A$4:$A$375,"&gt;"&amp;($A216-7),Data!$A$4:$A$375,"&lt;="&amp;$A216,Data!$AF$4:$AF$375,"&gt;0"),""))</f>
        <v/>
      </c>
      <c r="BJ216" s="345">
        <f>IF($A216="","",F216+G216+H216+I216+J216+K216+L216+M216+N216-IF(AS216=1,0,J216))</f>
        <v/>
      </c>
      <c r="BK216" s="345">
        <f>IF($A216="","",8+AS216)</f>
        <v/>
      </c>
      <c r="BL216" s="345">
        <f>IF(ISNUMBER(BF216),BF216,NA())</f>
        <v/>
      </c>
      <c r="BM216" s="345">
        <f>IF(ISNUMBER(AF216),AF216,NA())</f>
        <v/>
      </c>
      <c r="BN216" s="345">
        <f>IF(ISNUMBER(BI216),BI216,NA())</f>
        <v/>
      </c>
      <c r="BO216" s="345">
        <f>IF(ISNUMBER(AL216),AL216,NA())</f>
        <v/>
      </c>
      <c r="BP216" s="345">
        <f>IF(ISNUMBER(AM216),AM216,NA())</f>
        <v/>
      </c>
      <c r="BQ216" s="345">
        <f>IF(ISNUMBER(AN216),AN216,NA())</f>
        <v/>
      </c>
    </row>
    <row r="217">
      <c r="A217" s="358">
        <f>IF('Apr 2027'!AF7="","",'Apr 2027'!AF7)</f>
        <v/>
      </c>
      <c r="B217" s="345" t="n">
        <v>7</v>
      </c>
      <c r="C217" s="345">
        <f>IF($A217="","",28)</f>
        <v/>
      </c>
      <c r="D217" s="345">
        <f>IF($A217="","",WEEKDAY($A217,2))</f>
        <v/>
      </c>
      <c r="E217" s="345">
        <f>IF($A217="","",UPPER(TRIM('Apr 2027'!AF8)))</f>
        <v/>
      </c>
      <c r="F217" s="345">
        <f>IF($A217="","",IF(OR('Apr 2027'!AF10=TRUE,'Apr 2027'!AF10="x",'Apr 2027'!AF10="X"),1,0))</f>
        <v/>
      </c>
      <c r="G217" s="345">
        <f>IF($A217="","",IF(OR('Apr 2027'!AF11=TRUE,'Apr 2027'!AF11="x",'Apr 2027'!AF11="X"),1,0))</f>
        <v/>
      </c>
      <c r="H217" s="345">
        <f>IF($A217="","",IF(OR('Apr 2027'!AF12=TRUE,'Apr 2027'!AF12="x",'Apr 2027'!AF12="X"),1,0))</f>
        <v/>
      </c>
      <c r="I217" s="345">
        <f>IF($A217="","",IF(OR('Apr 2027'!AF13=TRUE,'Apr 2027'!AF13="x",'Apr 2027'!AF13="X"),1,0))</f>
        <v/>
      </c>
      <c r="J217" s="345">
        <f>IF($A217="","",IF(OR('Apr 2027'!AF14=TRUE,'Apr 2027'!AF14="x",'Apr 2027'!AF14="X"),1,0))</f>
        <v/>
      </c>
      <c r="K217" s="345">
        <f>IF($A217="","",IF(OR('Apr 2027'!AF15=TRUE,'Apr 2027'!AF15="x",'Apr 2027'!AF15="X"),1,0))</f>
        <v/>
      </c>
      <c r="L217" s="345">
        <f>IF($A217="","",IF(OR('Apr 2027'!AF16=TRUE,'Apr 2027'!AF16="x",'Apr 2027'!AF16="X"),1,0))</f>
        <v/>
      </c>
      <c r="M217" s="345">
        <f>IF($A217="","",IF(OR('Apr 2027'!AF17=TRUE,'Apr 2027'!AF17="x",'Apr 2027'!AF17="X"),1,0))</f>
        <v/>
      </c>
      <c r="N217" s="345">
        <f>IF($A217="","",IF(OR('Apr 2027'!AF18=TRUE,'Apr 2027'!AF18="x",'Apr 2027'!AF18="X"),1,0))</f>
        <v/>
      </c>
      <c r="O217" s="345">
        <f>IF($A217="","",IF(OR('Apr 2027'!AF20=TRUE,'Apr 2027'!AF20="x",'Apr 2027'!AF20="X"),1,0))</f>
        <v/>
      </c>
      <c r="P217" s="345">
        <f>IF($A217="","",IF(OR('Apr 2027'!AF21=TRUE,'Apr 2027'!AF21="x",'Apr 2027'!AF21="X"),1,0))</f>
        <v/>
      </c>
      <c r="Q217" s="345">
        <f>IF($A217="","",IF(OR('Apr 2027'!AF22=TRUE,'Apr 2027'!AF22="x",'Apr 2027'!AF22="X"),1,0))</f>
        <v/>
      </c>
      <c r="R217" s="345">
        <f>IF($A217="","",IF(OR('Apr 2027'!AF23=TRUE,'Apr 2027'!AF23="x",'Apr 2027'!AF23="X"),1,0))</f>
        <v/>
      </c>
      <c r="S217" s="345">
        <f>IF($A217="","",IF(OR('Apr 2027'!AF24=TRUE,'Apr 2027'!AF24="x",'Apr 2027'!AF24="X"),1,0))</f>
        <v/>
      </c>
      <c r="T217" s="345">
        <f>IF($A217="","",IF(OR('Apr 2027'!AF25=TRUE,'Apr 2027'!AF25="x",'Apr 2027'!AF25="X"),1,0))</f>
        <v/>
      </c>
      <c r="U217" s="345">
        <f>IF($A217="","",IF(OR('Apr 2027'!AF26=TRUE,'Apr 2027'!AF26="x",'Apr 2027'!AF26="X"),1,0))</f>
        <v/>
      </c>
      <c r="V217" s="345">
        <f>IF($A217="","",IF(OR('Apr 2027'!AF27=TRUE,'Apr 2027'!AF27="x",'Apr 2027'!AF27="X"),1,0))</f>
        <v/>
      </c>
      <c r="W217" s="345">
        <f>IF($A217="","",IF(OR('Apr 2027'!AF28=TRUE,'Apr 2027'!AF28="x",'Apr 2027'!AF28="X"),1,0))</f>
        <v/>
      </c>
      <c r="X217" s="345">
        <f>IF($A217="","",IF(OR('Apr 2027'!AF29=TRUE,'Apr 2027'!AF29="x",'Apr 2027'!AF29="X"),1,0))</f>
        <v/>
      </c>
      <c r="Y217" s="345">
        <f>IF($A217="","",IF(OR('Apr 2027'!AF30=TRUE,'Apr 2027'!AF30="x",'Apr 2027'!AF30="X"),1,0))</f>
        <v/>
      </c>
      <c r="Z217" s="345">
        <f>IF($A217="","",IF(OR('Apr 2027'!AF31=TRUE,'Apr 2027'!AF31="x",'Apr 2027'!AF31="X"),1,0))</f>
        <v/>
      </c>
      <c r="AA217" s="345">
        <f>IF($A217="","",IF(OR('Apr 2027'!AF32=TRUE,'Apr 2027'!AF32="x",'Apr 2027'!AF32="X"),1,0))</f>
        <v/>
      </c>
      <c r="AB217" s="345">
        <f>IF($A217="","",IF(OR('Apr 2027'!AF34=TRUE,'Apr 2027'!AF34="x",'Apr 2027'!AF34="X"),1,0))</f>
        <v/>
      </c>
      <c r="AC217" s="345">
        <f>IF($A217="","",IF(OR('Apr 2027'!AF35=TRUE,'Apr 2027'!AF35="x",'Apr 2027'!AF35="X"),1,0))</f>
        <v/>
      </c>
      <c r="AD217" s="345">
        <f>IF($A217="","",IF(OR('Apr 2027'!AF36=TRUE,'Apr 2027'!AF36="x",'Apr 2027'!AF36="X"),1,0))</f>
        <v/>
      </c>
      <c r="AE217" s="345">
        <f>IF($A217="","",IF(OR('Apr 2027'!AF37=TRUE,'Apr 2027'!AF37="x",'Apr 2027'!AF37="X"),1,0))</f>
        <v/>
      </c>
      <c r="AF217" s="345">
        <f>IF($A217="","",IF('Apr 2027'!AF59="","",'Apr 2027'!AF59))</f>
        <v/>
      </c>
      <c r="AG217" s="345">
        <f>IF($A217="","",IF('Apr 2027'!AF60="","",'Apr 2027'!AF60))</f>
        <v/>
      </c>
      <c r="AH217" s="345">
        <f>IF($A217="","",IF('Apr 2027'!AF61="","",'Apr 2027'!AF61))</f>
        <v/>
      </c>
      <c r="AI217" s="345">
        <f>IF($A217="","",IF('Apr 2027'!AF62="","",'Apr 2027'!AF62))</f>
        <v/>
      </c>
      <c r="AJ217" s="345">
        <f>IF($A217="","",IF('Apr 2027'!AF63="","",'Apr 2027'!AF63))</f>
        <v/>
      </c>
      <c r="AK217" s="345">
        <f>IF($A217="","",IF('Apr 2027'!AF64="","",'Apr 2027'!AF64))</f>
        <v/>
      </c>
      <c r="AL217" s="345">
        <f>IF($A217="","",IF('Apr 2027'!AF65="","",'Apr 2027'!AF65))</f>
        <v/>
      </c>
      <c r="AM217" s="345">
        <f>IF($A217="","",IF('Apr 2027'!AF66="","",'Apr 2027'!AF66))</f>
        <v/>
      </c>
      <c r="AN217" s="345">
        <f>IF($A217="","",IF('Apr 2027'!AF67="","",'Apr 2027'!AF67))</f>
        <v/>
      </c>
      <c r="AO217" s="345">
        <f>IF($A217="",0,IF(AND($A217&gt;=TrackStart,$A217&lt;=TODAY()),1,0))</f>
        <v/>
      </c>
      <c r="AP217" s="345">
        <f>IF($A217="",0,IF(SUM(F217:AE217)+COUNT(AF217:AN217)&gt;0,1,0))</f>
        <v/>
      </c>
      <c r="AQ217" s="345">
        <f>IF($A217="","",INT(($A217-TrackStart)/7)+1)</f>
        <v/>
      </c>
      <c r="AR217" s="345">
        <f>IF($A217="","",IF(AQ217&lt;=1,Steps1,IF(AQ217=2,Steps2,Steps3)))</f>
        <v/>
      </c>
      <c r="AS217" s="345">
        <f>IF($A217="",0,IF(ISNUMBER(SEARCH(TEXT(D217,"0"),WorkDays&amp;"")),1,0))</f>
        <v/>
      </c>
      <c r="AT217" s="345">
        <f>IF($A217="",0,IF(ISNUMBER(SEARCH(TEXT(D217,"0"),StrDays&amp;"")),1,0))</f>
        <v/>
      </c>
      <c r="AU217" s="345">
        <f>IF($A217="",0,IF(ISNUMBER(AK217),IF(AK217&gt;=SleepMin,1,0),N217))</f>
        <v/>
      </c>
      <c r="AV217" s="345">
        <f>IF($A217="",0,MAX(I217,O217,S217,AC217))</f>
        <v/>
      </c>
      <c r="AW217" s="345">
        <f>IF($A217="",0,IF(ISNUMBER(AH217),IF(AH217&gt;=ProtHit,1,0),0))</f>
        <v/>
      </c>
      <c r="AX217" s="345">
        <f>IF($A217="",0,IF(ISNUMBER(AI217),IF(AI217&gt;=WaterHit,1,0),0))</f>
        <v/>
      </c>
      <c r="AY217" s="345">
        <f>IF($A217="",0,IF(ISNUMBER(AG217),IF(AG217&gt;=AR217,1,0),0))</f>
        <v/>
      </c>
      <c r="AZ217" s="345">
        <f>IF($A217="",0,G217)</f>
        <v/>
      </c>
      <c r="BA217" s="345">
        <f>IF($A217="",0,J217)</f>
        <v/>
      </c>
      <c r="BB217" s="345">
        <f>IF($A217="",0,K217)</f>
        <v/>
      </c>
      <c r="BC217" s="345">
        <f>IF($A217="",0,MAX(L217,AE217))</f>
        <v/>
      </c>
      <c r="BD217" s="344">
        <f>IF($A217="","",(AU217+AV217+AW217+AX217+AY217+AZ217+BB217+BC217+IF(AS217=1,BA217,0))/(8+AS217))</f>
        <v/>
      </c>
      <c r="BE217" s="344">
        <f>IF($A217="","",(IF(ISNUMBER(AI217),IF(AI217&gt;=WaterMVD,1,0),0)+AV217+IF(ISNUMBER(AH217),IF(AH217&gt;=ProtMVD,1,0),0)+MAX(H217,AD217)+AZ217+BB217+AU217)/7)</f>
        <v/>
      </c>
      <c r="BF217" s="344">
        <f>IF(AO217=0,"",IF(E217="S","",IF(AND(AP217=0,$A217=TODAY()),"",IF(E217="M",BE217,BD217))))</f>
        <v/>
      </c>
      <c r="BG217" s="344">
        <f>IF(AO217=0,"",IFERROR(AVERAGEIFS(Data!$BF$4:$BF$375,Data!$A$4:$A$375,"&gt;"&amp;($A217-7),Data!$A$4:$A$375,"&lt;="&amp;$A217),""))</f>
        <v/>
      </c>
      <c r="BH217" s="344">
        <f>IF(AO217=0,"",IFERROR(AVERAGEIFS(Data!$BF$4:$BF$375,Data!$A$4:$A$375,"&gt;"&amp;($A217-30),Data!$A$4:$A$375,"&lt;="&amp;$A217),""))</f>
        <v/>
      </c>
      <c r="BI217" s="359">
        <f>IF($A217="","",IFERROR(AVERAGEIFS(Data!$AF$4:$AF$375,Data!$A$4:$A$375,"&gt;"&amp;($A217-7),Data!$A$4:$A$375,"&lt;="&amp;$A217,Data!$AF$4:$AF$375,"&gt;0"),""))</f>
        <v/>
      </c>
      <c r="BJ217" s="345">
        <f>IF($A217="","",F217+G217+H217+I217+J217+K217+L217+M217+N217-IF(AS217=1,0,J217))</f>
        <v/>
      </c>
      <c r="BK217" s="345">
        <f>IF($A217="","",8+AS217)</f>
        <v/>
      </c>
      <c r="BL217" s="345">
        <f>IF(ISNUMBER(BF217),BF217,NA())</f>
        <v/>
      </c>
      <c r="BM217" s="345">
        <f>IF(ISNUMBER(AF217),AF217,NA())</f>
        <v/>
      </c>
      <c r="BN217" s="345">
        <f>IF(ISNUMBER(BI217),BI217,NA())</f>
        <v/>
      </c>
      <c r="BO217" s="345">
        <f>IF(ISNUMBER(AL217),AL217,NA())</f>
        <v/>
      </c>
      <c r="BP217" s="345">
        <f>IF(ISNUMBER(AM217),AM217,NA())</f>
        <v/>
      </c>
      <c r="BQ217" s="345">
        <f>IF(ISNUMBER(AN217),AN217,NA())</f>
        <v/>
      </c>
    </row>
    <row r="218">
      <c r="A218" s="358">
        <f>IF('Apr 2027'!AG7="","",'Apr 2027'!AG7)</f>
        <v/>
      </c>
      <c r="B218" s="345" t="n">
        <v>7</v>
      </c>
      <c r="C218" s="345">
        <f>IF($A218="","",29)</f>
        <v/>
      </c>
      <c r="D218" s="345">
        <f>IF($A218="","",WEEKDAY($A218,2))</f>
        <v/>
      </c>
      <c r="E218" s="345">
        <f>IF($A218="","",UPPER(TRIM('Apr 2027'!AG8)))</f>
        <v/>
      </c>
      <c r="F218" s="345">
        <f>IF($A218="","",IF(OR('Apr 2027'!AG10=TRUE,'Apr 2027'!AG10="x",'Apr 2027'!AG10="X"),1,0))</f>
        <v/>
      </c>
      <c r="G218" s="345">
        <f>IF($A218="","",IF(OR('Apr 2027'!AG11=TRUE,'Apr 2027'!AG11="x",'Apr 2027'!AG11="X"),1,0))</f>
        <v/>
      </c>
      <c r="H218" s="345">
        <f>IF($A218="","",IF(OR('Apr 2027'!AG12=TRUE,'Apr 2027'!AG12="x",'Apr 2027'!AG12="X"),1,0))</f>
        <v/>
      </c>
      <c r="I218" s="345">
        <f>IF($A218="","",IF(OR('Apr 2027'!AG13=TRUE,'Apr 2027'!AG13="x",'Apr 2027'!AG13="X"),1,0))</f>
        <v/>
      </c>
      <c r="J218" s="345">
        <f>IF($A218="","",IF(OR('Apr 2027'!AG14=TRUE,'Apr 2027'!AG14="x",'Apr 2027'!AG14="X"),1,0))</f>
        <v/>
      </c>
      <c r="K218" s="345">
        <f>IF($A218="","",IF(OR('Apr 2027'!AG15=TRUE,'Apr 2027'!AG15="x",'Apr 2027'!AG15="X"),1,0))</f>
        <v/>
      </c>
      <c r="L218" s="345">
        <f>IF($A218="","",IF(OR('Apr 2027'!AG16=TRUE,'Apr 2027'!AG16="x",'Apr 2027'!AG16="X"),1,0))</f>
        <v/>
      </c>
      <c r="M218" s="345">
        <f>IF($A218="","",IF(OR('Apr 2027'!AG17=TRUE,'Apr 2027'!AG17="x",'Apr 2027'!AG17="X"),1,0))</f>
        <v/>
      </c>
      <c r="N218" s="345">
        <f>IF($A218="","",IF(OR('Apr 2027'!AG18=TRUE,'Apr 2027'!AG18="x",'Apr 2027'!AG18="X"),1,0))</f>
        <v/>
      </c>
      <c r="O218" s="345">
        <f>IF($A218="","",IF(OR('Apr 2027'!AG20=TRUE,'Apr 2027'!AG20="x",'Apr 2027'!AG20="X"),1,0))</f>
        <v/>
      </c>
      <c r="P218" s="345">
        <f>IF($A218="","",IF(OR('Apr 2027'!AG21=TRUE,'Apr 2027'!AG21="x",'Apr 2027'!AG21="X"),1,0))</f>
        <v/>
      </c>
      <c r="Q218" s="345">
        <f>IF($A218="","",IF(OR('Apr 2027'!AG22=TRUE,'Apr 2027'!AG22="x",'Apr 2027'!AG22="X"),1,0))</f>
        <v/>
      </c>
      <c r="R218" s="345">
        <f>IF($A218="","",IF(OR('Apr 2027'!AG23=TRUE,'Apr 2027'!AG23="x",'Apr 2027'!AG23="X"),1,0))</f>
        <v/>
      </c>
      <c r="S218" s="345">
        <f>IF($A218="","",IF(OR('Apr 2027'!AG24=TRUE,'Apr 2027'!AG24="x",'Apr 2027'!AG24="X"),1,0))</f>
        <v/>
      </c>
      <c r="T218" s="345">
        <f>IF($A218="","",IF(OR('Apr 2027'!AG25=TRUE,'Apr 2027'!AG25="x",'Apr 2027'!AG25="X"),1,0))</f>
        <v/>
      </c>
      <c r="U218" s="345">
        <f>IF($A218="","",IF(OR('Apr 2027'!AG26=TRUE,'Apr 2027'!AG26="x",'Apr 2027'!AG26="X"),1,0))</f>
        <v/>
      </c>
      <c r="V218" s="345">
        <f>IF($A218="","",IF(OR('Apr 2027'!AG27=TRUE,'Apr 2027'!AG27="x",'Apr 2027'!AG27="X"),1,0))</f>
        <v/>
      </c>
      <c r="W218" s="345">
        <f>IF($A218="","",IF(OR('Apr 2027'!AG28=TRUE,'Apr 2027'!AG28="x",'Apr 2027'!AG28="X"),1,0))</f>
        <v/>
      </c>
      <c r="X218" s="345">
        <f>IF($A218="","",IF(OR('Apr 2027'!AG29=TRUE,'Apr 2027'!AG29="x",'Apr 2027'!AG29="X"),1,0))</f>
        <v/>
      </c>
      <c r="Y218" s="345">
        <f>IF($A218="","",IF(OR('Apr 2027'!AG30=TRUE,'Apr 2027'!AG30="x",'Apr 2027'!AG30="X"),1,0))</f>
        <v/>
      </c>
      <c r="Z218" s="345">
        <f>IF($A218="","",IF(OR('Apr 2027'!AG31=TRUE,'Apr 2027'!AG31="x",'Apr 2027'!AG31="X"),1,0))</f>
        <v/>
      </c>
      <c r="AA218" s="345">
        <f>IF($A218="","",IF(OR('Apr 2027'!AG32=TRUE,'Apr 2027'!AG32="x",'Apr 2027'!AG32="X"),1,0))</f>
        <v/>
      </c>
      <c r="AB218" s="345">
        <f>IF($A218="","",IF(OR('Apr 2027'!AG34=TRUE,'Apr 2027'!AG34="x",'Apr 2027'!AG34="X"),1,0))</f>
        <v/>
      </c>
      <c r="AC218" s="345">
        <f>IF($A218="","",IF(OR('Apr 2027'!AG35=TRUE,'Apr 2027'!AG35="x",'Apr 2027'!AG35="X"),1,0))</f>
        <v/>
      </c>
      <c r="AD218" s="345">
        <f>IF($A218="","",IF(OR('Apr 2027'!AG36=TRUE,'Apr 2027'!AG36="x",'Apr 2027'!AG36="X"),1,0))</f>
        <v/>
      </c>
      <c r="AE218" s="345">
        <f>IF($A218="","",IF(OR('Apr 2027'!AG37=TRUE,'Apr 2027'!AG37="x",'Apr 2027'!AG37="X"),1,0))</f>
        <v/>
      </c>
      <c r="AF218" s="345">
        <f>IF($A218="","",IF('Apr 2027'!AG59="","",'Apr 2027'!AG59))</f>
        <v/>
      </c>
      <c r="AG218" s="345">
        <f>IF($A218="","",IF('Apr 2027'!AG60="","",'Apr 2027'!AG60))</f>
        <v/>
      </c>
      <c r="AH218" s="345">
        <f>IF($A218="","",IF('Apr 2027'!AG61="","",'Apr 2027'!AG61))</f>
        <v/>
      </c>
      <c r="AI218" s="345">
        <f>IF($A218="","",IF('Apr 2027'!AG62="","",'Apr 2027'!AG62))</f>
        <v/>
      </c>
      <c r="AJ218" s="345">
        <f>IF($A218="","",IF('Apr 2027'!AG63="","",'Apr 2027'!AG63))</f>
        <v/>
      </c>
      <c r="AK218" s="345">
        <f>IF($A218="","",IF('Apr 2027'!AG64="","",'Apr 2027'!AG64))</f>
        <v/>
      </c>
      <c r="AL218" s="345">
        <f>IF($A218="","",IF('Apr 2027'!AG65="","",'Apr 2027'!AG65))</f>
        <v/>
      </c>
      <c r="AM218" s="345">
        <f>IF($A218="","",IF('Apr 2027'!AG66="","",'Apr 2027'!AG66))</f>
        <v/>
      </c>
      <c r="AN218" s="345">
        <f>IF($A218="","",IF('Apr 2027'!AG67="","",'Apr 2027'!AG67))</f>
        <v/>
      </c>
      <c r="AO218" s="345">
        <f>IF($A218="",0,IF(AND($A218&gt;=TrackStart,$A218&lt;=TODAY()),1,0))</f>
        <v/>
      </c>
      <c r="AP218" s="345">
        <f>IF($A218="",0,IF(SUM(F218:AE218)+COUNT(AF218:AN218)&gt;0,1,0))</f>
        <v/>
      </c>
      <c r="AQ218" s="345">
        <f>IF($A218="","",INT(($A218-TrackStart)/7)+1)</f>
        <v/>
      </c>
      <c r="AR218" s="345">
        <f>IF($A218="","",IF(AQ218&lt;=1,Steps1,IF(AQ218=2,Steps2,Steps3)))</f>
        <v/>
      </c>
      <c r="AS218" s="345">
        <f>IF($A218="",0,IF(ISNUMBER(SEARCH(TEXT(D218,"0"),WorkDays&amp;"")),1,0))</f>
        <v/>
      </c>
      <c r="AT218" s="345">
        <f>IF($A218="",0,IF(ISNUMBER(SEARCH(TEXT(D218,"0"),StrDays&amp;"")),1,0))</f>
        <v/>
      </c>
      <c r="AU218" s="345">
        <f>IF($A218="",0,IF(ISNUMBER(AK218),IF(AK218&gt;=SleepMin,1,0),N218))</f>
        <v/>
      </c>
      <c r="AV218" s="345">
        <f>IF($A218="",0,MAX(I218,O218,S218,AC218))</f>
        <v/>
      </c>
      <c r="AW218" s="345">
        <f>IF($A218="",0,IF(ISNUMBER(AH218),IF(AH218&gt;=ProtHit,1,0),0))</f>
        <v/>
      </c>
      <c r="AX218" s="345">
        <f>IF($A218="",0,IF(ISNUMBER(AI218),IF(AI218&gt;=WaterHit,1,0),0))</f>
        <v/>
      </c>
      <c r="AY218" s="345">
        <f>IF($A218="",0,IF(ISNUMBER(AG218),IF(AG218&gt;=AR218,1,0),0))</f>
        <v/>
      </c>
      <c r="AZ218" s="345">
        <f>IF($A218="",0,G218)</f>
        <v/>
      </c>
      <c r="BA218" s="345">
        <f>IF($A218="",0,J218)</f>
        <v/>
      </c>
      <c r="BB218" s="345">
        <f>IF($A218="",0,K218)</f>
        <v/>
      </c>
      <c r="BC218" s="345">
        <f>IF($A218="",0,MAX(L218,AE218))</f>
        <v/>
      </c>
      <c r="BD218" s="344">
        <f>IF($A218="","",(AU218+AV218+AW218+AX218+AY218+AZ218+BB218+BC218+IF(AS218=1,BA218,0))/(8+AS218))</f>
        <v/>
      </c>
      <c r="BE218" s="344">
        <f>IF($A218="","",(IF(ISNUMBER(AI218),IF(AI218&gt;=WaterMVD,1,0),0)+AV218+IF(ISNUMBER(AH218),IF(AH218&gt;=ProtMVD,1,0),0)+MAX(H218,AD218)+AZ218+BB218+AU218)/7)</f>
        <v/>
      </c>
      <c r="BF218" s="344">
        <f>IF(AO218=0,"",IF(E218="S","",IF(AND(AP218=0,$A218=TODAY()),"",IF(E218="M",BE218,BD218))))</f>
        <v/>
      </c>
      <c r="BG218" s="344">
        <f>IF(AO218=0,"",IFERROR(AVERAGEIFS(Data!$BF$4:$BF$375,Data!$A$4:$A$375,"&gt;"&amp;($A218-7),Data!$A$4:$A$375,"&lt;="&amp;$A218),""))</f>
        <v/>
      </c>
      <c r="BH218" s="344">
        <f>IF(AO218=0,"",IFERROR(AVERAGEIFS(Data!$BF$4:$BF$375,Data!$A$4:$A$375,"&gt;"&amp;($A218-30),Data!$A$4:$A$375,"&lt;="&amp;$A218),""))</f>
        <v/>
      </c>
      <c r="BI218" s="359">
        <f>IF($A218="","",IFERROR(AVERAGEIFS(Data!$AF$4:$AF$375,Data!$A$4:$A$375,"&gt;"&amp;($A218-7),Data!$A$4:$A$375,"&lt;="&amp;$A218,Data!$AF$4:$AF$375,"&gt;0"),""))</f>
        <v/>
      </c>
      <c r="BJ218" s="345">
        <f>IF($A218="","",F218+G218+H218+I218+J218+K218+L218+M218+N218-IF(AS218=1,0,J218))</f>
        <v/>
      </c>
      <c r="BK218" s="345">
        <f>IF($A218="","",8+AS218)</f>
        <v/>
      </c>
      <c r="BL218" s="345">
        <f>IF(ISNUMBER(BF218),BF218,NA())</f>
        <v/>
      </c>
      <c r="BM218" s="345">
        <f>IF(ISNUMBER(AF218),AF218,NA())</f>
        <v/>
      </c>
      <c r="BN218" s="345">
        <f>IF(ISNUMBER(BI218),BI218,NA())</f>
        <v/>
      </c>
      <c r="BO218" s="345">
        <f>IF(ISNUMBER(AL218),AL218,NA())</f>
        <v/>
      </c>
      <c r="BP218" s="345">
        <f>IF(ISNUMBER(AM218),AM218,NA())</f>
        <v/>
      </c>
      <c r="BQ218" s="345">
        <f>IF(ISNUMBER(AN218),AN218,NA())</f>
        <v/>
      </c>
    </row>
    <row r="219">
      <c r="A219" s="358">
        <f>IF('Apr 2027'!AH7="","",'Apr 2027'!AH7)</f>
        <v/>
      </c>
      <c r="B219" s="345" t="n">
        <v>7</v>
      </c>
      <c r="C219" s="345">
        <f>IF($A219="","",30)</f>
        <v/>
      </c>
      <c r="D219" s="345">
        <f>IF($A219="","",WEEKDAY($A219,2))</f>
        <v/>
      </c>
      <c r="E219" s="345">
        <f>IF($A219="","",UPPER(TRIM('Apr 2027'!AH8)))</f>
        <v/>
      </c>
      <c r="F219" s="345">
        <f>IF($A219="","",IF(OR('Apr 2027'!AH10=TRUE,'Apr 2027'!AH10="x",'Apr 2027'!AH10="X"),1,0))</f>
        <v/>
      </c>
      <c r="G219" s="345">
        <f>IF($A219="","",IF(OR('Apr 2027'!AH11=TRUE,'Apr 2027'!AH11="x",'Apr 2027'!AH11="X"),1,0))</f>
        <v/>
      </c>
      <c r="H219" s="345">
        <f>IF($A219="","",IF(OR('Apr 2027'!AH12=TRUE,'Apr 2027'!AH12="x",'Apr 2027'!AH12="X"),1,0))</f>
        <v/>
      </c>
      <c r="I219" s="345">
        <f>IF($A219="","",IF(OR('Apr 2027'!AH13=TRUE,'Apr 2027'!AH13="x",'Apr 2027'!AH13="X"),1,0))</f>
        <v/>
      </c>
      <c r="J219" s="345">
        <f>IF($A219="","",IF(OR('Apr 2027'!AH14=TRUE,'Apr 2027'!AH14="x",'Apr 2027'!AH14="X"),1,0))</f>
        <v/>
      </c>
      <c r="K219" s="345">
        <f>IF($A219="","",IF(OR('Apr 2027'!AH15=TRUE,'Apr 2027'!AH15="x",'Apr 2027'!AH15="X"),1,0))</f>
        <v/>
      </c>
      <c r="L219" s="345">
        <f>IF($A219="","",IF(OR('Apr 2027'!AH16=TRUE,'Apr 2027'!AH16="x",'Apr 2027'!AH16="X"),1,0))</f>
        <v/>
      </c>
      <c r="M219" s="345">
        <f>IF($A219="","",IF(OR('Apr 2027'!AH17=TRUE,'Apr 2027'!AH17="x",'Apr 2027'!AH17="X"),1,0))</f>
        <v/>
      </c>
      <c r="N219" s="345">
        <f>IF($A219="","",IF(OR('Apr 2027'!AH18=TRUE,'Apr 2027'!AH18="x",'Apr 2027'!AH18="X"),1,0))</f>
        <v/>
      </c>
      <c r="O219" s="345">
        <f>IF($A219="","",IF(OR('Apr 2027'!AH20=TRUE,'Apr 2027'!AH20="x",'Apr 2027'!AH20="X"),1,0))</f>
        <v/>
      </c>
      <c r="P219" s="345">
        <f>IF($A219="","",IF(OR('Apr 2027'!AH21=TRUE,'Apr 2027'!AH21="x",'Apr 2027'!AH21="X"),1,0))</f>
        <v/>
      </c>
      <c r="Q219" s="345">
        <f>IF($A219="","",IF(OR('Apr 2027'!AH22=TRUE,'Apr 2027'!AH22="x",'Apr 2027'!AH22="X"),1,0))</f>
        <v/>
      </c>
      <c r="R219" s="345">
        <f>IF($A219="","",IF(OR('Apr 2027'!AH23=TRUE,'Apr 2027'!AH23="x",'Apr 2027'!AH23="X"),1,0))</f>
        <v/>
      </c>
      <c r="S219" s="345">
        <f>IF($A219="","",IF(OR('Apr 2027'!AH24=TRUE,'Apr 2027'!AH24="x",'Apr 2027'!AH24="X"),1,0))</f>
        <v/>
      </c>
      <c r="T219" s="345">
        <f>IF($A219="","",IF(OR('Apr 2027'!AH25=TRUE,'Apr 2027'!AH25="x",'Apr 2027'!AH25="X"),1,0))</f>
        <v/>
      </c>
      <c r="U219" s="345">
        <f>IF($A219="","",IF(OR('Apr 2027'!AH26=TRUE,'Apr 2027'!AH26="x",'Apr 2027'!AH26="X"),1,0))</f>
        <v/>
      </c>
      <c r="V219" s="345">
        <f>IF($A219="","",IF(OR('Apr 2027'!AH27=TRUE,'Apr 2027'!AH27="x",'Apr 2027'!AH27="X"),1,0))</f>
        <v/>
      </c>
      <c r="W219" s="345">
        <f>IF($A219="","",IF(OR('Apr 2027'!AH28=TRUE,'Apr 2027'!AH28="x",'Apr 2027'!AH28="X"),1,0))</f>
        <v/>
      </c>
      <c r="X219" s="345">
        <f>IF($A219="","",IF(OR('Apr 2027'!AH29=TRUE,'Apr 2027'!AH29="x",'Apr 2027'!AH29="X"),1,0))</f>
        <v/>
      </c>
      <c r="Y219" s="345">
        <f>IF($A219="","",IF(OR('Apr 2027'!AH30=TRUE,'Apr 2027'!AH30="x",'Apr 2027'!AH30="X"),1,0))</f>
        <v/>
      </c>
      <c r="Z219" s="345">
        <f>IF($A219="","",IF(OR('Apr 2027'!AH31=TRUE,'Apr 2027'!AH31="x",'Apr 2027'!AH31="X"),1,0))</f>
        <v/>
      </c>
      <c r="AA219" s="345">
        <f>IF($A219="","",IF(OR('Apr 2027'!AH32=TRUE,'Apr 2027'!AH32="x",'Apr 2027'!AH32="X"),1,0))</f>
        <v/>
      </c>
      <c r="AB219" s="345">
        <f>IF($A219="","",IF(OR('Apr 2027'!AH34=TRUE,'Apr 2027'!AH34="x",'Apr 2027'!AH34="X"),1,0))</f>
        <v/>
      </c>
      <c r="AC219" s="345">
        <f>IF($A219="","",IF(OR('Apr 2027'!AH35=TRUE,'Apr 2027'!AH35="x",'Apr 2027'!AH35="X"),1,0))</f>
        <v/>
      </c>
      <c r="AD219" s="345">
        <f>IF($A219="","",IF(OR('Apr 2027'!AH36=TRUE,'Apr 2027'!AH36="x",'Apr 2027'!AH36="X"),1,0))</f>
        <v/>
      </c>
      <c r="AE219" s="345">
        <f>IF($A219="","",IF(OR('Apr 2027'!AH37=TRUE,'Apr 2027'!AH37="x",'Apr 2027'!AH37="X"),1,0))</f>
        <v/>
      </c>
      <c r="AF219" s="345">
        <f>IF($A219="","",IF('Apr 2027'!AH59="","",'Apr 2027'!AH59))</f>
        <v/>
      </c>
      <c r="AG219" s="345">
        <f>IF($A219="","",IF('Apr 2027'!AH60="","",'Apr 2027'!AH60))</f>
        <v/>
      </c>
      <c r="AH219" s="345">
        <f>IF($A219="","",IF('Apr 2027'!AH61="","",'Apr 2027'!AH61))</f>
        <v/>
      </c>
      <c r="AI219" s="345">
        <f>IF($A219="","",IF('Apr 2027'!AH62="","",'Apr 2027'!AH62))</f>
        <v/>
      </c>
      <c r="AJ219" s="345">
        <f>IF($A219="","",IF('Apr 2027'!AH63="","",'Apr 2027'!AH63))</f>
        <v/>
      </c>
      <c r="AK219" s="345">
        <f>IF($A219="","",IF('Apr 2027'!AH64="","",'Apr 2027'!AH64))</f>
        <v/>
      </c>
      <c r="AL219" s="345">
        <f>IF($A219="","",IF('Apr 2027'!AH65="","",'Apr 2027'!AH65))</f>
        <v/>
      </c>
      <c r="AM219" s="345">
        <f>IF($A219="","",IF('Apr 2027'!AH66="","",'Apr 2027'!AH66))</f>
        <v/>
      </c>
      <c r="AN219" s="345">
        <f>IF($A219="","",IF('Apr 2027'!AH67="","",'Apr 2027'!AH67))</f>
        <v/>
      </c>
      <c r="AO219" s="345">
        <f>IF($A219="",0,IF(AND($A219&gt;=TrackStart,$A219&lt;=TODAY()),1,0))</f>
        <v/>
      </c>
      <c r="AP219" s="345">
        <f>IF($A219="",0,IF(SUM(F219:AE219)+COUNT(AF219:AN219)&gt;0,1,0))</f>
        <v/>
      </c>
      <c r="AQ219" s="345">
        <f>IF($A219="","",INT(($A219-TrackStart)/7)+1)</f>
        <v/>
      </c>
      <c r="AR219" s="345">
        <f>IF($A219="","",IF(AQ219&lt;=1,Steps1,IF(AQ219=2,Steps2,Steps3)))</f>
        <v/>
      </c>
      <c r="AS219" s="345">
        <f>IF($A219="",0,IF(ISNUMBER(SEARCH(TEXT(D219,"0"),WorkDays&amp;"")),1,0))</f>
        <v/>
      </c>
      <c r="AT219" s="345">
        <f>IF($A219="",0,IF(ISNUMBER(SEARCH(TEXT(D219,"0"),StrDays&amp;"")),1,0))</f>
        <v/>
      </c>
      <c r="AU219" s="345">
        <f>IF($A219="",0,IF(ISNUMBER(AK219),IF(AK219&gt;=SleepMin,1,0),N219))</f>
        <v/>
      </c>
      <c r="AV219" s="345">
        <f>IF($A219="",0,MAX(I219,O219,S219,AC219))</f>
        <v/>
      </c>
      <c r="AW219" s="345">
        <f>IF($A219="",0,IF(ISNUMBER(AH219),IF(AH219&gt;=ProtHit,1,0),0))</f>
        <v/>
      </c>
      <c r="AX219" s="345">
        <f>IF($A219="",0,IF(ISNUMBER(AI219),IF(AI219&gt;=WaterHit,1,0),0))</f>
        <v/>
      </c>
      <c r="AY219" s="345">
        <f>IF($A219="",0,IF(ISNUMBER(AG219),IF(AG219&gt;=AR219,1,0),0))</f>
        <v/>
      </c>
      <c r="AZ219" s="345">
        <f>IF($A219="",0,G219)</f>
        <v/>
      </c>
      <c r="BA219" s="345">
        <f>IF($A219="",0,J219)</f>
        <v/>
      </c>
      <c r="BB219" s="345">
        <f>IF($A219="",0,K219)</f>
        <v/>
      </c>
      <c r="BC219" s="345">
        <f>IF($A219="",0,MAX(L219,AE219))</f>
        <v/>
      </c>
      <c r="BD219" s="344">
        <f>IF($A219="","",(AU219+AV219+AW219+AX219+AY219+AZ219+BB219+BC219+IF(AS219=1,BA219,0))/(8+AS219))</f>
        <v/>
      </c>
      <c r="BE219" s="344">
        <f>IF($A219="","",(IF(ISNUMBER(AI219),IF(AI219&gt;=WaterMVD,1,0),0)+AV219+IF(ISNUMBER(AH219),IF(AH219&gt;=ProtMVD,1,0),0)+MAX(H219,AD219)+AZ219+BB219+AU219)/7)</f>
        <v/>
      </c>
      <c r="BF219" s="344">
        <f>IF(AO219=0,"",IF(E219="S","",IF(AND(AP219=0,$A219=TODAY()),"",IF(E219="M",BE219,BD219))))</f>
        <v/>
      </c>
      <c r="BG219" s="344">
        <f>IF(AO219=0,"",IFERROR(AVERAGEIFS(Data!$BF$4:$BF$375,Data!$A$4:$A$375,"&gt;"&amp;($A219-7),Data!$A$4:$A$375,"&lt;="&amp;$A219),""))</f>
        <v/>
      </c>
      <c r="BH219" s="344">
        <f>IF(AO219=0,"",IFERROR(AVERAGEIFS(Data!$BF$4:$BF$375,Data!$A$4:$A$375,"&gt;"&amp;($A219-30),Data!$A$4:$A$375,"&lt;="&amp;$A219),""))</f>
        <v/>
      </c>
      <c r="BI219" s="359">
        <f>IF($A219="","",IFERROR(AVERAGEIFS(Data!$AF$4:$AF$375,Data!$A$4:$A$375,"&gt;"&amp;($A219-7),Data!$A$4:$A$375,"&lt;="&amp;$A219,Data!$AF$4:$AF$375,"&gt;0"),""))</f>
        <v/>
      </c>
      <c r="BJ219" s="345">
        <f>IF($A219="","",F219+G219+H219+I219+J219+K219+L219+M219+N219-IF(AS219=1,0,J219))</f>
        <v/>
      </c>
      <c r="BK219" s="345">
        <f>IF($A219="","",8+AS219)</f>
        <v/>
      </c>
      <c r="BL219" s="345">
        <f>IF(ISNUMBER(BF219),BF219,NA())</f>
        <v/>
      </c>
      <c r="BM219" s="345">
        <f>IF(ISNUMBER(AF219),AF219,NA())</f>
        <v/>
      </c>
      <c r="BN219" s="345">
        <f>IF(ISNUMBER(BI219),BI219,NA())</f>
        <v/>
      </c>
      <c r="BO219" s="345">
        <f>IF(ISNUMBER(AL219),AL219,NA())</f>
        <v/>
      </c>
      <c r="BP219" s="345">
        <f>IF(ISNUMBER(AM219),AM219,NA())</f>
        <v/>
      </c>
      <c r="BQ219" s="345">
        <f>IF(ISNUMBER(AN219),AN219,NA())</f>
        <v/>
      </c>
    </row>
    <row r="220">
      <c r="A220" s="358">
        <f>IF('Apr 2027'!AI7="","",'Apr 2027'!AI7)</f>
        <v/>
      </c>
      <c r="B220" s="345" t="n">
        <v>7</v>
      </c>
      <c r="C220" s="345">
        <f>IF($A220="","",31)</f>
        <v/>
      </c>
      <c r="D220" s="345">
        <f>IF($A220="","",WEEKDAY($A220,2))</f>
        <v/>
      </c>
      <c r="E220" s="345">
        <f>IF($A220="","",UPPER(TRIM('Apr 2027'!AI8)))</f>
        <v/>
      </c>
      <c r="F220" s="345">
        <f>IF($A220="","",IF(OR('Apr 2027'!AI10=TRUE,'Apr 2027'!AI10="x",'Apr 2027'!AI10="X"),1,0))</f>
        <v/>
      </c>
      <c r="G220" s="345">
        <f>IF($A220="","",IF(OR('Apr 2027'!AI11=TRUE,'Apr 2027'!AI11="x",'Apr 2027'!AI11="X"),1,0))</f>
        <v/>
      </c>
      <c r="H220" s="345">
        <f>IF($A220="","",IF(OR('Apr 2027'!AI12=TRUE,'Apr 2027'!AI12="x",'Apr 2027'!AI12="X"),1,0))</f>
        <v/>
      </c>
      <c r="I220" s="345">
        <f>IF($A220="","",IF(OR('Apr 2027'!AI13=TRUE,'Apr 2027'!AI13="x",'Apr 2027'!AI13="X"),1,0))</f>
        <v/>
      </c>
      <c r="J220" s="345">
        <f>IF($A220="","",IF(OR('Apr 2027'!AI14=TRUE,'Apr 2027'!AI14="x",'Apr 2027'!AI14="X"),1,0))</f>
        <v/>
      </c>
      <c r="K220" s="345">
        <f>IF($A220="","",IF(OR('Apr 2027'!AI15=TRUE,'Apr 2027'!AI15="x",'Apr 2027'!AI15="X"),1,0))</f>
        <v/>
      </c>
      <c r="L220" s="345">
        <f>IF($A220="","",IF(OR('Apr 2027'!AI16=TRUE,'Apr 2027'!AI16="x",'Apr 2027'!AI16="X"),1,0))</f>
        <v/>
      </c>
      <c r="M220" s="345">
        <f>IF($A220="","",IF(OR('Apr 2027'!AI17=TRUE,'Apr 2027'!AI17="x",'Apr 2027'!AI17="X"),1,0))</f>
        <v/>
      </c>
      <c r="N220" s="345">
        <f>IF($A220="","",IF(OR('Apr 2027'!AI18=TRUE,'Apr 2027'!AI18="x",'Apr 2027'!AI18="X"),1,0))</f>
        <v/>
      </c>
      <c r="O220" s="345">
        <f>IF($A220="","",IF(OR('Apr 2027'!AI20=TRUE,'Apr 2027'!AI20="x",'Apr 2027'!AI20="X"),1,0))</f>
        <v/>
      </c>
      <c r="P220" s="345">
        <f>IF($A220="","",IF(OR('Apr 2027'!AI21=TRUE,'Apr 2027'!AI21="x",'Apr 2027'!AI21="X"),1,0))</f>
        <v/>
      </c>
      <c r="Q220" s="345">
        <f>IF($A220="","",IF(OR('Apr 2027'!AI22=TRUE,'Apr 2027'!AI22="x",'Apr 2027'!AI22="X"),1,0))</f>
        <v/>
      </c>
      <c r="R220" s="345">
        <f>IF($A220="","",IF(OR('Apr 2027'!AI23=TRUE,'Apr 2027'!AI23="x",'Apr 2027'!AI23="X"),1,0))</f>
        <v/>
      </c>
      <c r="S220" s="345">
        <f>IF($A220="","",IF(OR('Apr 2027'!AI24=TRUE,'Apr 2027'!AI24="x",'Apr 2027'!AI24="X"),1,0))</f>
        <v/>
      </c>
      <c r="T220" s="345">
        <f>IF($A220="","",IF(OR('Apr 2027'!AI25=TRUE,'Apr 2027'!AI25="x",'Apr 2027'!AI25="X"),1,0))</f>
        <v/>
      </c>
      <c r="U220" s="345">
        <f>IF($A220="","",IF(OR('Apr 2027'!AI26=TRUE,'Apr 2027'!AI26="x",'Apr 2027'!AI26="X"),1,0))</f>
        <v/>
      </c>
      <c r="V220" s="345">
        <f>IF($A220="","",IF(OR('Apr 2027'!AI27=TRUE,'Apr 2027'!AI27="x",'Apr 2027'!AI27="X"),1,0))</f>
        <v/>
      </c>
      <c r="W220" s="345">
        <f>IF($A220="","",IF(OR('Apr 2027'!AI28=TRUE,'Apr 2027'!AI28="x",'Apr 2027'!AI28="X"),1,0))</f>
        <v/>
      </c>
      <c r="X220" s="345">
        <f>IF($A220="","",IF(OR('Apr 2027'!AI29=TRUE,'Apr 2027'!AI29="x",'Apr 2027'!AI29="X"),1,0))</f>
        <v/>
      </c>
      <c r="Y220" s="345">
        <f>IF($A220="","",IF(OR('Apr 2027'!AI30=TRUE,'Apr 2027'!AI30="x",'Apr 2027'!AI30="X"),1,0))</f>
        <v/>
      </c>
      <c r="Z220" s="345">
        <f>IF($A220="","",IF(OR('Apr 2027'!AI31=TRUE,'Apr 2027'!AI31="x",'Apr 2027'!AI31="X"),1,0))</f>
        <v/>
      </c>
      <c r="AA220" s="345">
        <f>IF($A220="","",IF(OR('Apr 2027'!AI32=TRUE,'Apr 2027'!AI32="x",'Apr 2027'!AI32="X"),1,0))</f>
        <v/>
      </c>
      <c r="AB220" s="345">
        <f>IF($A220="","",IF(OR('Apr 2027'!AI34=TRUE,'Apr 2027'!AI34="x",'Apr 2027'!AI34="X"),1,0))</f>
        <v/>
      </c>
      <c r="AC220" s="345">
        <f>IF($A220="","",IF(OR('Apr 2027'!AI35=TRUE,'Apr 2027'!AI35="x",'Apr 2027'!AI35="X"),1,0))</f>
        <v/>
      </c>
      <c r="AD220" s="345">
        <f>IF($A220="","",IF(OR('Apr 2027'!AI36=TRUE,'Apr 2027'!AI36="x",'Apr 2027'!AI36="X"),1,0))</f>
        <v/>
      </c>
      <c r="AE220" s="345">
        <f>IF($A220="","",IF(OR('Apr 2027'!AI37=TRUE,'Apr 2027'!AI37="x",'Apr 2027'!AI37="X"),1,0))</f>
        <v/>
      </c>
      <c r="AF220" s="345">
        <f>IF($A220="","",IF('Apr 2027'!AI59="","",'Apr 2027'!AI59))</f>
        <v/>
      </c>
      <c r="AG220" s="345">
        <f>IF($A220="","",IF('Apr 2027'!AI60="","",'Apr 2027'!AI60))</f>
        <v/>
      </c>
      <c r="AH220" s="345">
        <f>IF($A220="","",IF('Apr 2027'!AI61="","",'Apr 2027'!AI61))</f>
        <v/>
      </c>
      <c r="AI220" s="345">
        <f>IF($A220="","",IF('Apr 2027'!AI62="","",'Apr 2027'!AI62))</f>
        <v/>
      </c>
      <c r="AJ220" s="345">
        <f>IF($A220="","",IF('Apr 2027'!AI63="","",'Apr 2027'!AI63))</f>
        <v/>
      </c>
      <c r="AK220" s="345">
        <f>IF($A220="","",IF('Apr 2027'!AI64="","",'Apr 2027'!AI64))</f>
        <v/>
      </c>
      <c r="AL220" s="345">
        <f>IF($A220="","",IF('Apr 2027'!AI65="","",'Apr 2027'!AI65))</f>
        <v/>
      </c>
      <c r="AM220" s="345">
        <f>IF($A220="","",IF('Apr 2027'!AI66="","",'Apr 2027'!AI66))</f>
        <v/>
      </c>
      <c r="AN220" s="345">
        <f>IF($A220="","",IF('Apr 2027'!AI67="","",'Apr 2027'!AI67))</f>
        <v/>
      </c>
      <c r="AO220" s="345">
        <f>IF($A220="",0,IF(AND($A220&gt;=TrackStart,$A220&lt;=TODAY()),1,0))</f>
        <v/>
      </c>
      <c r="AP220" s="345">
        <f>IF($A220="",0,IF(SUM(F220:AE220)+COUNT(AF220:AN220)&gt;0,1,0))</f>
        <v/>
      </c>
      <c r="AQ220" s="345">
        <f>IF($A220="","",INT(($A220-TrackStart)/7)+1)</f>
        <v/>
      </c>
      <c r="AR220" s="345">
        <f>IF($A220="","",IF(AQ220&lt;=1,Steps1,IF(AQ220=2,Steps2,Steps3)))</f>
        <v/>
      </c>
      <c r="AS220" s="345">
        <f>IF($A220="",0,IF(ISNUMBER(SEARCH(TEXT(D220,"0"),WorkDays&amp;"")),1,0))</f>
        <v/>
      </c>
      <c r="AT220" s="345">
        <f>IF($A220="",0,IF(ISNUMBER(SEARCH(TEXT(D220,"0"),StrDays&amp;"")),1,0))</f>
        <v/>
      </c>
      <c r="AU220" s="345">
        <f>IF($A220="",0,IF(ISNUMBER(AK220),IF(AK220&gt;=SleepMin,1,0),N220))</f>
        <v/>
      </c>
      <c r="AV220" s="345">
        <f>IF($A220="",0,MAX(I220,O220,S220,AC220))</f>
        <v/>
      </c>
      <c r="AW220" s="345">
        <f>IF($A220="",0,IF(ISNUMBER(AH220),IF(AH220&gt;=ProtHit,1,0),0))</f>
        <v/>
      </c>
      <c r="AX220" s="345">
        <f>IF($A220="",0,IF(ISNUMBER(AI220),IF(AI220&gt;=WaterHit,1,0),0))</f>
        <v/>
      </c>
      <c r="AY220" s="345">
        <f>IF($A220="",0,IF(ISNUMBER(AG220),IF(AG220&gt;=AR220,1,0),0))</f>
        <v/>
      </c>
      <c r="AZ220" s="345">
        <f>IF($A220="",0,G220)</f>
        <v/>
      </c>
      <c r="BA220" s="345">
        <f>IF($A220="",0,J220)</f>
        <v/>
      </c>
      <c r="BB220" s="345">
        <f>IF($A220="",0,K220)</f>
        <v/>
      </c>
      <c r="BC220" s="345">
        <f>IF($A220="",0,MAX(L220,AE220))</f>
        <v/>
      </c>
      <c r="BD220" s="344">
        <f>IF($A220="","",(AU220+AV220+AW220+AX220+AY220+AZ220+BB220+BC220+IF(AS220=1,BA220,0))/(8+AS220))</f>
        <v/>
      </c>
      <c r="BE220" s="344">
        <f>IF($A220="","",(IF(ISNUMBER(AI220),IF(AI220&gt;=WaterMVD,1,0),0)+AV220+IF(ISNUMBER(AH220),IF(AH220&gt;=ProtMVD,1,0),0)+MAX(H220,AD220)+AZ220+BB220+AU220)/7)</f>
        <v/>
      </c>
      <c r="BF220" s="344">
        <f>IF(AO220=0,"",IF(E220="S","",IF(AND(AP220=0,$A220=TODAY()),"",IF(E220="M",BE220,BD220))))</f>
        <v/>
      </c>
      <c r="BG220" s="344">
        <f>IF(AO220=0,"",IFERROR(AVERAGEIFS(Data!$BF$4:$BF$375,Data!$A$4:$A$375,"&gt;"&amp;($A220-7),Data!$A$4:$A$375,"&lt;="&amp;$A220),""))</f>
        <v/>
      </c>
      <c r="BH220" s="344">
        <f>IF(AO220=0,"",IFERROR(AVERAGEIFS(Data!$BF$4:$BF$375,Data!$A$4:$A$375,"&gt;"&amp;($A220-30),Data!$A$4:$A$375,"&lt;="&amp;$A220),""))</f>
        <v/>
      </c>
      <c r="BI220" s="359">
        <f>IF($A220="","",IFERROR(AVERAGEIFS(Data!$AF$4:$AF$375,Data!$A$4:$A$375,"&gt;"&amp;($A220-7),Data!$A$4:$A$375,"&lt;="&amp;$A220,Data!$AF$4:$AF$375,"&gt;0"),""))</f>
        <v/>
      </c>
      <c r="BJ220" s="345">
        <f>IF($A220="","",F220+G220+H220+I220+J220+K220+L220+M220+N220-IF(AS220=1,0,J220))</f>
        <v/>
      </c>
      <c r="BK220" s="345">
        <f>IF($A220="","",8+AS220)</f>
        <v/>
      </c>
      <c r="BL220" s="345">
        <f>IF(ISNUMBER(BF220),BF220,NA())</f>
        <v/>
      </c>
      <c r="BM220" s="345">
        <f>IF(ISNUMBER(AF220),AF220,NA())</f>
        <v/>
      </c>
      <c r="BN220" s="345">
        <f>IF(ISNUMBER(BI220),BI220,NA())</f>
        <v/>
      </c>
      <c r="BO220" s="345">
        <f>IF(ISNUMBER(AL220),AL220,NA())</f>
        <v/>
      </c>
      <c r="BP220" s="345">
        <f>IF(ISNUMBER(AM220),AM220,NA())</f>
        <v/>
      </c>
      <c r="BQ220" s="345">
        <f>IF(ISNUMBER(AN220),AN220,NA())</f>
        <v/>
      </c>
    </row>
    <row r="221">
      <c r="A221" s="358">
        <f>IF('May 2027'!E7="","",'May 2027'!E7)</f>
        <v/>
      </c>
      <c r="B221" s="345" t="n">
        <v>8</v>
      </c>
      <c r="C221" s="345">
        <f>IF($A221="","",1)</f>
        <v/>
      </c>
      <c r="D221" s="345">
        <f>IF($A221="","",WEEKDAY($A221,2))</f>
        <v/>
      </c>
      <c r="E221" s="345">
        <f>IF($A221="","",UPPER(TRIM('May 2027'!E8)))</f>
        <v/>
      </c>
      <c r="F221" s="345">
        <f>IF($A221="","",IF(OR('May 2027'!E10=TRUE,'May 2027'!E10="x",'May 2027'!E10="X"),1,0))</f>
        <v/>
      </c>
      <c r="G221" s="345">
        <f>IF($A221="","",IF(OR('May 2027'!E11=TRUE,'May 2027'!E11="x",'May 2027'!E11="X"),1,0))</f>
        <v/>
      </c>
      <c r="H221" s="345">
        <f>IF($A221="","",IF(OR('May 2027'!E12=TRUE,'May 2027'!E12="x",'May 2027'!E12="X"),1,0))</f>
        <v/>
      </c>
      <c r="I221" s="345">
        <f>IF($A221="","",IF(OR('May 2027'!E13=TRUE,'May 2027'!E13="x",'May 2027'!E13="X"),1,0))</f>
        <v/>
      </c>
      <c r="J221" s="345">
        <f>IF($A221="","",IF(OR('May 2027'!E14=TRUE,'May 2027'!E14="x",'May 2027'!E14="X"),1,0))</f>
        <v/>
      </c>
      <c r="K221" s="345">
        <f>IF($A221="","",IF(OR('May 2027'!E15=TRUE,'May 2027'!E15="x",'May 2027'!E15="X"),1,0))</f>
        <v/>
      </c>
      <c r="L221" s="345">
        <f>IF($A221="","",IF(OR('May 2027'!E16=TRUE,'May 2027'!E16="x",'May 2027'!E16="X"),1,0))</f>
        <v/>
      </c>
      <c r="M221" s="345">
        <f>IF($A221="","",IF(OR('May 2027'!E17=TRUE,'May 2027'!E17="x",'May 2027'!E17="X"),1,0))</f>
        <v/>
      </c>
      <c r="N221" s="345">
        <f>IF($A221="","",IF(OR('May 2027'!E18=TRUE,'May 2027'!E18="x",'May 2027'!E18="X"),1,0))</f>
        <v/>
      </c>
      <c r="O221" s="345">
        <f>IF($A221="","",IF(OR('May 2027'!E20=TRUE,'May 2027'!E20="x",'May 2027'!E20="X"),1,0))</f>
        <v/>
      </c>
      <c r="P221" s="345">
        <f>IF($A221="","",IF(OR('May 2027'!E21=TRUE,'May 2027'!E21="x",'May 2027'!E21="X"),1,0))</f>
        <v/>
      </c>
      <c r="Q221" s="345">
        <f>IF($A221="","",IF(OR('May 2027'!E22=TRUE,'May 2027'!E22="x",'May 2027'!E22="X"),1,0))</f>
        <v/>
      </c>
      <c r="R221" s="345">
        <f>IF($A221="","",IF(OR('May 2027'!E23=TRUE,'May 2027'!E23="x",'May 2027'!E23="X"),1,0))</f>
        <v/>
      </c>
      <c r="S221" s="345">
        <f>IF($A221="","",IF(OR('May 2027'!E24=TRUE,'May 2027'!E24="x",'May 2027'!E24="X"),1,0))</f>
        <v/>
      </c>
      <c r="T221" s="345">
        <f>IF($A221="","",IF(OR('May 2027'!E25=TRUE,'May 2027'!E25="x",'May 2027'!E25="X"),1,0))</f>
        <v/>
      </c>
      <c r="U221" s="345">
        <f>IF($A221="","",IF(OR('May 2027'!E26=TRUE,'May 2027'!E26="x",'May 2027'!E26="X"),1,0))</f>
        <v/>
      </c>
      <c r="V221" s="345">
        <f>IF($A221="","",IF(OR('May 2027'!E27=TRUE,'May 2027'!E27="x",'May 2027'!E27="X"),1,0))</f>
        <v/>
      </c>
      <c r="W221" s="345">
        <f>IF($A221="","",IF(OR('May 2027'!E28=TRUE,'May 2027'!E28="x",'May 2027'!E28="X"),1,0))</f>
        <v/>
      </c>
      <c r="X221" s="345">
        <f>IF($A221="","",IF(OR('May 2027'!E29=TRUE,'May 2027'!E29="x",'May 2027'!E29="X"),1,0))</f>
        <v/>
      </c>
      <c r="Y221" s="345">
        <f>IF($A221="","",IF(OR('May 2027'!E30=TRUE,'May 2027'!E30="x",'May 2027'!E30="X"),1,0))</f>
        <v/>
      </c>
      <c r="Z221" s="345">
        <f>IF($A221="","",IF(OR('May 2027'!E31=TRUE,'May 2027'!E31="x",'May 2027'!E31="X"),1,0))</f>
        <v/>
      </c>
      <c r="AA221" s="345">
        <f>IF($A221="","",IF(OR('May 2027'!E32=TRUE,'May 2027'!E32="x",'May 2027'!E32="X"),1,0))</f>
        <v/>
      </c>
      <c r="AB221" s="345">
        <f>IF($A221="","",IF(OR('May 2027'!E34=TRUE,'May 2027'!E34="x",'May 2027'!E34="X"),1,0))</f>
        <v/>
      </c>
      <c r="AC221" s="345">
        <f>IF($A221="","",IF(OR('May 2027'!E35=TRUE,'May 2027'!E35="x",'May 2027'!E35="X"),1,0))</f>
        <v/>
      </c>
      <c r="AD221" s="345">
        <f>IF($A221="","",IF(OR('May 2027'!E36=TRUE,'May 2027'!E36="x",'May 2027'!E36="X"),1,0))</f>
        <v/>
      </c>
      <c r="AE221" s="345">
        <f>IF($A221="","",IF(OR('May 2027'!E37=TRUE,'May 2027'!E37="x",'May 2027'!E37="X"),1,0))</f>
        <v/>
      </c>
      <c r="AF221" s="345">
        <f>IF($A221="","",IF('May 2027'!E59="","",'May 2027'!E59))</f>
        <v/>
      </c>
      <c r="AG221" s="345">
        <f>IF($A221="","",IF('May 2027'!E60="","",'May 2027'!E60))</f>
        <v/>
      </c>
      <c r="AH221" s="345">
        <f>IF($A221="","",IF('May 2027'!E61="","",'May 2027'!E61))</f>
        <v/>
      </c>
      <c r="AI221" s="345">
        <f>IF($A221="","",IF('May 2027'!E62="","",'May 2027'!E62))</f>
        <v/>
      </c>
      <c r="AJ221" s="345">
        <f>IF($A221="","",IF('May 2027'!E63="","",'May 2027'!E63))</f>
        <v/>
      </c>
      <c r="AK221" s="345">
        <f>IF($A221="","",IF('May 2027'!E64="","",'May 2027'!E64))</f>
        <v/>
      </c>
      <c r="AL221" s="345">
        <f>IF($A221="","",IF('May 2027'!E65="","",'May 2027'!E65))</f>
        <v/>
      </c>
      <c r="AM221" s="345">
        <f>IF($A221="","",IF('May 2027'!E66="","",'May 2027'!E66))</f>
        <v/>
      </c>
      <c r="AN221" s="345">
        <f>IF($A221="","",IF('May 2027'!E67="","",'May 2027'!E67))</f>
        <v/>
      </c>
      <c r="AO221" s="345">
        <f>IF($A221="",0,IF(AND($A221&gt;=TrackStart,$A221&lt;=TODAY()),1,0))</f>
        <v/>
      </c>
      <c r="AP221" s="345">
        <f>IF($A221="",0,IF(SUM(F221:AE221)+COUNT(AF221:AN221)&gt;0,1,0))</f>
        <v/>
      </c>
      <c r="AQ221" s="345">
        <f>IF($A221="","",INT(($A221-TrackStart)/7)+1)</f>
        <v/>
      </c>
      <c r="AR221" s="345">
        <f>IF($A221="","",IF(AQ221&lt;=1,Steps1,IF(AQ221=2,Steps2,Steps3)))</f>
        <v/>
      </c>
      <c r="AS221" s="345">
        <f>IF($A221="",0,IF(ISNUMBER(SEARCH(TEXT(D221,"0"),WorkDays&amp;"")),1,0))</f>
        <v/>
      </c>
      <c r="AT221" s="345">
        <f>IF($A221="",0,IF(ISNUMBER(SEARCH(TEXT(D221,"0"),StrDays&amp;"")),1,0))</f>
        <v/>
      </c>
      <c r="AU221" s="345">
        <f>IF($A221="",0,IF(ISNUMBER(AK221),IF(AK221&gt;=SleepMin,1,0),N221))</f>
        <v/>
      </c>
      <c r="AV221" s="345">
        <f>IF($A221="",0,MAX(I221,O221,S221,AC221))</f>
        <v/>
      </c>
      <c r="AW221" s="345">
        <f>IF($A221="",0,IF(ISNUMBER(AH221),IF(AH221&gt;=ProtHit,1,0),0))</f>
        <v/>
      </c>
      <c r="AX221" s="345">
        <f>IF($A221="",0,IF(ISNUMBER(AI221),IF(AI221&gt;=WaterHit,1,0),0))</f>
        <v/>
      </c>
      <c r="AY221" s="345">
        <f>IF($A221="",0,IF(ISNUMBER(AG221),IF(AG221&gt;=AR221,1,0),0))</f>
        <v/>
      </c>
      <c r="AZ221" s="345">
        <f>IF($A221="",0,G221)</f>
        <v/>
      </c>
      <c r="BA221" s="345">
        <f>IF($A221="",0,J221)</f>
        <v/>
      </c>
      <c r="BB221" s="345">
        <f>IF($A221="",0,K221)</f>
        <v/>
      </c>
      <c r="BC221" s="345">
        <f>IF($A221="",0,MAX(L221,AE221))</f>
        <v/>
      </c>
      <c r="BD221" s="344">
        <f>IF($A221="","",(AU221+AV221+AW221+AX221+AY221+AZ221+BB221+BC221+IF(AS221=1,BA221,0))/(8+AS221))</f>
        <v/>
      </c>
      <c r="BE221" s="344">
        <f>IF($A221="","",(IF(ISNUMBER(AI221),IF(AI221&gt;=WaterMVD,1,0),0)+AV221+IF(ISNUMBER(AH221),IF(AH221&gt;=ProtMVD,1,0),0)+MAX(H221,AD221)+AZ221+BB221+AU221)/7)</f>
        <v/>
      </c>
      <c r="BF221" s="344">
        <f>IF(AO221=0,"",IF(E221="S","",IF(AND(AP221=0,$A221=TODAY()),"",IF(E221="M",BE221,BD221))))</f>
        <v/>
      </c>
      <c r="BG221" s="344">
        <f>IF(AO221=0,"",IFERROR(AVERAGEIFS(Data!$BF$4:$BF$375,Data!$A$4:$A$375,"&gt;"&amp;($A221-7),Data!$A$4:$A$375,"&lt;="&amp;$A221),""))</f>
        <v/>
      </c>
      <c r="BH221" s="344">
        <f>IF(AO221=0,"",IFERROR(AVERAGEIFS(Data!$BF$4:$BF$375,Data!$A$4:$A$375,"&gt;"&amp;($A221-30),Data!$A$4:$A$375,"&lt;="&amp;$A221),""))</f>
        <v/>
      </c>
      <c r="BI221" s="359">
        <f>IF($A221="","",IFERROR(AVERAGEIFS(Data!$AF$4:$AF$375,Data!$A$4:$A$375,"&gt;"&amp;($A221-7),Data!$A$4:$A$375,"&lt;="&amp;$A221,Data!$AF$4:$AF$375,"&gt;0"),""))</f>
        <v/>
      </c>
      <c r="BJ221" s="345">
        <f>IF($A221="","",F221+G221+H221+I221+J221+K221+L221+M221+N221-IF(AS221=1,0,J221))</f>
        <v/>
      </c>
      <c r="BK221" s="345">
        <f>IF($A221="","",8+AS221)</f>
        <v/>
      </c>
      <c r="BL221" s="345">
        <f>IF(ISNUMBER(BF221),BF221,NA())</f>
        <v/>
      </c>
      <c r="BM221" s="345">
        <f>IF(ISNUMBER(AF221),AF221,NA())</f>
        <v/>
      </c>
      <c r="BN221" s="345">
        <f>IF(ISNUMBER(BI221),BI221,NA())</f>
        <v/>
      </c>
      <c r="BO221" s="345">
        <f>IF(ISNUMBER(AL221),AL221,NA())</f>
        <v/>
      </c>
      <c r="BP221" s="345">
        <f>IF(ISNUMBER(AM221),AM221,NA())</f>
        <v/>
      </c>
      <c r="BQ221" s="345">
        <f>IF(ISNUMBER(AN221),AN221,NA())</f>
        <v/>
      </c>
    </row>
    <row r="222">
      <c r="A222" s="358">
        <f>IF('May 2027'!F7="","",'May 2027'!F7)</f>
        <v/>
      </c>
      <c r="B222" s="345" t="n">
        <v>8</v>
      </c>
      <c r="C222" s="345">
        <f>IF($A222="","",2)</f>
        <v/>
      </c>
      <c r="D222" s="345">
        <f>IF($A222="","",WEEKDAY($A222,2))</f>
        <v/>
      </c>
      <c r="E222" s="345">
        <f>IF($A222="","",UPPER(TRIM('May 2027'!F8)))</f>
        <v/>
      </c>
      <c r="F222" s="345">
        <f>IF($A222="","",IF(OR('May 2027'!F10=TRUE,'May 2027'!F10="x",'May 2027'!F10="X"),1,0))</f>
        <v/>
      </c>
      <c r="G222" s="345">
        <f>IF($A222="","",IF(OR('May 2027'!F11=TRUE,'May 2027'!F11="x",'May 2027'!F11="X"),1,0))</f>
        <v/>
      </c>
      <c r="H222" s="345">
        <f>IF($A222="","",IF(OR('May 2027'!F12=TRUE,'May 2027'!F12="x",'May 2027'!F12="X"),1,0))</f>
        <v/>
      </c>
      <c r="I222" s="345">
        <f>IF($A222="","",IF(OR('May 2027'!F13=TRUE,'May 2027'!F13="x",'May 2027'!F13="X"),1,0))</f>
        <v/>
      </c>
      <c r="J222" s="345">
        <f>IF($A222="","",IF(OR('May 2027'!F14=TRUE,'May 2027'!F14="x",'May 2027'!F14="X"),1,0))</f>
        <v/>
      </c>
      <c r="K222" s="345">
        <f>IF($A222="","",IF(OR('May 2027'!F15=TRUE,'May 2027'!F15="x",'May 2027'!F15="X"),1,0))</f>
        <v/>
      </c>
      <c r="L222" s="345">
        <f>IF($A222="","",IF(OR('May 2027'!F16=TRUE,'May 2027'!F16="x",'May 2027'!F16="X"),1,0))</f>
        <v/>
      </c>
      <c r="M222" s="345">
        <f>IF($A222="","",IF(OR('May 2027'!F17=TRUE,'May 2027'!F17="x",'May 2027'!F17="X"),1,0))</f>
        <v/>
      </c>
      <c r="N222" s="345">
        <f>IF($A222="","",IF(OR('May 2027'!F18=TRUE,'May 2027'!F18="x",'May 2027'!F18="X"),1,0))</f>
        <v/>
      </c>
      <c r="O222" s="345">
        <f>IF($A222="","",IF(OR('May 2027'!F20=TRUE,'May 2027'!F20="x",'May 2027'!F20="X"),1,0))</f>
        <v/>
      </c>
      <c r="P222" s="345">
        <f>IF($A222="","",IF(OR('May 2027'!F21=TRUE,'May 2027'!F21="x",'May 2027'!F21="X"),1,0))</f>
        <v/>
      </c>
      <c r="Q222" s="345">
        <f>IF($A222="","",IF(OR('May 2027'!F22=TRUE,'May 2027'!F22="x",'May 2027'!F22="X"),1,0))</f>
        <v/>
      </c>
      <c r="R222" s="345">
        <f>IF($A222="","",IF(OR('May 2027'!F23=TRUE,'May 2027'!F23="x",'May 2027'!F23="X"),1,0))</f>
        <v/>
      </c>
      <c r="S222" s="345">
        <f>IF($A222="","",IF(OR('May 2027'!F24=TRUE,'May 2027'!F24="x",'May 2027'!F24="X"),1,0))</f>
        <v/>
      </c>
      <c r="T222" s="345">
        <f>IF($A222="","",IF(OR('May 2027'!F25=TRUE,'May 2027'!F25="x",'May 2027'!F25="X"),1,0))</f>
        <v/>
      </c>
      <c r="U222" s="345">
        <f>IF($A222="","",IF(OR('May 2027'!F26=TRUE,'May 2027'!F26="x",'May 2027'!F26="X"),1,0))</f>
        <v/>
      </c>
      <c r="V222" s="345">
        <f>IF($A222="","",IF(OR('May 2027'!F27=TRUE,'May 2027'!F27="x",'May 2027'!F27="X"),1,0))</f>
        <v/>
      </c>
      <c r="W222" s="345">
        <f>IF($A222="","",IF(OR('May 2027'!F28=TRUE,'May 2027'!F28="x",'May 2027'!F28="X"),1,0))</f>
        <v/>
      </c>
      <c r="X222" s="345">
        <f>IF($A222="","",IF(OR('May 2027'!F29=TRUE,'May 2027'!F29="x",'May 2027'!F29="X"),1,0))</f>
        <v/>
      </c>
      <c r="Y222" s="345">
        <f>IF($A222="","",IF(OR('May 2027'!F30=TRUE,'May 2027'!F30="x",'May 2027'!F30="X"),1,0))</f>
        <v/>
      </c>
      <c r="Z222" s="345">
        <f>IF($A222="","",IF(OR('May 2027'!F31=TRUE,'May 2027'!F31="x",'May 2027'!F31="X"),1,0))</f>
        <v/>
      </c>
      <c r="AA222" s="345">
        <f>IF($A222="","",IF(OR('May 2027'!F32=TRUE,'May 2027'!F32="x",'May 2027'!F32="X"),1,0))</f>
        <v/>
      </c>
      <c r="AB222" s="345">
        <f>IF($A222="","",IF(OR('May 2027'!F34=TRUE,'May 2027'!F34="x",'May 2027'!F34="X"),1,0))</f>
        <v/>
      </c>
      <c r="AC222" s="345">
        <f>IF($A222="","",IF(OR('May 2027'!F35=TRUE,'May 2027'!F35="x",'May 2027'!F35="X"),1,0))</f>
        <v/>
      </c>
      <c r="AD222" s="345">
        <f>IF($A222="","",IF(OR('May 2027'!F36=TRUE,'May 2027'!F36="x",'May 2027'!F36="X"),1,0))</f>
        <v/>
      </c>
      <c r="AE222" s="345">
        <f>IF($A222="","",IF(OR('May 2027'!F37=TRUE,'May 2027'!F37="x",'May 2027'!F37="X"),1,0))</f>
        <v/>
      </c>
      <c r="AF222" s="345">
        <f>IF($A222="","",IF('May 2027'!F59="","",'May 2027'!F59))</f>
        <v/>
      </c>
      <c r="AG222" s="345">
        <f>IF($A222="","",IF('May 2027'!F60="","",'May 2027'!F60))</f>
        <v/>
      </c>
      <c r="AH222" s="345">
        <f>IF($A222="","",IF('May 2027'!F61="","",'May 2027'!F61))</f>
        <v/>
      </c>
      <c r="AI222" s="345">
        <f>IF($A222="","",IF('May 2027'!F62="","",'May 2027'!F62))</f>
        <v/>
      </c>
      <c r="AJ222" s="345">
        <f>IF($A222="","",IF('May 2027'!F63="","",'May 2027'!F63))</f>
        <v/>
      </c>
      <c r="AK222" s="345">
        <f>IF($A222="","",IF('May 2027'!F64="","",'May 2027'!F64))</f>
        <v/>
      </c>
      <c r="AL222" s="345">
        <f>IF($A222="","",IF('May 2027'!F65="","",'May 2027'!F65))</f>
        <v/>
      </c>
      <c r="AM222" s="345">
        <f>IF($A222="","",IF('May 2027'!F66="","",'May 2027'!F66))</f>
        <v/>
      </c>
      <c r="AN222" s="345">
        <f>IF($A222="","",IF('May 2027'!F67="","",'May 2027'!F67))</f>
        <v/>
      </c>
      <c r="AO222" s="345">
        <f>IF($A222="",0,IF(AND($A222&gt;=TrackStart,$A222&lt;=TODAY()),1,0))</f>
        <v/>
      </c>
      <c r="AP222" s="345">
        <f>IF($A222="",0,IF(SUM(F222:AE222)+COUNT(AF222:AN222)&gt;0,1,0))</f>
        <v/>
      </c>
      <c r="AQ222" s="345">
        <f>IF($A222="","",INT(($A222-TrackStart)/7)+1)</f>
        <v/>
      </c>
      <c r="AR222" s="345">
        <f>IF($A222="","",IF(AQ222&lt;=1,Steps1,IF(AQ222=2,Steps2,Steps3)))</f>
        <v/>
      </c>
      <c r="AS222" s="345">
        <f>IF($A222="",0,IF(ISNUMBER(SEARCH(TEXT(D222,"0"),WorkDays&amp;"")),1,0))</f>
        <v/>
      </c>
      <c r="AT222" s="345">
        <f>IF($A222="",0,IF(ISNUMBER(SEARCH(TEXT(D222,"0"),StrDays&amp;"")),1,0))</f>
        <v/>
      </c>
      <c r="AU222" s="345">
        <f>IF($A222="",0,IF(ISNUMBER(AK222),IF(AK222&gt;=SleepMin,1,0),N222))</f>
        <v/>
      </c>
      <c r="AV222" s="345">
        <f>IF($A222="",0,MAX(I222,O222,S222,AC222))</f>
        <v/>
      </c>
      <c r="AW222" s="345">
        <f>IF($A222="",0,IF(ISNUMBER(AH222),IF(AH222&gt;=ProtHit,1,0),0))</f>
        <v/>
      </c>
      <c r="AX222" s="345">
        <f>IF($A222="",0,IF(ISNUMBER(AI222),IF(AI222&gt;=WaterHit,1,0),0))</f>
        <v/>
      </c>
      <c r="AY222" s="345">
        <f>IF($A222="",0,IF(ISNUMBER(AG222),IF(AG222&gt;=AR222,1,0),0))</f>
        <v/>
      </c>
      <c r="AZ222" s="345">
        <f>IF($A222="",0,G222)</f>
        <v/>
      </c>
      <c r="BA222" s="345">
        <f>IF($A222="",0,J222)</f>
        <v/>
      </c>
      <c r="BB222" s="345">
        <f>IF($A222="",0,K222)</f>
        <v/>
      </c>
      <c r="BC222" s="345">
        <f>IF($A222="",0,MAX(L222,AE222))</f>
        <v/>
      </c>
      <c r="BD222" s="344">
        <f>IF($A222="","",(AU222+AV222+AW222+AX222+AY222+AZ222+BB222+BC222+IF(AS222=1,BA222,0))/(8+AS222))</f>
        <v/>
      </c>
      <c r="BE222" s="344">
        <f>IF($A222="","",(IF(ISNUMBER(AI222),IF(AI222&gt;=WaterMVD,1,0),0)+AV222+IF(ISNUMBER(AH222),IF(AH222&gt;=ProtMVD,1,0),0)+MAX(H222,AD222)+AZ222+BB222+AU222)/7)</f>
        <v/>
      </c>
      <c r="BF222" s="344">
        <f>IF(AO222=0,"",IF(E222="S","",IF(AND(AP222=0,$A222=TODAY()),"",IF(E222="M",BE222,BD222))))</f>
        <v/>
      </c>
      <c r="BG222" s="344">
        <f>IF(AO222=0,"",IFERROR(AVERAGEIFS(Data!$BF$4:$BF$375,Data!$A$4:$A$375,"&gt;"&amp;($A222-7),Data!$A$4:$A$375,"&lt;="&amp;$A222),""))</f>
        <v/>
      </c>
      <c r="BH222" s="344">
        <f>IF(AO222=0,"",IFERROR(AVERAGEIFS(Data!$BF$4:$BF$375,Data!$A$4:$A$375,"&gt;"&amp;($A222-30),Data!$A$4:$A$375,"&lt;="&amp;$A222),""))</f>
        <v/>
      </c>
      <c r="BI222" s="359">
        <f>IF($A222="","",IFERROR(AVERAGEIFS(Data!$AF$4:$AF$375,Data!$A$4:$A$375,"&gt;"&amp;($A222-7),Data!$A$4:$A$375,"&lt;="&amp;$A222,Data!$AF$4:$AF$375,"&gt;0"),""))</f>
        <v/>
      </c>
      <c r="BJ222" s="345">
        <f>IF($A222="","",F222+G222+H222+I222+J222+K222+L222+M222+N222-IF(AS222=1,0,J222))</f>
        <v/>
      </c>
      <c r="BK222" s="345">
        <f>IF($A222="","",8+AS222)</f>
        <v/>
      </c>
      <c r="BL222" s="345">
        <f>IF(ISNUMBER(BF222),BF222,NA())</f>
        <v/>
      </c>
      <c r="BM222" s="345">
        <f>IF(ISNUMBER(AF222),AF222,NA())</f>
        <v/>
      </c>
      <c r="BN222" s="345">
        <f>IF(ISNUMBER(BI222),BI222,NA())</f>
        <v/>
      </c>
      <c r="BO222" s="345">
        <f>IF(ISNUMBER(AL222),AL222,NA())</f>
        <v/>
      </c>
      <c r="BP222" s="345">
        <f>IF(ISNUMBER(AM222),AM222,NA())</f>
        <v/>
      </c>
      <c r="BQ222" s="345">
        <f>IF(ISNUMBER(AN222),AN222,NA())</f>
        <v/>
      </c>
    </row>
    <row r="223">
      <c r="A223" s="358">
        <f>IF('May 2027'!G7="","",'May 2027'!G7)</f>
        <v/>
      </c>
      <c r="B223" s="345" t="n">
        <v>8</v>
      </c>
      <c r="C223" s="345">
        <f>IF($A223="","",3)</f>
        <v/>
      </c>
      <c r="D223" s="345">
        <f>IF($A223="","",WEEKDAY($A223,2))</f>
        <v/>
      </c>
      <c r="E223" s="345">
        <f>IF($A223="","",UPPER(TRIM('May 2027'!G8)))</f>
        <v/>
      </c>
      <c r="F223" s="345">
        <f>IF($A223="","",IF(OR('May 2027'!G10=TRUE,'May 2027'!G10="x",'May 2027'!G10="X"),1,0))</f>
        <v/>
      </c>
      <c r="G223" s="345">
        <f>IF($A223="","",IF(OR('May 2027'!G11=TRUE,'May 2027'!G11="x",'May 2027'!G11="X"),1,0))</f>
        <v/>
      </c>
      <c r="H223" s="345">
        <f>IF($A223="","",IF(OR('May 2027'!G12=TRUE,'May 2027'!G12="x",'May 2027'!G12="X"),1,0))</f>
        <v/>
      </c>
      <c r="I223" s="345">
        <f>IF($A223="","",IF(OR('May 2027'!G13=TRUE,'May 2027'!G13="x",'May 2027'!G13="X"),1,0))</f>
        <v/>
      </c>
      <c r="J223" s="345">
        <f>IF($A223="","",IF(OR('May 2027'!G14=TRUE,'May 2027'!G14="x",'May 2027'!G14="X"),1,0))</f>
        <v/>
      </c>
      <c r="K223" s="345">
        <f>IF($A223="","",IF(OR('May 2027'!G15=TRUE,'May 2027'!G15="x",'May 2027'!G15="X"),1,0))</f>
        <v/>
      </c>
      <c r="L223" s="345">
        <f>IF($A223="","",IF(OR('May 2027'!G16=TRUE,'May 2027'!G16="x",'May 2027'!G16="X"),1,0))</f>
        <v/>
      </c>
      <c r="M223" s="345">
        <f>IF($A223="","",IF(OR('May 2027'!G17=TRUE,'May 2027'!G17="x",'May 2027'!G17="X"),1,0))</f>
        <v/>
      </c>
      <c r="N223" s="345">
        <f>IF($A223="","",IF(OR('May 2027'!G18=TRUE,'May 2027'!G18="x",'May 2027'!G18="X"),1,0))</f>
        <v/>
      </c>
      <c r="O223" s="345">
        <f>IF($A223="","",IF(OR('May 2027'!G20=TRUE,'May 2027'!G20="x",'May 2027'!G20="X"),1,0))</f>
        <v/>
      </c>
      <c r="P223" s="345">
        <f>IF($A223="","",IF(OR('May 2027'!G21=TRUE,'May 2027'!G21="x",'May 2027'!G21="X"),1,0))</f>
        <v/>
      </c>
      <c r="Q223" s="345">
        <f>IF($A223="","",IF(OR('May 2027'!G22=TRUE,'May 2027'!G22="x",'May 2027'!G22="X"),1,0))</f>
        <v/>
      </c>
      <c r="R223" s="345">
        <f>IF($A223="","",IF(OR('May 2027'!G23=TRUE,'May 2027'!G23="x",'May 2027'!G23="X"),1,0))</f>
        <v/>
      </c>
      <c r="S223" s="345">
        <f>IF($A223="","",IF(OR('May 2027'!G24=TRUE,'May 2027'!G24="x",'May 2027'!G24="X"),1,0))</f>
        <v/>
      </c>
      <c r="T223" s="345">
        <f>IF($A223="","",IF(OR('May 2027'!G25=TRUE,'May 2027'!G25="x",'May 2027'!G25="X"),1,0))</f>
        <v/>
      </c>
      <c r="U223" s="345">
        <f>IF($A223="","",IF(OR('May 2027'!G26=TRUE,'May 2027'!G26="x",'May 2027'!G26="X"),1,0))</f>
        <v/>
      </c>
      <c r="V223" s="345">
        <f>IF($A223="","",IF(OR('May 2027'!G27=TRUE,'May 2027'!G27="x",'May 2027'!G27="X"),1,0))</f>
        <v/>
      </c>
      <c r="W223" s="345">
        <f>IF($A223="","",IF(OR('May 2027'!G28=TRUE,'May 2027'!G28="x",'May 2027'!G28="X"),1,0))</f>
        <v/>
      </c>
      <c r="X223" s="345">
        <f>IF($A223="","",IF(OR('May 2027'!G29=TRUE,'May 2027'!G29="x",'May 2027'!G29="X"),1,0))</f>
        <v/>
      </c>
      <c r="Y223" s="345">
        <f>IF($A223="","",IF(OR('May 2027'!G30=TRUE,'May 2027'!G30="x",'May 2027'!G30="X"),1,0))</f>
        <v/>
      </c>
      <c r="Z223" s="345">
        <f>IF($A223="","",IF(OR('May 2027'!G31=TRUE,'May 2027'!G31="x",'May 2027'!G31="X"),1,0))</f>
        <v/>
      </c>
      <c r="AA223" s="345">
        <f>IF($A223="","",IF(OR('May 2027'!G32=TRUE,'May 2027'!G32="x",'May 2027'!G32="X"),1,0))</f>
        <v/>
      </c>
      <c r="AB223" s="345">
        <f>IF($A223="","",IF(OR('May 2027'!G34=TRUE,'May 2027'!G34="x",'May 2027'!G34="X"),1,0))</f>
        <v/>
      </c>
      <c r="AC223" s="345">
        <f>IF($A223="","",IF(OR('May 2027'!G35=TRUE,'May 2027'!G35="x",'May 2027'!G35="X"),1,0))</f>
        <v/>
      </c>
      <c r="AD223" s="345">
        <f>IF($A223="","",IF(OR('May 2027'!G36=TRUE,'May 2027'!G36="x",'May 2027'!G36="X"),1,0))</f>
        <v/>
      </c>
      <c r="AE223" s="345">
        <f>IF($A223="","",IF(OR('May 2027'!G37=TRUE,'May 2027'!G37="x",'May 2027'!G37="X"),1,0))</f>
        <v/>
      </c>
      <c r="AF223" s="345">
        <f>IF($A223="","",IF('May 2027'!G59="","",'May 2027'!G59))</f>
        <v/>
      </c>
      <c r="AG223" s="345">
        <f>IF($A223="","",IF('May 2027'!G60="","",'May 2027'!G60))</f>
        <v/>
      </c>
      <c r="AH223" s="345">
        <f>IF($A223="","",IF('May 2027'!G61="","",'May 2027'!G61))</f>
        <v/>
      </c>
      <c r="AI223" s="345">
        <f>IF($A223="","",IF('May 2027'!G62="","",'May 2027'!G62))</f>
        <v/>
      </c>
      <c r="AJ223" s="345">
        <f>IF($A223="","",IF('May 2027'!G63="","",'May 2027'!G63))</f>
        <v/>
      </c>
      <c r="AK223" s="345">
        <f>IF($A223="","",IF('May 2027'!G64="","",'May 2027'!G64))</f>
        <v/>
      </c>
      <c r="AL223" s="345">
        <f>IF($A223="","",IF('May 2027'!G65="","",'May 2027'!G65))</f>
        <v/>
      </c>
      <c r="AM223" s="345">
        <f>IF($A223="","",IF('May 2027'!G66="","",'May 2027'!G66))</f>
        <v/>
      </c>
      <c r="AN223" s="345">
        <f>IF($A223="","",IF('May 2027'!G67="","",'May 2027'!G67))</f>
        <v/>
      </c>
      <c r="AO223" s="345">
        <f>IF($A223="",0,IF(AND($A223&gt;=TrackStart,$A223&lt;=TODAY()),1,0))</f>
        <v/>
      </c>
      <c r="AP223" s="345">
        <f>IF($A223="",0,IF(SUM(F223:AE223)+COUNT(AF223:AN223)&gt;0,1,0))</f>
        <v/>
      </c>
      <c r="AQ223" s="345">
        <f>IF($A223="","",INT(($A223-TrackStart)/7)+1)</f>
        <v/>
      </c>
      <c r="AR223" s="345">
        <f>IF($A223="","",IF(AQ223&lt;=1,Steps1,IF(AQ223=2,Steps2,Steps3)))</f>
        <v/>
      </c>
      <c r="AS223" s="345">
        <f>IF($A223="",0,IF(ISNUMBER(SEARCH(TEXT(D223,"0"),WorkDays&amp;"")),1,0))</f>
        <v/>
      </c>
      <c r="AT223" s="345">
        <f>IF($A223="",0,IF(ISNUMBER(SEARCH(TEXT(D223,"0"),StrDays&amp;"")),1,0))</f>
        <v/>
      </c>
      <c r="AU223" s="345">
        <f>IF($A223="",0,IF(ISNUMBER(AK223),IF(AK223&gt;=SleepMin,1,0),N223))</f>
        <v/>
      </c>
      <c r="AV223" s="345">
        <f>IF($A223="",0,MAX(I223,O223,S223,AC223))</f>
        <v/>
      </c>
      <c r="AW223" s="345">
        <f>IF($A223="",0,IF(ISNUMBER(AH223),IF(AH223&gt;=ProtHit,1,0),0))</f>
        <v/>
      </c>
      <c r="AX223" s="345">
        <f>IF($A223="",0,IF(ISNUMBER(AI223),IF(AI223&gt;=WaterHit,1,0),0))</f>
        <v/>
      </c>
      <c r="AY223" s="345">
        <f>IF($A223="",0,IF(ISNUMBER(AG223),IF(AG223&gt;=AR223,1,0),0))</f>
        <v/>
      </c>
      <c r="AZ223" s="345">
        <f>IF($A223="",0,G223)</f>
        <v/>
      </c>
      <c r="BA223" s="345">
        <f>IF($A223="",0,J223)</f>
        <v/>
      </c>
      <c r="BB223" s="345">
        <f>IF($A223="",0,K223)</f>
        <v/>
      </c>
      <c r="BC223" s="345">
        <f>IF($A223="",0,MAX(L223,AE223))</f>
        <v/>
      </c>
      <c r="BD223" s="344">
        <f>IF($A223="","",(AU223+AV223+AW223+AX223+AY223+AZ223+BB223+BC223+IF(AS223=1,BA223,0))/(8+AS223))</f>
        <v/>
      </c>
      <c r="BE223" s="344">
        <f>IF($A223="","",(IF(ISNUMBER(AI223),IF(AI223&gt;=WaterMVD,1,0),0)+AV223+IF(ISNUMBER(AH223),IF(AH223&gt;=ProtMVD,1,0),0)+MAX(H223,AD223)+AZ223+BB223+AU223)/7)</f>
        <v/>
      </c>
      <c r="BF223" s="344">
        <f>IF(AO223=0,"",IF(E223="S","",IF(AND(AP223=0,$A223=TODAY()),"",IF(E223="M",BE223,BD223))))</f>
        <v/>
      </c>
      <c r="BG223" s="344">
        <f>IF(AO223=0,"",IFERROR(AVERAGEIFS(Data!$BF$4:$BF$375,Data!$A$4:$A$375,"&gt;"&amp;($A223-7),Data!$A$4:$A$375,"&lt;="&amp;$A223),""))</f>
        <v/>
      </c>
      <c r="BH223" s="344">
        <f>IF(AO223=0,"",IFERROR(AVERAGEIFS(Data!$BF$4:$BF$375,Data!$A$4:$A$375,"&gt;"&amp;($A223-30),Data!$A$4:$A$375,"&lt;="&amp;$A223),""))</f>
        <v/>
      </c>
      <c r="BI223" s="359">
        <f>IF($A223="","",IFERROR(AVERAGEIFS(Data!$AF$4:$AF$375,Data!$A$4:$A$375,"&gt;"&amp;($A223-7),Data!$A$4:$A$375,"&lt;="&amp;$A223,Data!$AF$4:$AF$375,"&gt;0"),""))</f>
        <v/>
      </c>
      <c r="BJ223" s="345">
        <f>IF($A223="","",F223+G223+H223+I223+J223+K223+L223+M223+N223-IF(AS223=1,0,J223))</f>
        <v/>
      </c>
      <c r="BK223" s="345">
        <f>IF($A223="","",8+AS223)</f>
        <v/>
      </c>
      <c r="BL223" s="345">
        <f>IF(ISNUMBER(BF223),BF223,NA())</f>
        <v/>
      </c>
      <c r="BM223" s="345">
        <f>IF(ISNUMBER(AF223),AF223,NA())</f>
        <v/>
      </c>
      <c r="BN223" s="345">
        <f>IF(ISNUMBER(BI223),BI223,NA())</f>
        <v/>
      </c>
      <c r="BO223" s="345">
        <f>IF(ISNUMBER(AL223),AL223,NA())</f>
        <v/>
      </c>
      <c r="BP223" s="345">
        <f>IF(ISNUMBER(AM223),AM223,NA())</f>
        <v/>
      </c>
      <c r="BQ223" s="345">
        <f>IF(ISNUMBER(AN223),AN223,NA())</f>
        <v/>
      </c>
    </row>
    <row r="224">
      <c r="A224" s="358">
        <f>IF('May 2027'!H7="","",'May 2027'!H7)</f>
        <v/>
      </c>
      <c r="B224" s="345" t="n">
        <v>8</v>
      </c>
      <c r="C224" s="345">
        <f>IF($A224="","",4)</f>
        <v/>
      </c>
      <c r="D224" s="345">
        <f>IF($A224="","",WEEKDAY($A224,2))</f>
        <v/>
      </c>
      <c r="E224" s="345">
        <f>IF($A224="","",UPPER(TRIM('May 2027'!H8)))</f>
        <v/>
      </c>
      <c r="F224" s="345">
        <f>IF($A224="","",IF(OR('May 2027'!H10=TRUE,'May 2027'!H10="x",'May 2027'!H10="X"),1,0))</f>
        <v/>
      </c>
      <c r="G224" s="345">
        <f>IF($A224="","",IF(OR('May 2027'!H11=TRUE,'May 2027'!H11="x",'May 2027'!H11="X"),1,0))</f>
        <v/>
      </c>
      <c r="H224" s="345">
        <f>IF($A224="","",IF(OR('May 2027'!H12=TRUE,'May 2027'!H12="x",'May 2027'!H12="X"),1,0))</f>
        <v/>
      </c>
      <c r="I224" s="345">
        <f>IF($A224="","",IF(OR('May 2027'!H13=TRUE,'May 2027'!H13="x",'May 2027'!H13="X"),1,0))</f>
        <v/>
      </c>
      <c r="J224" s="345">
        <f>IF($A224="","",IF(OR('May 2027'!H14=TRUE,'May 2027'!H14="x",'May 2027'!H14="X"),1,0))</f>
        <v/>
      </c>
      <c r="K224" s="345">
        <f>IF($A224="","",IF(OR('May 2027'!H15=TRUE,'May 2027'!H15="x",'May 2027'!H15="X"),1,0))</f>
        <v/>
      </c>
      <c r="L224" s="345">
        <f>IF($A224="","",IF(OR('May 2027'!H16=TRUE,'May 2027'!H16="x",'May 2027'!H16="X"),1,0))</f>
        <v/>
      </c>
      <c r="M224" s="345">
        <f>IF($A224="","",IF(OR('May 2027'!H17=TRUE,'May 2027'!H17="x",'May 2027'!H17="X"),1,0))</f>
        <v/>
      </c>
      <c r="N224" s="345">
        <f>IF($A224="","",IF(OR('May 2027'!H18=TRUE,'May 2027'!H18="x",'May 2027'!H18="X"),1,0))</f>
        <v/>
      </c>
      <c r="O224" s="345">
        <f>IF($A224="","",IF(OR('May 2027'!H20=TRUE,'May 2027'!H20="x",'May 2027'!H20="X"),1,0))</f>
        <v/>
      </c>
      <c r="P224" s="345">
        <f>IF($A224="","",IF(OR('May 2027'!H21=TRUE,'May 2027'!H21="x",'May 2027'!H21="X"),1,0))</f>
        <v/>
      </c>
      <c r="Q224" s="345">
        <f>IF($A224="","",IF(OR('May 2027'!H22=TRUE,'May 2027'!H22="x",'May 2027'!H22="X"),1,0))</f>
        <v/>
      </c>
      <c r="R224" s="345">
        <f>IF($A224="","",IF(OR('May 2027'!H23=TRUE,'May 2027'!H23="x",'May 2027'!H23="X"),1,0))</f>
        <v/>
      </c>
      <c r="S224" s="345">
        <f>IF($A224="","",IF(OR('May 2027'!H24=TRUE,'May 2027'!H24="x",'May 2027'!H24="X"),1,0))</f>
        <v/>
      </c>
      <c r="T224" s="345">
        <f>IF($A224="","",IF(OR('May 2027'!H25=TRUE,'May 2027'!H25="x",'May 2027'!H25="X"),1,0))</f>
        <v/>
      </c>
      <c r="U224" s="345">
        <f>IF($A224="","",IF(OR('May 2027'!H26=TRUE,'May 2027'!H26="x",'May 2027'!H26="X"),1,0))</f>
        <v/>
      </c>
      <c r="V224" s="345">
        <f>IF($A224="","",IF(OR('May 2027'!H27=TRUE,'May 2027'!H27="x",'May 2027'!H27="X"),1,0))</f>
        <v/>
      </c>
      <c r="W224" s="345">
        <f>IF($A224="","",IF(OR('May 2027'!H28=TRUE,'May 2027'!H28="x",'May 2027'!H28="X"),1,0))</f>
        <v/>
      </c>
      <c r="X224" s="345">
        <f>IF($A224="","",IF(OR('May 2027'!H29=TRUE,'May 2027'!H29="x",'May 2027'!H29="X"),1,0))</f>
        <v/>
      </c>
      <c r="Y224" s="345">
        <f>IF($A224="","",IF(OR('May 2027'!H30=TRUE,'May 2027'!H30="x",'May 2027'!H30="X"),1,0))</f>
        <v/>
      </c>
      <c r="Z224" s="345">
        <f>IF($A224="","",IF(OR('May 2027'!H31=TRUE,'May 2027'!H31="x",'May 2027'!H31="X"),1,0))</f>
        <v/>
      </c>
      <c r="AA224" s="345">
        <f>IF($A224="","",IF(OR('May 2027'!H32=TRUE,'May 2027'!H32="x",'May 2027'!H32="X"),1,0))</f>
        <v/>
      </c>
      <c r="AB224" s="345">
        <f>IF($A224="","",IF(OR('May 2027'!H34=TRUE,'May 2027'!H34="x",'May 2027'!H34="X"),1,0))</f>
        <v/>
      </c>
      <c r="AC224" s="345">
        <f>IF($A224="","",IF(OR('May 2027'!H35=TRUE,'May 2027'!H35="x",'May 2027'!H35="X"),1,0))</f>
        <v/>
      </c>
      <c r="AD224" s="345">
        <f>IF($A224="","",IF(OR('May 2027'!H36=TRUE,'May 2027'!H36="x",'May 2027'!H36="X"),1,0))</f>
        <v/>
      </c>
      <c r="AE224" s="345">
        <f>IF($A224="","",IF(OR('May 2027'!H37=TRUE,'May 2027'!H37="x",'May 2027'!H37="X"),1,0))</f>
        <v/>
      </c>
      <c r="AF224" s="345">
        <f>IF($A224="","",IF('May 2027'!H59="","",'May 2027'!H59))</f>
        <v/>
      </c>
      <c r="AG224" s="345">
        <f>IF($A224="","",IF('May 2027'!H60="","",'May 2027'!H60))</f>
        <v/>
      </c>
      <c r="AH224" s="345">
        <f>IF($A224="","",IF('May 2027'!H61="","",'May 2027'!H61))</f>
        <v/>
      </c>
      <c r="AI224" s="345">
        <f>IF($A224="","",IF('May 2027'!H62="","",'May 2027'!H62))</f>
        <v/>
      </c>
      <c r="AJ224" s="345">
        <f>IF($A224="","",IF('May 2027'!H63="","",'May 2027'!H63))</f>
        <v/>
      </c>
      <c r="AK224" s="345">
        <f>IF($A224="","",IF('May 2027'!H64="","",'May 2027'!H64))</f>
        <v/>
      </c>
      <c r="AL224" s="345">
        <f>IF($A224="","",IF('May 2027'!H65="","",'May 2027'!H65))</f>
        <v/>
      </c>
      <c r="AM224" s="345">
        <f>IF($A224="","",IF('May 2027'!H66="","",'May 2027'!H66))</f>
        <v/>
      </c>
      <c r="AN224" s="345">
        <f>IF($A224="","",IF('May 2027'!H67="","",'May 2027'!H67))</f>
        <v/>
      </c>
      <c r="AO224" s="345">
        <f>IF($A224="",0,IF(AND($A224&gt;=TrackStart,$A224&lt;=TODAY()),1,0))</f>
        <v/>
      </c>
      <c r="AP224" s="345">
        <f>IF($A224="",0,IF(SUM(F224:AE224)+COUNT(AF224:AN224)&gt;0,1,0))</f>
        <v/>
      </c>
      <c r="AQ224" s="345">
        <f>IF($A224="","",INT(($A224-TrackStart)/7)+1)</f>
        <v/>
      </c>
      <c r="AR224" s="345">
        <f>IF($A224="","",IF(AQ224&lt;=1,Steps1,IF(AQ224=2,Steps2,Steps3)))</f>
        <v/>
      </c>
      <c r="AS224" s="345">
        <f>IF($A224="",0,IF(ISNUMBER(SEARCH(TEXT(D224,"0"),WorkDays&amp;"")),1,0))</f>
        <v/>
      </c>
      <c r="AT224" s="345">
        <f>IF($A224="",0,IF(ISNUMBER(SEARCH(TEXT(D224,"0"),StrDays&amp;"")),1,0))</f>
        <v/>
      </c>
      <c r="AU224" s="345">
        <f>IF($A224="",0,IF(ISNUMBER(AK224),IF(AK224&gt;=SleepMin,1,0),N224))</f>
        <v/>
      </c>
      <c r="AV224" s="345">
        <f>IF($A224="",0,MAX(I224,O224,S224,AC224))</f>
        <v/>
      </c>
      <c r="AW224" s="345">
        <f>IF($A224="",0,IF(ISNUMBER(AH224),IF(AH224&gt;=ProtHit,1,0),0))</f>
        <v/>
      </c>
      <c r="AX224" s="345">
        <f>IF($A224="",0,IF(ISNUMBER(AI224),IF(AI224&gt;=WaterHit,1,0),0))</f>
        <v/>
      </c>
      <c r="AY224" s="345">
        <f>IF($A224="",0,IF(ISNUMBER(AG224),IF(AG224&gt;=AR224,1,0),0))</f>
        <v/>
      </c>
      <c r="AZ224" s="345">
        <f>IF($A224="",0,G224)</f>
        <v/>
      </c>
      <c r="BA224" s="345">
        <f>IF($A224="",0,J224)</f>
        <v/>
      </c>
      <c r="BB224" s="345">
        <f>IF($A224="",0,K224)</f>
        <v/>
      </c>
      <c r="BC224" s="345">
        <f>IF($A224="",0,MAX(L224,AE224))</f>
        <v/>
      </c>
      <c r="BD224" s="344">
        <f>IF($A224="","",(AU224+AV224+AW224+AX224+AY224+AZ224+BB224+BC224+IF(AS224=1,BA224,0))/(8+AS224))</f>
        <v/>
      </c>
      <c r="BE224" s="344">
        <f>IF($A224="","",(IF(ISNUMBER(AI224),IF(AI224&gt;=WaterMVD,1,0),0)+AV224+IF(ISNUMBER(AH224),IF(AH224&gt;=ProtMVD,1,0),0)+MAX(H224,AD224)+AZ224+BB224+AU224)/7)</f>
        <v/>
      </c>
      <c r="BF224" s="344">
        <f>IF(AO224=0,"",IF(E224="S","",IF(AND(AP224=0,$A224=TODAY()),"",IF(E224="M",BE224,BD224))))</f>
        <v/>
      </c>
      <c r="BG224" s="344">
        <f>IF(AO224=0,"",IFERROR(AVERAGEIFS(Data!$BF$4:$BF$375,Data!$A$4:$A$375,"&gt;"&amp;($A224-7),Data!$A$4:$A$375,"&lt;="&amp;$A224),""))</f>
        <v/>
      </c>
      <c r="BH224" s="344">
        <f>IF(AO224=0,"",IFERROR(AVERAGEIFS(Data!$BF$4:$BF$375,Data!$A$4:$A$375,"&gt;"&amp;($A224-30),Data!$A$4:$A$375,"&lt;="&amp;$A224),""))</f>
        <v/>
      </c>
      <c r="BI224" s="359">
        <f>IF($A224="","",IFERROR(AVERAGEIFS(Data!$AF$4:$AF$375,Data!$A$4:$A$375,"&gt;"&amp;($A224-7),Data!$A$4:$A$375,"&lt;="&amp;$A224,Data!$AF$4:$AF$375,"&gt;0"),""))</f>
        <v/>
      </c>
      <c r="BJ224" s="345">
        <f>IF($A224="","",F224+G224+H224+I224+J224+K224+L224+M224+N224-IF(AS224=1,0,J224))</f>
        <v/>
      </c>
      <c r="BK224" s="345">
        <f>IF($A224="","",8+AS224)</f>
        <v/>
      </c>
      <c r="BL224" s="345">
        <f>IF(ISNUMBER(BF224),BF224,NA())</f>
        <v/>
      </c>
      <c r="BM224" s="345">
        <f>IF(ISNUMBER(AF224),AF224,NA())</f>
        <v/>
      </c>
      <c r="BN224" s="345">
        <f>IF(ISNUMBER(BI224),BI224,NA())</f>
        <v/>
      </c>
      <c r="BO224" s="345">
        <f>IF(ISNUMBER(AL224),AL224,NA())</f>
        <v/>
      </c>
      <c r="BP224" s="345">
        <f>IF(ISNUMBER(AM224),AM224,NA())</f>
        <v/>
      </c>
      <c r="BQ224" s="345">
        <f>IF(ISNUMBER(AN224),AN224,NA())</f>
        <v/>
      </c>
    </row>
    <row r="225">
      <c r="A225" s="358">
        <f>IF('May 2027'!I7="","",'May 2027'!I7)</f>
        <v/>
      </c>
      <c r="B225" s="345" t="n">
        <v>8</v>
      </c>
      <c r="C225" s="345">
        <f>IF($A225="","",5)</f>
        <v/>
      </c>
      <c r="D225" s="345">
        <f>IF($A225="","",WEEKDAY($A225,2))</f>
        <v/>
      </c>
      <c r="E225" s="345">
        <f>IF($A225="","",UPPER(TRIM('May 2027'!I8)))</f>
        <v/>
      </c>
      <c r="F225" s="345">
        <f>IF($A225="","",IF(OR('May 2027'!I10=TRUE,'May 2027'!I10="x",'May 2027'!I10="X"),1,0))</f>
        <v/>
      </c>
      <c r="G225" s="345">
        <f>IF($A225="","",IF(OR('May 2027'!I11=TRUE,'May 2027'!I11="x",'May 2027'!I11="X"),1,0))</f>
        <v/>
      </c>
      <c r="H225" s="345">
        <f>IF($A225="","",IF(OR('May 2027'!I12=TRUE,'May 2027'!I12="x",'May 2027'!I12="X"),1,0))</f>
        <v/>
      </c>
      <c r="I225" s="345">
        <f>IF($A225="","",IF(OR('May 2027'!I13=TRUE,'May 2027'!I13="x",'May 2027'!I13="X"),1,0))</f>
        <v/>
      </c>
      <c r="J225" s="345">
        <f>IF($A225="","",IF(OR('May 2027'!I14=TRUE,'May 2027'!I14="x",'May 2027'!I14="X"),1,0))</f>
        <v/>
      </c>
      <c r="K225" s="345">
        <f>IF($A225="","",IF(OR('May 2027'!I15=TRUE,'May 2027'!I15="x",'May 2027'!I15="X"),1,0))</f>
        <v/>
      </c>
      <c r="L225" s="345">
        <f>IF($A225="","",IF(OR('May 2027'!I16=TRUE,'May 2027'!I16="x",'May 2027'!I16="X"),1,0))</f>
        <v/>
      </c>
      <c r="M225" s="345">
        <f>IF($A225="","",IF(OR('May 2027'!I17=TRUE,'May 2027'!I17="x",'May 2027'!I17="X"),1,0))</f>
        <v/>
      </c>
      <c r="N225" s="345">
        <f>IF($A225="","",IF(OR('May 2027'!I18=TRUE,'May 2027'!I18="x",'May 2027'!I18="X"),1,0))</f>
        <v/>
      </c>
      <c r="O225" s="345">
        <f>IF($A225="","",IF(OR('May 2027'!I20=TRUE,'May 2027'!I20="x",'May 2027'!I20="X"),1,0))</f>
        <v/>
      </c>
      <c r="P225" s="345">
        <f>IF($A225="","",IF(OR('May 2027'!I21=TRUE,'May 2027'!I21="x",'May 2027'!I21="X"),1,0))</f>
        <v/>
      </c>
      <c r="Q225" s="345">
        <f>IF($A225="","",IF(OR('May 2027'!I22=TRUE,'May 2027'!I22="x",'May 2027'!I22="X"),1,0))</f>
        <v/>
      </c>
      <c r="R225" s="345">
        <f>IF($A225="","",IF(OR('May 2027'!I23=TRUE,'May 2027'!I23="x",'May 2027'!I23="X"),1,0))</f>
        <v/>
      </c>
      <c r="S225" s="345">
        <f>IF($A225="","",IF(OR('May 2027'!I24=TRUE,'May 2027'!I24="x",'May 2027'!I24="X"),1,0))</f>
        <v/>
      </c>
      <c r="T225" s="345">
        <f>IF($A225="","",IF(OR('May 2027'!I25=TRUE,'May 2027'!I25="x",'May 2027'!I25="X"),1,0))</f>
        <v/>
      </c>
      <c r="U225" s="345">
        <f>IF($A225="","",IF(OR('May 2027'!I26=TRUE,'May 2027'!I26="x",'May 2027'!I26="X"),1,0))</f>
        <v/>
      </c>
      <c r="V225" s="345">
        <f>IF($A225="","",IF(OR('May 2027'!I27=TRUE,'May 2027'!I27="x",'May 2027'!I27="X"),1,0))</f>
        <v/>
      </c>
      <c r="W225" s="345">
        <f>IF($A225="","",IF(OR('May 2027'!I28=TRUE,'May 2027'!I28="x",'May 2027'!I28="X"),1,0))</f>
        <v/>
      </c>
      <c r="X225" s="345">
        <f>IF($A225="","",IF(OR('May 2027'!I29=TRUE,'May 2027'!I29="x",'May 2027'!I29="X"),1,0))</f>
        <v/>
      </c>
      <c r="Y225" s="345">
        <f>IF($A225="","",IF(OR('May 2027'!I30=TRUE,'May 2027'!I30="x",'May 2027'!I30="X"),1,0))</f>
        <v/>
      </c>
      <c r="Z225" s="345">
        <f>IF($A225="","",IF(OR('May 2027'!I31=TRUE,'May 2027'!I31="x",'May 2027'!I31="X"),1,0))</f>
        <v/>
      </c>
      <c r="AA225" s="345">
        <f>IF($A225="","",IF(OR('May 2027'!I32=TRUE,'May 2027'!I32="x",'May 2027'!I32="X"),1,0))</f>
        <v/>
      </c>
      <c r="AB225" s="345">
        <f>IF($A225="","",IF(OR('May 2027'!I34=TRUE,'May 2027'!I34="x",'May 2027'!I34="X"),1,0))</f>
        <v/>
      </c>
      <c r="AC225" s="345">
        <f>IF($A225="","",IF(OR('May 2027'!I35=TRUE,'May 2027'!I35="x",'May 2027'!I35="X"),1,0))</f>
        <v/>
      </c>
      <c r="AD225" s="345">
        <f>IF($A225="","",IF(OR('May 2027'!I36=TRUE,'May 2027'!I36="x",'May 2027'!I36="X"),1,0))</f>
        <v/>
      </c>
      <c r="AE225" s="345">
        <f>IF($A225="","",IF(OR('May 2027'!I37=TRUE,'May 2027'!I37="x",'May 2027'!I37="X"),1,0))</f>
        <v/>
      </c>
      <c r="AF225" s="345">
        <f>IF($A225="","",IF('May 2027'!I59="","",'May 2027'!I59))</f>
        <v/>
      </c>
      <c r="AG225" s="345">
        <f>IF($A225="","",IF('May 2027'!I60="","",'May 2027'!I60))</f>
        <v/>
      </c>
      <c r="AH225" s="345">
        <f>IF($A225="","",IF('May 2027'!I61="","",'May 2027'!I61))</f>
        <v/>
      </c>
      <c r="AI225" s="345">
        <f>IF($A225="","",IF('May 2027'!I62="","",'May 2027'!I62))</f>
        <v/>
      </c>
      <c r="AJ225" s="345">
        <f>IF($A225="","",IF('May 2027'!I63="","",'May 2027'!I63))</f>
        <v/>
      </c>
      <c r="AK225" s="345">
        <f>IF($A225="","",IF('May 2027'!I64="","",'May 2027'!I64))</f>
        <v/>
      </c>
      <c r="AL225" s="345">
        <f>IF($A225="","",IF('May 2027'!I65="","",'May 2027'!I65))</f>
        <v/>
      </c>
      <c r="AM225" s="345">
        <f>IF($A225="","",IF('May 2027'!I66="","",'May 2027'!I66))</f>
        <v/>
      </c>
      <c r="AN225" s="345">
        <f>IF($A225="","",IF('May 2027'!I67="","",'May 2027'!I67))</f>
        <v/>
      </c>
      <c r="AO225" s="345">
        <f>IF($A225="",0,IF(AND($A225&gt;=TrackStart,$A225&lt;=TODAY()),1,0))</f>
        <v/>
      </c>
      <c r="AP225" s="345">
        <f>IF($A225="",0,IF(SUM(F225:AE225)+COUNT(AF225:AN225)&gt;0,1,0))</f>
        <v/>
      </c>
      <c r="AQ225" s="345">
        <f>IF($A225="","",INT(($A225-TrackStart)/7)+1)</f>
        <v/>
      </c>
      <c r="AR225" s="345">
        <f>IF($A225="","",IF(AQ225&lt;=1,Steps1,IF(AQ225=2,Steps2,Steps3)))</f>
        <v/>
      </c>
      <c r="AS225" s="345">
        <f>IF($A225="",0,IF(ISNUMBER(SEARCH(TEXT(D225,"0"),WorkDays&amp;"")),1,0))</f>
        <v/>
      </c>
      <c r="AT225" s="345">
        <f>IF($A225="",0,IF(ISNUMBER(SEARCH(TEXT(D225,"0"),StrDays&amp;"")),1,0))</f>
        <v/>
      </c>
      <c r="AU225" s="345">
        <f>IF($A225="",0,IF(ISNUMBER(AK225),IF(AK225&gt;=SleepMin,1,0),N225))</f>
        <v/>
      </c>
      <c r="AV225" s="345">
        <f>IF($A225="",0,MAX(I225,O225,S225,AC225))</f>
        <v/>
      </c>
      <c r="AW225" s="345">
        <f>IF($A225="",0,IF(ISNUMBER(AH225),IF(AH225&gt;=ProtHit,1,0),0))</f>
        <v/>
      </c>
      <c r="AX225" s="345">
        <f>IF($A225="",0,IF(ISNUMBER(AI225),IF(AI225&gt;=WaterHit,1,0),0))</f>
        <v/>
      </c>
      <c r="AY225" s="345">
        <f>IF($A225="",0,IF(ISNUMBER(AG225),IF(AG225&gt;=AR225,1,0),0))</f>
        <v/>
      </c>
      <c r="AZ225" s="345">
        <f>IF($A225="",0,G225)</f>
        <v/>
      </c>
      <c r="BA225" s="345">
        <f>IF($A225="",0,J225)</f>
        <v/>
      </c>
      <c r="BB225" s="345">
        <f>IF($A225="",0,K225)</f>
        <v/>
      </c>
      <c r="BC225" s="345">
        <f>IF($A225="",0,MAX(L225,AE225))</f>
        <v/>
      </c>
      <c r="BD225" s="344">
        <f>IF($A225="","",(AU225+AV225+AW225+AX225+AY225+AZ225+BB225+BC225+IF(AS225=1,BA225,0))/(8+AS225))</f>
        <v/>
      </c>
      <c r="BE225" s="344">
        <f>IF($A225="","",(IF(ISNUMBER(AI225),IF(AI225&gt;=WaterMVD,1,0),0)+AV225+IF(ISNUMBER(AH225),IF(AH225&gt;=ProtMVD,1,0),0)+MAX(H225,AD225)+AZ225+BB225+AU225)/7)</f>
        <v/>
      </c>
      <c r="BF225" s="344">
        <f>IF(AO225=0,"",IF(E225="S","",IF(AND(AP225=0,$A225=TODAY()),"",IF(E225="M",BE225,BD225))))</f>
        <v/>
      </c>
      <c r="BG225" s="344">
        <f>IF(AO225=0,"",IFERROR(AVERAGEIFS(Data!$BF$4:$BF$375,Data!$A$4:$A$375,"&gt;"&amp;($A225-7),Data!$A$4:$A$375,"&lt;="&amp;$A225),""))</f>
        <v/>
      </c>
      <c r="BH225" s="344">
        <f>IF(AO225=0,"",IFERROR(AVERAGEIFS(Data!$BF$4:$BF$375,Data!$A$4:$A$375,"&gt;"&amp;($A225-30),Data!$A$4:$A$375,"&lt;="&amp;$A225),""))</f>
        <v/>
      </c>
      <c r="BI225" s="359">
        <f>IF($A225="","",IFERROR(AVERAGEIFS(Data!$AF$4:$AF$375,Data!$A$4:$A$375,"&gt;"&amp;($A225-7),Data!$A$4:$A$375,"&lt;="&amp;$A225,Data!$AF$4:$AF$375,"&gt;0"),""))</f>
        <v/>
      </c>
      <c r="BJ225" s="345">
        <f>IF($A225="","",F225+G225+H225+I225+J225+K225+L225+M225+N225-IF(AS225=1,0,J225))</f>
        <v/>
      </c>
      <c r="BK225" s="345">
        <f>IF($A225="","",8+AS225)</f>
        <v/>
      </c>
      <c r="BL225" s="345">
        <f>IF(ISNUMBER(BF225),BF225,NA())</f>
        <v/>
      </c>
      <c r="BM225" s="345">
        <f>IF(ISNUMBER(AF225),AF225,NA())</f>
        <v/>
      </c>
      <c r="BN225" s="345">
        <f>IF(ISNUMBER(BI225),BI225,NA())</f>
        <v/>
      </c>
      <c r="BO225" s="345">
        <f>IF(ISNUMBER(AL225),AL225,NA())</f>
        <v/>
      </c>
      <c r="BP225" s="345">
        <f>IF(ISNUMBER(AM225),AM225,NA())</f>
        <v/>
      </c>
      <c r="BQ225" s="345">
        <f>IF(ISNUMBER(AN225),AN225,NA())</f>
        <v/>
      </c>
    </row>
    <row r="226">
      <c r="A226" s="358">
        <f>IF('May 2027'!J7="","",'May 2027'!J7)</f>
        <v/>
      </c>
      <c r="B226" s="345" t="n">
        <v>8</v>
      </c>
      <c r="C226" s="345">
        <f>IF($A226="","",6)</f>
        <v/>
      </c>
      <c r="D226" s="345">
        <f>IF($A226="","",WEEKDAY($A226,2))</f>
        <v/>
      </c>
      <c r="E226" s="345">
        <f>IF($A226="","",UPPER(TRIM('May 2027'!J8)))</f>
        <v/>
      </c>
      <c r="F226" s="345">
        <f>IF($A226="","",IF(OR('May 2027'!J10=TRUE,'May 2027'!J10="x",'May 2027'!J10="X"),1,0))</f>
        <v/>
      </c>
      <c r="G226" s="345">
        <f>IF($A226="","",IF(OR('May 2027'!J11=TRUE,'May 2027'!J11="x",'May 2027'!J11="X"),1,0))</f>
        <v/>
      </c>
      <c r="H226" s="345">
        <f>IF($A226="","",IF(OR('May 2027'!J12=TRUE,'May 2027'!J12="x",'May 2027'!J12="X"),1,0))</f>
        <v/>
      </c>
      <c r="I226" s="345">
        <f>IF($A226="","",IF(OR('May 2027'!J13=TRUE,'May 2027'!J13="x",'May 2027'!J13="X"),1,0))</f>
        <v/>
      </c>
      <c r="J226" s="345">
        <f>IF($A226="","",IF(OR('May 2027'!J14=TRUE,'May 2027'!J14="x",'May 2027'!J14="X"),1,0))</f>
        <v/>
      </c>
      <c r="K226" s="345">
        <f>IF($A226="","",IF(OR('May 2027'!J15=TRUE,'May 2027'!J15="x",'May 2027'!J15="X"),1,0))</f>
        <v/>
      </c>
      <c r="L226" s="345">
        <f>IF($A226="","",IF(OR('May 2027'!J16=TRUE,'May 2027'!J16="x",'May 2027'!J16="X"),1,0))</f>
        <v/>
      </c>
      <c r="M226" s="345">
        <f>IF($A226="","",IF(OR('May 2027'!J17=TRUE,'May 2027'!J17="x",'May 2027'!J17="X"),1,0))</f>
        <v/>
      </c>
      <c r="N226" s="345">
        <f>IF($A226="","",IF(OR('May 2027'!J18=TRUE,'May 2027'!J18="x",'May 2027'!J18="X"),1,0))</f>
        <v/>
      </c>
      <c r="O226" s="345">
        <f>IF($A226="","",IF(OR('May 2027'!J20=TRUE,'May 2027'!J20="x",'May 2027'!J20="X"),1,0))</f>
        <v/>
      </c>
      <c r="P226" s="345">
        <f>IF($A226="","",IF(OR('May 2027'!J21=TRUE,'May 2027'!J21="x",'May 2027'!J21="X"),1,0))</f>
        <v/>
      </c>
      <c r="Q226" s="345">
        <f>IF($A226="","",IF(OR('May 2027'!J22=TRUE,'May 2027'!J22="x",'May 2027'!J22="X"),1,0))</f>
        <v/>
      </c>
      <c r="R226" s="345">
        <f>IF($A226="","",IF(OR('May 2027'!J23=TRUE,'May 2027'!J23="x",'May 2027'!J23="X"),1,0))</f>
        <v/>
      </c>
      <c r="S226" s="345">
        <f>IF($A226="","",IF(OR('May 2027'!J24=TRUE,'May 2027'!J24="x",'May 2027'!J24="X"),1,0))</f>
        <v/>
      </c>
      <c r="T226" s="345">
        <f>IF($A226="","",IF(OR('May 2027'!J25=TRUE,'May 2027'!J25="x",'May 2027'!J25="X"),1,0))</f>
        <v/>
      </c>
      <c r="U226" s="345">
        <f>IF($A226="","",IF(OR('May 2027'!J26=TRUE,'May 2027'!J26="x",'May 2027'!J26="X"),1,0))</f>
        <v/>
      </c>
      <c r="V226" s="345">
        <f>IF($A226="","",IF(OR('May 2027'!J27=TRUE,'May 2027'!J27="x",'May 2027'!J27="X"),1,0))</f>
        <v/>
      </c>
      <c r="W226" s="345">
        <f>IF($A226="","",IF(OR('May 2027'!J28=TRUE,'May 2027'!J28="x",'May 2027'!J28="X"),1,0))</f>
        <v/>
      </c>
      <c r="X226" s="345">
        <f>IF($A226="","",IF(OR('May 2027'!J29=TRUE,'May 2027'!J29="x",'May 2027'!J29="X"),1,0))</f>
        <v/>
      </c>
      <c r="Y226" s="345">
        <f>IF($A226="","",IF(OR('May 2027'!J30=TRUE,'May 2027'!J30="x",'May 2027'!J30="X"),1,0))</f>
        <v/>
      </c>
      <c r="Z226" s="345">
        <f>IF($A226="","",IF(OR('May 2027'!J31=TRUE,'May 2027'!J31="x",'May 2027'!J31="X"),1,0))</f>
        <v/>
      </c>
      <c r="AA226" s="345">
        <f>IF($A226="","",IF(OR('May 2027'!J32=TRUE,'May 2027'!J32="x",'May 2027'!J32="X"),1,0))</f>
        <v/>
      </c>
      <c r="AB226" s="345">
        <f>IF($A226="","",IF(OR('May 2027'!J34=TRUE,'May 2027'!J34="x",'May 2027'!J34="X"),1,0))</f>
        <v/>
      </c>
      <c r="AC226" s="345">
        <f>IF($A226="","",IF(OR('May 2027'!J35=TRUE,'May 2027'!J35="x",'May 2027'!J35="X"),1,0))</f>
        <v/>
      </c>
      <c r="AD226" s="345">
        <f>IF($A226="","",IF(OR('May 2027'!J36=TRUE,'May 2027'!J36="x",'May 2027'!J36="X"),1,0))</f>
        <v/>
      </c>
      <c r="AE226" s="345">
        <f>IF($A226="","",IF(OR('May 2027'!J37=TRUE,'May 2027'!J37="x",'May 2027'!J37="X"),1,0))</f>
        <v/>
      </c>
      <c r="AF226" s="345">
        <f>IF($A226="","",IF('May 2027'!J59="","",'May 2027'!J59))</f>
        <v/>
      </c>
      <c r="AG226" s="345">
        <f>IF($A226="","",IF('May 2027'!J60="","",'May 2027'!J60))</f>
        <v/>
      </c>
      <c r="AH226" s="345">
        <f>IF($A226="","",IF('May 2027'!J61="","",'May 2027'!J61))</f>
        <v/>
      </c>
      <c r="AI226" s="345">
        <f>IF($A226="","",IF('May 2027'!J62="","",'May 2027'!J62))</f>
        <v/>
      </c>
      <c r="AJ226" s="345">
        <f>IF($A226="","",IF('May 2027'!J63="","",'May 2027'!J63))</f>
        <v/>
      </c>
      <c r="AK226" s="345">
        <f>IF($A226="","",IF('May 2027'!J64="","",'May 2027'!J64))</f>
        <v/>
      </c>
      <c r="AL226" s="345">
        <f>IF($A226="","",IF('May 2027'!J65="","",'May 2027'!J65))</f>
        <v/>
      </c>
      <c r="AM226" s="345">
        <f>IF($A226="","",IF('May 2027'!J66="","",'May 2027'!J66))</f>
        <v/>
      </c>
      <c r="AN226" s="345">
        <f>IF($A226="","",IF('May 2027'!J67="","",'May 2027'!J67))</f>
        <v/>
      </c>
      <c r="AO226" s="345">
        <f>IF($A226="",0,IF(AND($A226&gt;=TrackStart,$A226&lt;=TODAY()),1,0))</f>
        <v/>
      </c>
      <c r="AP226" s="345">
        <f>IF($A226="",0,IF(SUM(F226:AE226)+COUNT(AF226:AN226)&gt;0,1,0))</f>
        <v/>
      </c>
      <c r="AQ226" s="345">
        <f>IF($A226="","",INT(($A226-TrackStart)/7)+1)</f>
        <v/>
      </c>
      <c r="AR226" s="345">
        <f>IF($A226="","",IF(AQ226&lt;=1,Steps1,IF(AQ226=2,Steps2,Steps3)))</f>
        <v/>
      </c>
      <c r="AS226" s="345">
        <f>IF($A226="",0,IF(ISNUMBER(SEARCH(TEXT(D226,"0"),WorkDays&amp;"")),1,0))</f>
        <v/>
      </c>
      <c r="AT226" s="345">
        <f>IF($A226="",0,IF(ISNUMBER(SEARCH(TEXT(D226,"0"),StrDays&amp;"")),1,0))</f>
        <v/>
      </c>
      <c r="AU226" s="345">
        <f>IF($A226="",0,IF(ISNUMBER(AK226),IF(AK226&gt;=SleepMin,1,0),N226))</f>
        <v/>
      </c>
      <c r="AV226" s="345">
        <f>IF($A226="",0,MAX(I226,O226,S226,AC226))</f>
        <v/>
      </c>
      <c r="AW226" s="345">
        <f>IF($A226="",0,IF(ISNUMBER(AH226),IF(AH226&gt;=ProtHit,1,0),0))</f>
        <v/>
      </c>
      <c r="AX226" s="345">
        <f>IF($A226="",0,IF(ISNUMBER(AI226),IF(AI226&gt;=WaterHit,1,0),0))</f>
        <v/>
      </c>
      <c r="AY226" s="345">
        <f>IF($A226="",0,IF(ISNUMBER(AG226),IF(AG226&gt;=AR226,1,0),0))</f>
        <v/>
      </c>
      <c r="AZ226" s="345">
        <f>IF($A226="",0,G226)</f>
        <v/>
      </c>
      <c r="BA226" s="345">
        <f>IF($A226="",0,J226)</f>
        <v/>
      </c>
      <c r="BB226" s="345">
        <f>IF($A226="",0,K226)</f>
        <v/>
      </c>
      <c r="BC226" s="345">
        <f>IF($A226="",0,MAX(L226,AE226))</f>
        <v/>
      </c>
      <c r="BD226" s="344">
        <f>IF($A226="","",(AU226+AV226+AW226+AX226+AY226+AZ226+BB226+BC226+IF(AS226=1,BA226,0))/(8+AS226))</f>
        <v/>
      </c>
      <c r="BE226" s="344">
        <f>IF($A226="","",(IF(ISNUMBER(AI226),IF(AI226&gt;=WaterMVD,1,0),0)+AV226+IF(ISNUMBER(AH226),IF(AH226&gt;=ProtMVD,1,0),0)+MAX(H226,AD226)+AZ226+BB226+AU226)/7)</f>
        <v/>
      </c>
      <c r="BF226" s="344">
        <f>IF(AO226=0,"",IF(E226="S","",IF(AND(AP226=0,$A226=TODAY()),"",IF(E226="M",BE226,BD226))))</f>
        <v/>
      </c>
      <c r="BG226" s="344">
        <f>IF(AO226=0,"",IFERROR(AVERAGEIFS(Data!$BF$4:$BF$375,Data!$A$4:$A$375,"&gt;"&amp;($A226-7),Data!$A$4:$A$375,"&lt;="&amp;$A226),""))</f>
        <v/>
      </c>
      <c r="BH226" s="344">
        <f>IF(AO226=0,"",IFERROR(AVERAGEIFS(Data!$BF$4:$BF$375,Data!$A$4:$A$375,"&gt;"&amp;($A226-30),Data!$A$4:$A$375,"&lt;="&amp;$A226),""))</f>
        <v/>
      </c>
      <c r="BI226" s="359">
        <f>IF($A226="","",IFERROR(AVERAGEIFS(Data!$AF$4:$AF$375,Data!$A$4:$A$375,"&gt;"&amp;($A226-7),Data!$A$4:$A$375,"&lt;="&amp;$A226,Data!$AF$4:$AF$375,"&gt;0"),""))</f>
        <v/>
      </c>
      <c r="BJ226" s="345">
        <f>IF($A226="","",F226+G226+H226+I226+J226+K226+L226+M226+N226-IF(AS226=1,0,J226))</f>
        <v/>
      </c>
      <c r="BK226" s="345">
        <f>IF($A226="","",8+AS226)</f>
        <v/>
      </c>
      <c r="BL226" s="345">
        <f>IF(ISNUMBER(BF226),BF226,NA())</f>
        <v/>
      </c>
      <c r="BM226" s="345">
        <f>IF(ISNUMBER(AF226),AF226,NA())</f>
        <v/>
      </c>
      <c r="BN226" s="345">
        <f>IF(ISNUMBER(BI226),BI226,NA())</f>
        <v/>
      </c>
      <c r="BO226" s="345">
        <f>IF(ISNUMBER(AL226),AL226,NA())</f>
        <v/>
      </c>
      <c r="BP226" s="345">
        <f>IF(ISNUMBER(AM226),AM226,NA())</f>
        <v/>
      </c>
      <c r="BQ226" s="345">
        <f>IF(ISNUMBER(AN226),AN226,NA())</f>
        <v/>
      </c>
    </row>
    <row r="227">
      <c r="A227" s="358">
        <f>IF('May 2027'!K7="","",'May 2027'!K7)</f>
        <v/>
      </c>
      <c r="B227" s="345" t="n">
        <v>8</v>
      </c>
      <c r="C227" s="345">
        <f>IF($A227="","",7)</f>
        <v/>
      </c>
      <c r="D227" s="345">
        <f>IF($A227="","",WEEKDAY($A227,2))</f>
        <v/>
      </c>
      <c r="E227" s="345">
        <f>IF($A227="","",UPPER(TRIM('May 2027'!K8)))</f>
        <v/>
      </c>
      <c r="F227" s="345">
        <f>IF($A227="","",IF(OR('May 2027'!K10=TRUE,'May 2027'!K10="x",'May 2027'!K10="X"),1,0))</f>
        <v/>
      </c>
      <c r="G227" s="345">
        <f>IF($A227="","",IF(OR('May 2027'!K11=TRUE,'May 2027'!K11="x",'May 2027'!K11="X"),1,0))</f>
        <v/>
      </c>
      <c r="H227" s="345">
        <f>IF($A227="","",IF(OR('May 2027'!K12=TRUE,'May 2027'!K12="x",'May 2027'!K12="X"),1,0))</f>
        <v/>
      </c>
      <c r="I227" s="345">
        <f>IF($A227="","",IF(OR('May 2027'!K13=TRUE,'May 2027'!K13="x",'May 2027'!K13="X"),1,0))</f>
        <v/>
      </c>
      <c r="J227" s="345">
        <f>IF($A227="","",IF(OR('May 2027'!K14=TRUE,'May 2027'!K14="x",'May 2027'!K14="X"),1,0))</f>
        <v/>
      </c>
      <c r="K227" s="345">
        <f>IF($A227="","",IF(OR('May 2027'!K15=TRUE,'May 2027'!K15="x",'May 2027'!K15="X"),1,0))</f>
        <v/>
      </c>
      <c r="L227" s="345">
        <f>IF($A227="","",IF(OR('May 2027'!K16=TRUE,'May 2027'!K16="x",'May 2027'!K16="X"),1,0))</f>
        <v/>
      </c>
      <c r="M227" s="345">
        <f>IF($A227="","",IF(OR('May 2027'!K17=TRUE,'May 2027'!K17="x",'May 2027'!K17="X"),1,0))</f>
        <v/>
      </c>
      <c r="N227" s="345">
        <f>IF($A227="","",IF(OR('May 2027'!K18=TRUE,'May 2027'!K18="x",'May 2027'!K18="X"),1,0))</f>
        <v/>
      </c>
      <c r="O227" s="345">
        <f>IF($A227="","",IF(OR('May 2027'!K20=TRUE,'May 2027'!K20="x",'May 2027'!K20="X"),1,0))</f>
        <v/>
      </c>
      <c r="P227" s="345">
        <f>IF($A227="","",IF(OR('May 2027'!K21=TRUE,'May 2027'!K21="x",'May 2027'!K21="X"),1,0))</f>
        <v/>
      </c>
      <c r="Q227" s="345">
        <f>IF($A227="","",IF(OR('May 2027'!K22=TRUE,'May 2027'!K22="x",'May 2027'!K22="X"),1,0))</f>
        <v/>
      </c>
      <c r="R227" s="345">
        <f>IF($A227="","",IF(OR('May 2027'!K23=TRUE,'May 2027'!K23="x",'May 2027'!K23="X"),1,0))</f>
        <v/>
      </c>
      <c r="S227" s="345">
        <f>IF($A227="","",IF(OR('May 2027'!K24=TRUE,'May 2027'!K24="x",'May 2027'!K24="X"),1,0))</f>
        <v/>
      </c>
      <c r="T227" s="345">
        <f>IF($A227="","",IF(OR('May 2027'!K25=TRUE,'May 2027'!K25="x",'May 2027'!K25="X"),1,0))</f>
        <v/>
      </c>
      <c r="U227" s="345">
        <f>IF($A227="","",IF(OR('May 2027'!K26=TRUE,'May 2027'!K26="x",'May 2027'!K26="X"),1,0))</f>
        <v/>
      </c>
      <c r="V227" s="345">
        <f>IF($A227="","",IF(OR('May 2027'!K27=TRUE,'May 2027'!K27="x",'May 2027'!K27="X"),1,0))</f>
        <v/>
      </c>
      <c r="W227" s="345">
        <f>IF($A227="","",IF(OR('May 2027'!K28=TRUE,'May 2027'!K28="x",'May 2027'!K28="X"),1,0))</f>
        <v/>
      </c>
      <c r="X227" s="345">
        <f>IF($A227="","",IF(OR('May 2027'!K29=TRUE,'May 2027'!K29="x",'May 2027'!K29="X"),1,0))</f>
        <v/>
      </c>
      <c r="Y227" s="345">
        <f>IF($A227="","",IF(OR('May 2027'!K30=TRUE,'May 2027'!K30="x",'May 2027'!K30="X"),1,0))</f>
        <v/>
      </c>
      <c r="Z227" s="345">
        <f>IF($A227="","",IF(OR('May 2027'!K31=TRUE,'May 2027'!K31="x",'May 2027'!K31="X"),1,0))</f>
        <v/>
      </c>
      <c r="AA227" s="345">
        <f>IF($A227="","",IF(OR('May 2027'!K32=TRUE,'May 2027'!K32="x",'May 2027'!K32="X"),1,0))</f>
        <v/>
      </c>
      <c r="AB227" s="345">
        <f>IF($A227="","",IF(OR('May 2027'!K34=TRUE,'May 2027'!K34="x",'May 2027'!K34="X"),1,0))</f>
        <v/>
      </c>
      <c r="AC227" s="345">
        <f>IF($A227="","",IF(OR('May 2027'!K35=TRUE,'May 2027'!K35="x",'May 2027'!K35="X"),1,0))</f>
        <v/>
      </c>
      <c r="AD227" s="345">
        <f>IF($A227="","",IF(OR('May 2027'!K36=TRUE,'May 2027'!K36="x",'May 2027'!K36="X"),1,0))</f>
        <v/>
      </c>
      <c r="AE227" s="345">
        <f>IF($A227="","",IF(OR('May 2027'!K37=TRUE,'May 2027'!K37="x",'May 2027'!K37="X"),1,0))</f>
        <v/>
      </c>
      <c r="AF227" s="345">
        <f>IF($A227="","",IF('May 2027'!K59="","",'May 2027'!K59))</f>
        <v/>
      </c>
      <c r="AG227" s="345">
        <f>IF($A227="","",IF('May 2027'!K60="","",'May 2027'!K60))</f>
        <v/>
      </c>
      <c r="AH227" s="345">
        <f>IF($A227="","",IF('May 2027'!K61="","",'May 2027'!K61))</f>
        <v/>
      </c>
      <c r="AI227" s="345">
        <f>IF($A227="","",IF('May 2027'!K62="","",'May 2027'!K62))</f>
        <v/>
      </c>
      <c r="AJ227" s="345">
        <f>IF($A227="","",IF('May 2027'!K63="","",'May 2027'!K63))</f>
        <v/>
      </c>
      <c r="AK227" s="345">
        <f>IF($A227="","",IF('May 2027'!K64="","",'May 2027'!K64))</f>
        <v/>
      </c>
      <c r="AL227" s="345">
        <f>IF($A227="","",IF('May 2027'!K65="","",'May 2027'!K65))</f>
        <v/>
      </c>
      <c r="AM227" s="345">
        <f>IF($A227="","",IF('May 2027'!K66="","",'May 2027'!K66))</f>
        <v/>
      </c>
      <c r="AN227" s="345">
        <f>IF($A227="","",IF('May 2027'!K67="","",'May 2027'!K67))</f>
        <v/>
      </c>
      <c r="AO227" s="345">
        <f>IF($A227="",0,IF(AND($A227&gt;=TrackStart,$A227&lt;=TODAY()),1,0))</f>
        <v/>
      </c>
      <c r="AP227" s="345">
        <f>IF($A227="",0,IF(SUM(F227:AE227)+COUNT(AF227:AN227)&gt;0,1,0))</f>
        <v/>
      </c>
      <c r="AQ227" s="345">
        <f>IF($A227="","",INT(($A227-TrackStart)/7)+1)</f>
        <v/>
      </c>
      <c r="AR227" s="345">
        <f>IF($A227="","",IF(AQ227&lt;=1,Steps1,IF(AQ227=2,Steps2,Steps3)))</f>
        <v/>
      </c>
      <c r="AS227" s="345">
        <f>IF($A227="",0,IF(ISNUMBER(SEARCH(TEXT(D227,"0"),WorkDays&amp;"")),1,0))</f>
        <v/>
      </c>
      <c r="AT227" s="345">
        <f>IF($A227="",0,IF(ISNUMBER(SEARCH(TEXT(D227,"0"),StrDays&amp;"")),1,0))</f>
        <v/>
      </c>
      <c r="AU227" s="345">
        <f>IF($A227="",0,IF(ISNUMBER(AK227),IF(AK227&gt;=SleepMin,1,0),N227))</f>
        <v/>
      </c>
      <c r="AV227" s="345">
        <f>IF($A227="",0,MAX(I227,O227,S227,AC227))</f>
        <v/>
      </c>
      <c r="AW227" s="345">
        <f>IF($A227="",0,IF(ISNUMBER(AH227),IF(AH227&gt;=ProtHit,1,0),0))</f>
        <v/>
      </c>
      <c r="AX227" s="345">
        <f>IF($A227="",0,IF(ISNUMBER(AI227),IF(AI227&gt;=WaterHit,1,0),0))</f>
        <v/>
      </c>
      <c r="AY227" s="345">
        <f>IF($A227="",0,IF(ISNUMBER(AG227),IF(AG227&gt;=AR227,1,0),0))</f>
        <v/>
      </c>
      <c r="AZ227" s="345">
        <f>IF($A227="",0,G227)</f>
        <v/>
      </c>
      <c r="BA227" s="345">
        <f>IF($A227="",0,J227)</f>
        <v/>
      </c>
      <c r="BB227" s="345">
        <f>IF($A227="",0,K227)</f>
        <v/>
      </c>
      <c r="BC227" s="345">
        <f>IF($A227="",0,MAX(L227,AE227))</f>
        <v/>
      </c>
      <c r="BD227" s="344">
        <f>IF($A227="","",(AU227+AV227+AW227+AX227+AY227+AZ227+BB227+BC227+IF(AS227=1,BA227,0))/(8+AS227))</f>
        <v/>
      </c>
      <c r="BE227" s="344">
        <f>IF($A227="","",(IF(ISNUMBER(AI227),IF(AI227&gt;=WaterMVD,1,0),0)+AV227+IF(ISNUMBER(AH227),IF(AH227&gt;=ProtMVD,1,0),0)+MAX(H227,AD227)+AZ227+BB227+AU227)/7)</f>
        <v/>
      </c>
      <c r="BF227" s="344">
        <f>IF(AO227=0,"",IF(E227="S","",IF(AND(AP227=0,$A227=TODAY()),"",IF(E227="M",BE227,BD227))))</f>
        <v/>
      </c>
      <c r="BG227" s="344">
        <f>IF(AO227=0,"",IFERROR(AVERAGEIFS(Data!$BF$4:$BF$375,Data!$A$4:$A$375,"&gt;"&amp;($A227-7),Data!$A$4:$A$375,"&lt;="&amp;$A227),""))</f>
        <v/>
      </c>
      <c r="BH227" s="344">
        <f>IF(AO227=0,"",IFERROR(AVERAGEIFS(Data!$BF$4:$BF$375,Data!$A$4:$A$375,"&gt;"&amp;($A227-30),Data!$A$4:$A$375,"&lt;="&amp;$A227),""))</f>
        <v/>
      </c>
      <c r="BI227" s="359">
        <f>IF($A227="","",IFERROR(AVERAGEIFS(Data!$AF$4:$AF$375,Data!$A$4:$A$375,"&gt;"&amp;($A227-7),Data!$A$4:$A$375,"&lt;="&amp;$A227,Data!$AF$4:$AF$375,"&gt;0"),""))</f>
        <v/>
      </c>
      <c r="BJ227" s="345">
        <f>IF($A227="","",F227+G227+H227+I227+J227+K227+L227+M227+N227-IF(AS227=1,0,J227))</f>
        <v/>
      </c>
      <c r="BK227" s="345">
        <f>IF($A227="","",8+AS227)</f>
        <v/>
      </c>
      <c r="BL227" s="345">
        <f>IF(ISNUMBER(BF227),BF227,NA())</f>
        <v/>
      </c>
      <c r="BM227" s="345">
        <f>IF(ISNUMBER(AF227),AF227,NA())</f>
        <v/>
      </c>
      <c r="BN227" s="345">
        <f>IF(ISNUMBER(BI227),BI227,NA())</f>
        <v/>
      </c>
      <c r="BO227" s="345">
        <f>IF(ISNUMBER(AL227),AL227,NA())</f>
        <v/>
      </c>
      <c r="BP227" s="345">
        <f>IF(ISNUMBER(AM227),AM227,NA())</f>
        <v/>
      </c>
      <c r="BQ227" s="345">
        <f>IF(ISNUMBER(AN227),AN227,NA())</f>
        <v/>
      </c>
    </row>
    <row r="228">
      <c r="A228" s="358">
        <f>IF('May 2027'!L7="","",'May 2027'!L7)</f>
        <v/>
      </c>
      <c r="B228" s="345" t="n">
        <v>8</v>
      </c>
      <c r="C228" s="345">
        <f>IF($A228="","",8)</f>
        <v/>
      </c>
      <c r="D228" s="345">
        <f>IF($A228="","",WEEKDAY($A228,2))</f>
        <v/>
      </c>
      <c r="E228" s="345">
        <f>IF($A228="","",UPPER(TRIM('May 2027'!L8)))</f>
        <v/>
      </c>
      <c r="F228" s="345">
        <f>IF($A228="","",IF(OR('May 2027'!L10=TRUE,'May 2027'!L10="x",'May 2027'!L10="X"),1,0))</f>
        <v/>
      </c>
      <c r="G228" s="345">
        <f>IF($A228="","",IF(OR('May 2027'!L11=TRUE,'May 2027'!L11="x",'May 2027'!L11="X"),1,0))</f>
        <v/>
      </c>
      <c r="H228" s="345">
        <f>IF($A228="","",IF(OR('May 2027'!L12=TRUE,'May 2027'!L12="x",'May 2027'!L12="X"),1,0))</f>
        <v/>
      </c>
      <c r="I228" s="345">
        <f>IF($A228="","",IF(OR('May 2027'!L13=TRUE,'May 2027'!L13="x",'May 2027'!L13="X"),1,0))</f>
        <v/>
      </c>
      <c r="J228" s="345">
        <f>IF($A228="","",IF(OR('May 2027'!L14=TRUE,'May 2027'!L14="x",'May 2027'!L14="X"),1,0))</f>
        <v/>
      </c>
      <c r="K228" s="345">
        <f>IF($A228="","",IF(OR('May 2027'!L15=TRUE,'May 2027'!L15="x",'May 2027'!L15="X"),1,0))</f>
        <v/>
      </c>
      <c r="L228" s="345">
        <f>IF($A228="","",IF(OR('May 2027'!L16=TRUE,'May 2027'!L16="x",'May 2027'!L16="X"),1,0))</f>
        <v/>
      </c>
      <c r="M228" s="345">
        <f>IF($A228="","",IF(OR('May 2027'!L17=TRUE,'May 2027'!L17="x",'May 2027'!L17="X"),1,0))</f>
        <v/>
      </c>
      <c r="N228" s="345">
        <f>IF($A228="","",IF(OR('May 2027'!L18=TRUE,'May 2027'!L18="x",'May 2027'!L18="X"),1,0))</f>
        <v/>
      </c>
      <c r="O228" s="345">
        <f>IF($A228="","",IF(OR('May 2027'!L20=TRUE,'May 2027'!L20="x",'May 2027'!L20="X"),1,0))</f>
        <v/>
      </c>
      <c r="P228" s="345">
        <f>IF($A228="","",IF(OR('May 2027'!L21=TRUE,'May 2027'!L21="x",'May 2027'!L21="X"),1,0))</f>
        <v/>
      </c>
      <c r="Q228" s="345">
        <f>IF($A228="","",IF(OR('May 2027'!L22=TRUE,'May 2027'!L22="x",'May 2027'!L22="X"),1,0))</f>
        <v/>
      </c>
      <c r="R228" s="345">
        <f>IF($A228="","",IF(OR('May 2027'!L23=TRUE,'May 2027'!L23="x",'May 2027'!L23="X"),1,0))</f>
        <v/>
      </c>
      <c r="S228" s="345">
        <f>IF($A228="","",IF(OR('May 2027'!L24=TRUE,'May 2027'!L24="x",'May 2027'!L24="X"),1,0))</f>
        <v/>
      </c>
      <c r="T228" s="345">
        <f>IF($A228="","",IF(OR('May 2027'!L25=TRUE,'May 2027'!L25="x",'May 2027'!L25="X"),1,0))</f>
        <v/>
      </c>
      <c r="U228" s="345">
        <f>IF($A228="","",IF(OR('May 2027'!L26=TRUE,'May 2027'!L26="x",'May 2027'!L26="X"),1,0))</f>
        <v/>
      </c>
      <c r="V228" s="345">
        <f>IF($A228="","",IF(OR('May 2027'!L27=TRUE,'May 2027'!L27="x",'May 2027'!L27="X"),1,0))</f>
        <v/>
      </c>
      <c r="W228" s="345">
        <f>IF($A228="","",IF(OR('May 2027'!L28=TRUE,'May 2027'!L28="x",'May 2027'!L28="X"),1,0))</f>
        <v/>
      </c>
      <c r="X228" s="345">
        <f>IF($A228="","",IF(OR('May 2027'!L29=TRUE,'May 2027'!L29="x",'May 2027'!L29="X"),1,0))</f>
        <v/>
      </c>
      <c r="Y228" s="345">
        <f>IF($A228="","",IF(OR('May 2027'!L30=TRUE,'May 2027'!L30="x",'May 2027'!L30="X"),1,0))</f>
        <v/>
      </c>
      <c r="Z228" s="345">
        <f>IF($A228="","",IF(OR('May 2027'!L31=TRUE,'May 2027'!L31="x",'May 2027'!L31="X"),1,0))</f>
        <v/>
      </c>
      <c r="AA228" s="345">
        <f>IF($A228="","",IF(OR('May 2027'!L32=TRUE,'May 2027'!L32="x",'May 2027'!L32="X"),1,0))</f>
        <v/>
      </c>
      <c r="AB228" s="345">
        <f>IF($A228="","",IF(OR('May 2027'!L34=TRUE,'May 2027'!L34="x",'May 2027'!L34="X"),1,0))</f>
        <v/>
      </c>
      <c r="AC228" s="345">
        <f>IF($A228="","",IF(OR('May 2027'!L35=TRUE,'May 2027'!L35="x",'May 2027'!L35="X"),1,0))</f>
        <v/>
      </c>
      <c r="AD228" s="345">
        <f>IF($A228="","",IF(OR('May 2027'!L36=TRUE,'May 2027'!L36="x",'May 2027'!L36="X"),1,0))</f>
        <v/>
      </c>
      <c r="AE228" s="345">
        <f>IF($A228="","",IF(OR('May 2027'!L37=TRUE,'May 2027'!L37="x",'May 2027'!L37="X"),1,0))</f>
        <v/>
      </c>
      <c r="AF228" s="345">
        <f>IF($A228="","",IF('May 2027'!L59="","",'May 2027'!L59))</f>
        <v/>
      </c>
      <c r="AG228" s="345">
        <f>IF($A228="","",IF('May 2027'!L60="","",'May 2027'!L60))</f>
        <v/>
      </c>
      <c r="AH228" s="345">
        <f>IF($A228="","",IF('May 2027'!L61="","",'May 2027'!L61))</f>
        <v/>
      </c>
      <c r="AI228" s="345">
        <f>IF($A228="","",IF('May 2027'!L62="","",'May 2027'!L62))</f>
        <v/>
      </c>
      <c r="AJ228" s="345">
        <f>IF($A228="","",IF('May 2027'!L63="","",'May 2027'!L63))</f>
        <v/>
      </c>
      <c r="AK228" s="345">
        <f>IF($A228="","",IF('May 2027'!L64="","",'May 2027'!L64))</f>
        <v/>
      </c>
      <c r="AL228" s="345">
        <f>IF($A228="","",IF('May 2027'!L65="","",'May 2027'!L65))</f>
        <v/>
      </c>
      <c r="AM228" s="345">
        <f>IF($A228="","",IF('May 2027'!L66="","",'May 2027'!L66))</f>
        <v/>
      </c>
      <c r="AN228" s="345">
        <f>IF($A228="","",IF('May 2027'!L67="","",'May 2027'!L67))</f>
        <v/>
      </c>
      <c r="AO228" s="345">
        <f>IF($A228="",0,IF(AND($A228&gt;=TrackStart,$A228&lt;=TODAY()),1,0))</f>
        <v/>
      </c>
      <c r="AP228" s="345">
        <f>IF($A228="",0,IF(SUM(F228:AE228)+COUNT(AF228:AN228)&gt;0,1,0))</f>
        <v/>
      </c>
      <c r="AQ228" s="345">
        <f>IF($A228="","",INT(($A228-TrackStart)/7)+1)</f>
        <v/>
      </c>
      <c r="AR228" s="345">
        <f>IF($A228="","",IF(AQ228&lt;=1,Steps1,IF(AQ228=2,Steps2,Steps3)))</f>
        <v/>
      </c>
      <c r="AS228" s="345">
        <f>IF($A228="",0,IF(ISNUMBER(SEARCH(TEXT(D228,"0"),WorkDays&amp;"")),1,0))</f>
        <v/>
      </c>
      <c r="AT228" s="345">
        <f>IF($A228="",0,IF(ISNUMBER(SEARCH(TEXT(D228,"0"),StrDays&amp;"")),1,0))</f>
        <v/>
      </c>
      <c r="AU228" s="345">
        <f>IF($A228="",0,IF(ISNUMBER(AK228),IF(AK228&gt;=SleepMin,1,0),N228))</f>
        <v/>
      </c>
      <c r="AV228" s="345">
        <f>IF($A228="",0,MAX(I228,O228,S228,AC228))</f>
        <v/>
      </c>
      <c r="AW228" s="345">
        <f>IF($A228="",0,IF(ISNUMBER(AH228),IF(AH228&gt;=ProtHit,1,0),0))</f>
        <v/>
      </c>
      <c r="AX228" s="345">
        <f>IF($A228="",0,IF(ISNUMBER(AI228),IF(AI228&gt;=WaterHit,1,0),0))</f>
        <v/>
      </c>
      <c r="AY228" s="345">
        <f>IF($A228="",0,IF(ISNUMBER(AG228),IF(AG228&gt;=AR228,1,0),0))</f>
        <v/>
      </c>
      <c r="AZ228" s="345">
        <f>IF($A228="",0,G228)</f>
        <v/>
      </c>
      <c r="BA228" s="345">
        <f>IF($A228="",0,J228)</f>
        <v/>
      </c>
      <c r="BB228" s="345">
        <f>IF($A228="",0,K228)</f>
        <v/>
      </c>
      <c r="BC228" s="345">
        <f>IF($A228="",0,MAX(L228,AE228))</f>
        <v/>
      </c>
      <c r="BD228" s="344">
        <f>IF($A228="","",(AU228+AV228+AW228+AX228+AY228+AZ228+BB228+BC228+IF(AS228=1,BA228,0))/(8+AS228))</f>
        <v/>
      </c>
      <c r="BE228" s="344">
        <f>IF($A228="","",(IF(ISNUMBER(AI228),IF(AI228&gt;=WaterMVD,1,0),0)+AV228+IF(ISNUMBER(AH228),IF(AH228&gt;=ProtMVD,1,0),0)+MAX(H228,AD228)+AZ228+BB228+AU228)/7)</f>
        <v/>
      </c>
      <c r="BF228" s="344">
        <f>IF(AO228=0,"",IF(E228="S","",IF(AND(AP228=0,$A228=TODAY()),"",IF(E228="M",BE228,BD228))))</f>
        <v/>
      </c>
      <c r="BG228" s="344">
        <f>IF(AO228=0,"",IFERROR(AVERAGEIFS(Data!$BF$4:$BF$375,Data!$A$4:$A$375,"&gt;"&amp;($A228-7),Data!$A$4:$A$375,"&lt;="&amp;$A228),""))</f>
        <v/>
      </c>
      <c r="BH228" s="344">
        <f>IF(AO228=0,"",IFERROR(AVERAGEIFS(Data!$BF$4:$BF$375,Data!$A$4:$A$375,"&gt;"&amp;($A228-30),Data!$A$4:$A$375,"&lt;="&amp;$A228),""))</f>
        <v/>
      </c>
      <c r="BI228" s="359">
        <f>IF($A228="","",IFERROR(AVERAGEIFS(Data!$AF$4:$AF$375,Data!$A$4:$A$375,"&gt;"&amp;($A228-7),Data!$A$4:$A$375,"&lt;="&amp;$A228,Data!$AF$4:$AF$375,"&gt;0"),""))</f>
        <v/>
      </c>
      <c r="BJ228" s="345">
        <f>IF($A228="","",F228+G228+H228+I228+J228+K228+L228+M228+N228-IF(AS228=1,0,J228))</f>
        <v/>
      </c>
      <c r="BK228" s="345">
        <f>IF($A228="","",8+AS228)</f>
        <v/>
      </c>
      <c r="BL228" s="345">
        <f>IF(ISNUMBER(BF228),BF228,NA())</f>
        <v/>
      </c>
      <c r="BM228" s="345">
        <f>IF(ISNUMBER(AF228),AF228,NA())</f>
        <v/>
      </c>
      <c r="BN228" s="345">
        <f>IF(ISNUMBER(BI228),BI228,NA())</f>
        <v/>
      </c>
      <c r="BO228" s="345">
        <f>IF(ISNUMBER(AL228),AL228,NA())</f>
        <v/>
      </c>
      <c r="BP228" s="345">
        <f>IF(ISNUMBER(AM228),AM228,NA())</f>
        <v/>
      </c>
      <c r="BQ228" s="345">
        <f>IF(ISNUMBER(AN228),AN228,NA())</f>
        <v/>
      </c>
    </row>
    <row r="229">
      <c r="A229" s="358">
        <f>IF('May 2027'!M7="","",'May 2027'!M7)</f>
        <v/>
      </c>
      <c r="B229" s="345" t="n">
        <v>8</v>
      </c>
      <c r="C229" s="345">
        <f>IF($A229="","",9)</f>
        <v/>
      </c>
      <c r="D229" s="345">
        <f>IF($A229="","",WEEKDAY($A229,2))</f>
        <v/>
      </c>
      <c r="E229" s="345">
        <f>IF($A229="","",UPPER(TRIM('May 2027'!M8)))</f>
        <v/>
      </c>
      <c r="F229" s="345">
        <f>IF($A229="","",IF(OR('May 2027'!M10=TRUE,'May 2027'!M10="x",'May 2027'!M10="X"),1,0))</f>
        <v/>
      </c>
      <c r="G229" s="345">
        <f>IF($A229="","",IF(OR('May 2027'!M11=TRUE,'May 2027'!M11="x",'May 2027'!M11="X"),1,0))</f>
        <v/>
      </c>
      <c r="H229" s="345">
        <f>IF($A229="","",IF(OR('May 2027'!M12=TRUE,'May 2027'!M12="x",'May 2027'!M12="X"),1,0))</f>
        <v/>
      </c>
      <c r="I229" s="345">
        <f>IF($A229="","",IF(OR('May 2027'!M13=TRUE,'May 2027'!M13="x",'May 2027'!M13="X"),1,0))</f>
        <v/>
      </c>
      <c r="J229" s="345">
        <f>IF($A229="","",IF(OR('May 2027'!M14=TRUE,'May 2027'!M14="x",'May 2027'!M14="X"),1,0))</f>
        <v/>
      </c>
      <c r="K229" s="345">
        <f>IF($A229="","",IF(OR('May 2027'!M15=TRUE,'May 2027'!M15="x",'May 2027'!M15="X"),1,0))</f>
        <v/>
      </c>
      <c r="L229" s="345">
        <f>IF($A229="","",IF(OR('May 2027'!M16=TRUE,'May 2027'!M16="x",'May 2027'!M16="X"),1,0))</f>
        <v/>
      </c>
      <c r="M229" s="345">
        <f>IF($A229="","",IF(OR('May 2027'!M17=TRUE,'May 2027'!M17="x",'May 2027'!M17="X"),1,0))</f>
        <v/>
      </c>
      <c r="N229" s="345">
        <f>IF($A229="","",IF(OR('May 2027'!M18=TRUE,'May 2027'!M18="x",'May 2027'!M18="X"),1,0))</f>
        <v/>
      </c>
      <c r="O229" s="345">
        <f>IF($A229="","",IF(OR('May 2027'!M20=TRUE,'May 2027'!M20="x",'May 2027'!M20="X"),1,0))</f>
        <v/>
      </c>
      <c r="P229" s="345">
        <f>IF($A229="","",IF(OR('May 2027'!M21=TRUE,'May 2027'!M21="x",'May 2027'!M21="X"),1,0))</f>
        <v/>
      </c>
      <c r="Q229" s="345">
        <f>IF($A229="","",IF(OR('May 2027'!M22=TRUE,'May 2027'!M22="x",'May 2027'!M22="X"),1,0))</f>
        <v/>
      </c>
      <c r="R229" s="345">
        <f>IF($A229="","",IF(OR('May 2027'!M23=TRUE,'May 2027'!M23="x",'May 2027'!M23="X"),1,0))</f>
        <v/>
      </c>
      <c r="S229" s="345">
        <f>IF($A229="","",IF(OR('May 2027'!M24=TRUE,'May 2027'!M24="x",'May 2027'!M24="X"),1,0))</f>
        <v/>
      </c>
      <c r="T229" s="345">
        <f>IF($A229="","",IF(OR('May 2027'!M25=TRUE,'May 2027'!M25="x",'May 2027'!M25="X"),1,0))</f>
        <v/>
      </c>
      <c r="U229" s="345">
        <f>IF($A229="","",IF(OR('May 2027'!M26=TRUE,'May 2027'!M26="x",'May 2027'!M26="X"),1,0))</f>
        <v/>
      </c>
      <c r="V229" s="345">
        <f>IF($A229="","",IF(OR('May 2027'!M27=TRUE,'May 2027'!M27="x",'May 2027'!M27="X"),1,0))</f>
        <v/>
      </c>
      <c r="W229" s="345">
        <f>IF($A229="","",IF(OR('May 2027'!M28=TRUE,'May 2027'!M28="x",'May 2027'!M28="X"),1,0))</f>
        <v/>
      </c>
      <c r="X229" s="345">
        <f>IF($A229="","",IF(OR('May 2027'!M29=TRUE,'May 2027'!M29="x",'May 2027'!M29="X"),1,0))</f>
        <v/>
      </c>
      <c r="Y229" s="345">
        <f>IF($A229="","",IF(OR('May 2027'!M30=TRUE,'May 2027'!M30="x",'May 2027'!M30="X"),1,0))</f>
        <v/>
      </c>
      <c r="Z229" s="345">
        <f>IF($A229="","",IF(OR('May 2027'!M31=TRUE,'May 2027'!M31="x",'May 2027'!M31="X"),1,0))</f>
        <v/>
      </c>
      <c r="AA229" s="345">
        <f>IF($A229="","",IF(OR('May 2027'!M32=TRUE,'May 2027'!M32="x",'May 2027'!M32="X"),1,0))</f>
        <v/>
      </c>
      <c r="AB229" s="345">
        <f>IF($A229="","",IF(OR('May 2027'!M34=TRUE,'May 2027'!M34="x",'May 2027'!M34="X"),1,0))</f>
        <v/>
      </c>
      <c r="AC229" s="345">
        <f>IF($A229="","",IF(OR('May 2027'!M35=TRUE,'May 2027'!M35="x",'May 2027'!M35="X"),1,0))</f>
        <v/>
      </c>
      <c r="AD229" s="345">
        <f>IF($A229="","",IF(OR('May 2027'!M36=TRUE,'May 2027'!M36="x",'May 2027'!M36="X"),1,0))</f>
        <v/>
      </c>
      <c r="AE229" s="345">
        <f>IF($A229="","",IF(OR('May 2027'!M37=TRUE,'May 2027'!M37="x",'May 2027'!M37="X"),1,0))</f>
        <v/>
      </c>
      <c r="AF229" s="345">
        <f>IF($A229="","",IF('May 2027'!M59="","",'May 2027'!M59))</f>
        <v/>
      </c>
      <c r="AG229" s="345">
        <f>IF($A229="","",IF('May 2027'!M60="","",'May 2027'!M60))</f>
        <v/>
      </c>
      <c r="AH229" s="345">
        <f>IF($A229="","",IF('May 2027'!M61="","",'May 2027'!M61))</f>
        <v/>
      </c>
      <c r="AI229" s="345">
        <f>IF($A229="","",IF('May 2027'!M62="","",'May 2027'!M62))</f>
        <v/>
      </c>
      <c r="AJ229" s="345">
        <f>IF($A229="","",IF('May 2027'!M63="","",'May 2027'!M63))</f>
        <v/>
      </c>
      <c r="AK229" s="345">
        <f>IF($A229="","",IF('May 2027'!M64="","",'May 2027'!M64))</f>
        <v/>
      </c>
      <c r="AL229" s="345">
        <f>IF($A229="","",IF('May 2027'!M65="","",'May 2027'!M65))</f>
        <v/>
      </c>
      <c r="AM229" s="345">
        <f>IF($A229="","",IF('May 2027'!M66="","",'May 2027'!M66))</f>
        <v/>
      </c>
      <c r="AN229" s="345">
        <f>IF($A229="","",IF('May 2027'!M67="","",'May 2027'!M67))</f>
        <v/>
      </c>
      <c r="AO229" s="345">
        <f>IF($A229="",0,IF(AND($A229&gt;=TrackStart,$A229&lt;=TODAY()),1,0))</f>
        <v/>
      </c>
      <c r="AP229" s="345">
        <f>IF($A229="",0,IF(SUM(F229:AE229)+COUNT(AF229:AN229)&gt;0,1,0))</f>
        <v/>
      </c>
      <c r="AQ229" s="345">
        <f>IF($A229="","",INT(($A229-TrackStart)/7)+1)</f>
        <v/>
      </c>
      <c r="AR229" s="345">
        <f>IF($A229="","",IF(AQ229&lt;=1,Steps1,IF(AQ229=2,Steps2,Steps3)))</f>
        <v/>
      </c>
      <c r="AS229" s="345">
        <f>IF($A229="",0,IF(ISNUMBER(SEARCH(TEXT(D229,"0"),WorkDays&amp;"")),1,0))</f>
        <v/>
      </c>
      <c r="AT229" s="345">
        <f>IF($A229="",0,IF(ISNUMBER(SEARCH(TEXT(D229,"0"),StrDays&amp;"")),1,0))</f>
        <v/>
      </c>
      <c r="AU229" s="345">
        <f>IF($A229="",0,IF(ISNUMBER(AK229),IF(AK229&gt;=SleepMin,1,0),N229))</f>
        <v/>
      </c>
      <c r="AV229" s="345">
        <f>IF($A229="",0,MAX(I229,O229,S229,AC229))</f>
        <v/>
      </c>
      <c r="AW229" s="345">
        <f>IF($A229="",0,IF(ISNUMBER(AH229),IF(AH229&gt;=ProtHit,1,0),0))</f>
        <v/>
      </c>
      <c r="AX229" s="345">
        <f>IF($A229="",0,IF(ISNUMBER(AI229),IF(AI229&gt;=WaterHit,1,0),0))</f>
        <v/>
      </c>
      <c r="AY229" s="345">
        <f>IF($A229="",0,IF(ISNUMBER(AG229),IF(AG229&gt;=AR229,1,0),0))</f>
        <v/>
      </c>
      <c r="AZ229" s="345">
        <f>IF($A229="",0,G229)</f>
        <v/>
      </c>
      <c r="BA229" s="345">
        <f>IF($A229="",0,J229)</f>
        <v/>
      </c>
      <c r="BB229" s="345">
        <f>IF($A229="",0,K229)</f>
        <v/>
      </c>
      <c r="BC229" s="345">
        <f>IF($A229="",0,MAX(L229,AE229))</f>
        <v/>
      </c>
      <c r="BD229" s="344">
        <f>IF($A229="","",(AU229+AV229+AW229+AX229+AY229+AZ229+BB229+BC229+IF(AS229=1,BA229,0))/(8+AS229))</f>
        <v/>
      </c>
      <c r="BE229" s="344">
        <f>IF($A229="","",(IF(ISNUMBER(AI229),IF(AI229&gt;=WaterMVD,1,0),0)+AV229+IF(ISNUMBER(AH229),IF(AH229&gt;=ProtMVD,1,0),0)+MAX(H229,AD229)+AZ229+BB229+AU229)/7)</f>
        <v/>
      </c>
      <c r="BF229" s="344">
        <f>IF(AO229=0,"",IF(E229="S","",IF(AND(AP229=0,$A229=TODAY()),"",IF(E229="M",BE229,BD229))))</f>
        <v/>
      </c>
      <c r="BG229" s="344">
        <f>IF(AO229=0,"",IFERROR(AVERAGEIFS(Data!$BF$4:$BF$375,Data!$A$4:$A$375,"&gt;"&amp;($A229-7),Data!$A$4:$A$375,"&lt;="&amp;$A229),""))</f>
        <v/>
      </c>
      <c r="BH229" s="344">
        <f>IF(AO229=0,"",IFERROR(AVERAGEIFS(Data!$BF$4:$BF$375,Data!$A$4:$A$375,"&gt;"&amp;($A229-30),Data!$A$4:$A$375,"&lt;="&amp;$A229),""))</f>
        <v/>
      </c>
      <c r="BI229" s="359">
        <f>IF($A229="","",IFERROR(AVERAGEIFS(Data!$AF$4:$AF$375,Data!$A$4:$A$375,"&gt;"&amp;($A229-7),Data!$A$4:$A$375,"&lt;="&amp;$A229,Data!$AF$4:$AF$375,"&gt;0"),""))</f>
        <v/>
      </c>
      <c r="BJ229" s="345">
        <f>IF($A229="","",F229+G229+H229+I229+J229+K229+L229+M229+N229-IF(AS229=1,0,J229))</f>
        <v/>
      </c>
      <c r="BK229" s="345">
        <f>IF($A229="","",8+AS229)</f>
        <v/>
      </c>
      <c r="BL229" s="345">
        <f>IF(ISNUMBER(BF229),BF229,NA())</f>
        <v/>
      </c>
      <c r="BM229" s="345">
        <f>IF(ISNUMBER(AF229),AF229,NA())</f>
        <v/>
      </c>
      <c r="BN229" s="345">
        <f>IF(ISNUMBER(BI229),BI229,NA())</f>
        <v/>
      </c>
      <c r="BO229" s="345">
        <f>IF(ISNUMBER(AL229),AL229,NA())</f>
        <v/>
      </c>
      <c r="BP229" s="345">
        <f>IF(ISNUMBER(AM229),AM229,NA())</f>
        <v/>
      </c>
      <c r="BQ229" s="345">
        <f>IF(ISNUMBER(AN229),AN229,NA())</f>
        <v/>
      </c>
    </row>
    <row r="230">
      <c r="A230" s="358">
        <f>IF('May 2027'!N7="","",'May 2027'!N7)</f>
        <v/>
      </c>
      <c r="B230" s="345" t="n">
        <v>8</v>
      </c>
      <c r="C230" s="345">
        <f>IF($A230="","",10)</f>
        <v/>
      </c>
      <c r="D230" s="345">
        <f>IF($A230="","",WEEKDAY($A230,2))</f>
        <v/>
      </c>
      <c r="E230" s="345">
        <f>IF($A230="","",UPPER(TRIM('May 2027'!N8)))</f>
        <v/>
      </c>
      <c r="F230" s="345">
        <f>IF($A230="","",IF(OR('May 2027'!N10=TRUE,'May 2027'!N10="x",'May 2027'!N10="X"),1,0))</f>
        <v/>
      </c>
      <c r="G230" s="345">
        <f>IF($A230="","",IF(OR('May 2027'!N11=TRUE,'May 2027'!N11="x",'May 2027'!N11="X"),1,0))</f>
        <v/>
      </c>
      <c r="H230" s="345">
        <f>IF($A230="","",IF(OR('May 2027'!N12=TRUE,'May 2027'!N12="x",'May 2027'!N12="X"),1,0))</f>
        <v/>
      </c>
      <c r="I230" s="345">
        <f>IF($A230="","",IF(OR('May 2027'!N13=TRUE,'May 2027'!N13="x",'May 2027'!N13="X"),1,0))</f>
        <v/>
      </c>
      <c r="J230" s="345">
        <f>IF($A230="","",IF(OR('May 2027'!N14=TRUE,'May 2027'!N14="x",'May 2027'!N14="X"),1,0))</f>
        <v/>
      </c>
      <c r="K230" s="345">
        <f>IF($A230="","",IF(OR('May 2027'!N15=TRUE,'May 2027'!N15="x",'May 2027'!N15="X"),1,0))</f>
        <v/>
      </c>
      <c r="L230" s="345">
        <f>IF($A230="","",IF(OR('May 2027'!N16=TRUE,'May 2027'!N16="x",'May 2027'!N16="X"),1,0))</f>
        <v/>
      </c>
      <c r="M230" s="345">
        <f>IF($A230="","",IF(OR('May 2027'!N17=TRUE,'May 2027'!N17="x",'May 2027'!N17="X"),1,0))</f>
        <v/>
      </c>
      <c r="N230" s="345">
        <f>IF($A230="","",IF(OR('May 2027'!N18=TRUE,'May 2027'!N18="x",'May 2027'!N18="X"),1,0))</f>
        <v/>
      </c>
      <c r="O230" s="345">
        <f>IF($A230="","",IF(OR('May 2027'!N20=TRUE,'May 2027'!N20="x",'May 2027'!N20="X"),1,0))</f>
        <v/>
      </c>
      <c r="P230" s="345">
        <f>IF($A230="","",IF(OR('May 2027'!N21=TRUE,'May 2027'!N21="x",'May 2027'!N21="X"),1,0))</f>
        <v/>
      </c>
      <c r="Q230" s="345">
        <f>IF($A230="","",IF(OR('May 2027'!N22=TRUE,'May 2027'!N22="x",'May 2027'!N22="X"),1,0))</f>
        <v/>
      </c>
      <c r="R230" s="345">
        <f>IF($A230="","",IF(OR('May 2027'!N23=TRUE,'May 2027'!N23="x",'May 2027'!N23="X"),1,0))</f>
        <v/>
      </c>
      <c r="S230" s="345">
        <f>IF($A230="","",IF(OR('May 2027'!N24=TRUE,'May 2027'!N24="x",'May 2027'!N24="X"),1,0))</f>
        <v/>
      </c>
      <c r="T230" s="345">
        <f>IF($A230="","",IF(OR('May 2027'!N25=TRUE,'May 2027'!N25="x",'May 2027'!N25="X"),1,0))</f>
        <v/>
      </c>
      <c r="U230" s="345">
        <f>IF($A230="","",IF(OR('May 2027'!N26=TRUE,'May 2027'!N26="x",'May 2027'!N26="X"),1,0))</f>
        <v/>
      </c>
      <c r="V230" s="345">
        <f>IF($A230="","",IF(OR('May 2027'!N27=TRUE,'May 2027'!N27="x",'May 2027'!N27="X"),1,0))</f>
        <v/>
      </c>
      <c r="W230" s="345">
        <f>IF($A230="","",IF(OR('May 2027'!N28=TRUE,'May 2027'!N28="x",'May 2027'!N28="X"),1,0))</f>
        <v/>
      </c>
      <c r="X230" s="345">
        <f>IF($A230="","",IF(OR('May 2027'!N29=TRUE,'May 2027'!N29="x",'May 2027'!N29="X"),1,0))</f>
        <v/>
      </c>
      <c r="Y230" s="345">
        <f>IF($A230="","",IF(OR('May 2027'!N30=TRUE,'May 2027'!N30="x",'May 2027'!N30="X"),1,0))</f>
        <v/>
      </c>
      <c r="Z230" s="345">
        <f>IF($A230="","",IF(OR('May 2027'!N31=TRUE,'May 2027'!N31="x",'May 2027'!N31="X"),1,0))</f>
        <v/>
      </c>
      <c r="AA230" s="345">
        <f>IF($A230="","",IF(OR('May 2027'!N32=TRUE,'May 2027'!N32="x",'May 2027'!N32="X"),1,0))</f>
        <v/>
      </c>
      <c r="AB230" s="345">
        <f>IF($A230="","",IF(OR('May 2027'!N34=TRUE,'May 2027'!N34="x",'May 2027'!N34="X"),1,0))</f>
        <v/>
      </c>
      <c r="AC230" s="345">
        <f>IF($A230="","",IF(OR('May 2027'!N35=TRUE,'May 2027'!N35="x",'May 2027'!N35="X"),1,0))</f>
        <v/>
      </c>
      <c r="AD230" s="345">
        <f>IF($A230="","",IF(OR('May 2027'!N36=TRUE,'May 2027'!N36="x",'May 2027'!N36="X"),1,0))</f>
        <v/>
      </c>
      <c r="AE230" s="345">
        <f>IF($A230="","",IF(OR('May 2027'!N37=TRUE,'May 2027'!N37="x",'May 2027'!N37="X"),1,0))</f>
        <v/>
      </c>
      <c r="AF230" s="345">
        <f>IF($A230="","",IF('May 2027'!N59="","",'May 2027'!N59))</f>
        <v/>
      </c>
      <c r="AG230" s="345">
        <f>IF($A230="","",IF('May 2027'!N60="","",'May 2027'!N60))</f>
        <v/>
      </c>
      <c r="AH230" s="345">
        <f>IF($A230="","",IF('May 2027'!N61="","",'May 2027'!N61))</f>
        <v/>
      </c>
      <c r="AI230" s="345">
        <f>IF($A230="","",IF('May 2027'!N62="","",'May 2027'!N62))</f>
        <v/>
      </c>
      <c r="AJ230" s="345">
        <f>IF($A230="","",IF('May 2027'!N63="","",'May 2027'!N63))</f>
        <v/>
      </c>
      <c r="AK230" s="345">
        <f>IF($A230="","",IF('May 2027'!N64="","",'May 2027'!N64))</f>
        <v/>
      </c>
      <c r="AL230" s="345">
        <f>IF($A230="","",IF('May 2027'!N65="","",'May 2027'!N65))</f>
        <v/>
      </c>
      <c r="AM230" s="345">
        <f>IF($A230="","",IF('May 2027'!N66="","",'May 2027'!N66))</f>
        <v/>
      </c>
      <c r="AN230" s="345">
        <f>IF($A230="","",IF('May 2027'!N67="","",'May 2027'!N67))</f>
        <v/>
      </c>
      <c r="AO230" s="345">
        <f>IF($A230="",0,IF(AND($A230&gt;=TrackStart,$A230&lt;=TODAY()),1,0))</f>
        <v/>
      </c>
      <c r="AP230" s="345">
        <f>IF($A230="",0,IF(SUM(F230:AE230)+COUNT(AF230:AN230)&gt;0,1,0))</f>
        <v/>
      </c>
      <c r="AQ230" s="345">
        <f>IF($A230="","",INT(($A230-TrackStart)/7)+1)</f>
        <v/>
      </c>
      <c r="AR230" s="345">
        <f>IF($A230="","",IF(AQ230&lt;=1,Steps1,IF(AQ230=2,Steps2,Steps3)))</f>
        <v/>
      </c>
      <c r="AS230" s="345">
        <f>IF($A230="",0,IF(ISNUMBER(SEARCH(TEXT(D230,"0"),WorkDays&amp;"")),1,0))</f>
        <v/>
      </c>
      <c r="AT230" s="345">
        <f>IF($A230="",0,IF(ISNUMBER(SEARCH(TEXT(D230,"0"),StrDays&amp;"")),1,0))</f>
        <v/>
      </c>
      <c r="AU230" s="345">
        <f>IF($A230="",0,IF(ISNUMBER(AK230),IF(AK230&gt;=SleepMin,1,0),N230))</f>
        <v/>
      </c>
      <c r="AV230" s="345">
        <f>IF($A230="",0,MAX(I230,O230,S230,AC230))</f>
        <v/>
      </c>
      <c r="AW230" s="345">
        <f>IF($A230="",0,IF(ISNUMBER(AH230),IF(AH230&gt;=ProtHit,1,0),0))</f>
        <v/>
      </c>
      <c r="AX230" s="345">
        <f>IF($A230="",0,IF(ISNUMBER(AI230),IF(AI230&gt;=WaterHit,1,0),0))</f>
        <v/>
      </c>
      <c r="AY230" s="345">
        <f>IF($A230="",0,IF(ISNUMBER(AG230),IF(AG230&gt;=AR230,1,0),0))</f>
        <v/>
      </c>
      <c r="AZ230" s="345">
        <f>IF($A230="",0,G230)</f>
        <v/>
      </c>
      <c r="BA230" s="345">
        <f>IF($A230="",0,J230)</f>
        <v/>
      </c>
      <c r="BB230" s="345">
        <f>IF($A230="",0,K230)</f>
        <v/>
      </c>
      <c r="BC230" s="345">
        <f>IF($A230="",0,MAX(L230,AE230))</f>
        <v/>
      </c>
      <c r="BD230" s="344">
        <f>IF($A230="","",(AU230+AV230+AW230+AX230+AY230+AZ230+BB230+BC230+IF(AS230=1,BA230,0))/(8+AS230))</f>
        <v/>
      </c>
      <c r="BE230" s="344">
        <f>IF($A230="","",(IF(ISNUMBER(AI230),IF(AI230&gt;=WaterMVD,1,0),0)+AV230+IF(ISNUMBER(AH230),IF(AH230&gt;=ProtMVD,1,0),0)+MAX(H230,AD230)+AZ230+BB230+AU230)/7)</f>
        <v/>
      </c>
      <c r="BF230" s="344">
        <f>IF(AO230=0,"",IF(E230="S","",IF(AND(AP230=0,$A230=TODAY()),"",IF(E230="M",BE230,BD230))))</f>
        <v/>
      </c>
      <c r="BG230" s="344">
        <f>IF(AO230=0,"",IFERROR(AVERAGEIFS(Data!$BF$4:$BF$375,Data!$A$4:$A$375,"&gt;"&amp;($A230-7),Data!$A$4:$A$375,"&lt;="&amp;$A230),""))</f>
        <v/>
      </c>
      <c r="BH230" s="344">
        <f>IF(AO230=0,"",IFERROR(AVERAGEIFS(Data!$BF$4:$BF$375,Data!$A$4:$A$375,"&gt;"&amp;($A230-30),Data!$A$4:$A$375,"&lt;="&amp;$A230),""))</f>
        <v/>
      </c>
      <c r="BI230" s="359">
        <f>IF($A230="","",IFERROR(AVERAGEIFS(Data!$AF$4:$AF$375,Data!$A$4:$A$375,"&gt;"&amp;($A230-7),Data!$A$4:$A$375,"&lt;="&amp;$A230,Data!$AF$4:$AF$375,"&gt;0"),""))</f>
        <v/>
      </c>
      <c r="BJ230" s="345">
        <f>IF($A230="","",F230+G230+H230+I230+J230+K230+L230+M230+N230-IF(AS230=1,0,J230))</f>
        <v/>
      </c>
      <c r="BK230" s="345">
        <f>IF($A230="","",8+AS230)</f>
        <v/>
      </c>
      <c r="BL230" s="345">
        <f>IF(ISNUMBER(BF230),BF230,NA())</f>
        <v/>
      </c>
      <c r="BM230" s="345">
        <f>IF(ISNUMBER(AF230),AF230,NA())</f>
        <v/>
      </c>
      <c r="BN230" s="345">
        <f>IF(ISNUMBER(BI230),BI230,NA())</f>
        <v/>
      </c>
      <c r="BO230" s="345">
        <f>IF(ISNUMBER(AL230),AL230,NA())</f>
        <v/>
      </c>
      <c r="BP230" s="345">
        <f>IF(ISNUMBER(AM230),AM230,NA())</f>
        <v/>
      </c>
      <c r="BQ230" s="345">
        <f>IF(ISNUMBER(AN230),AN230,NA())</f>
        <v/>
      </c>
    </row>
    <row r="231">
      <c r="A231" s="358">
        <f>IF('May 2027'!O7="","",'May 2027'!O7)</f>
        <v/>
      </c>
      <c r="B231" s="345" t="n">
        <v>8</v>
      </c>
      <c r="C231" s="345">
        <f>IF($A231="","",11)</f>
        <v/>
      </c>
      <c r="D231" s="345">
        <f>IF($A231="","",WEEKDAY($A231,2))</f>
        <v/>
      </c>
      <c r="E231" s="345">
        <f>IF($A231="","",UPPER(TRIM('May 2027'!O8)))</f>
        <v/>
      </c>
      <c r="F231" s="345">
        <f>IF($A231="","",IF(OR('May 2027'!O10=TRUE,'May 2027'!O10="x",'May 2027'!O10="X"),1,0))</f>
        <v/>
      </c>
      <c r="G231" s="345">
        <f>IF($A231="","",IF(OR('May 2027'!O11=TRUE,'May 2027'!O11="x",'May 2027'!O11="X"),1,0))</f>
        <v/>
      </c>
      <c r="H231" s="345">
        <f>IF($A231="","",IF(OR('May 2027'!O12=TRUE,'May 2027'!O12="x",'May 2027'!O12="X"),1,0))</f>
        <v/>
      </c>
      <c r="I231" s="345">
        <f>IF($A231="","",IF(OR('May 2027'!O13=TRUE,'May 2027'!O13="x",'May 2027'!O13="X"),1,0))</f>
        <v/>
      </c>
      <c r="J231" s="345">
        <f>IF($A231="","",IF(OR('May 2027'!O14=TRUE,'May 2027'!O14="x",'May 2027'!O14="X"),1,0))</f>
        <v/>
      </c>
      <c r="K231" s="345">
        <f>IF($A231="","",IF(OR('May 2027'!O15=TRUE,'May 2027'!O15="x",'May 2027'!O15="X"),1,0))</f>
        <v/>
      </c>
      <c r="L231" s="345">
        <f>IF($A231="","",IF(OR('May 2027'!O16=TRUE,'May 2027'!O16="x",'May 2027'!O16="X"),1,0))</f>
        <v/>
      </c>
      <c r="M231" s="345">
        <f>IF($A231="","",IF(OR('May 2027'!O17=TRUE,'May 2027'!O17="x",'May 2027'!O17="X"),1,0))</f>
        <v/>
      </c>
      <c r="N231" s="345">
        <f>IF($A231="","",IF(OR('May 2027'!O18=TRUE,'May 2027'!O18="x",'May 2027'!O18="X"),1,0))</f>
        <v/>
      </c>
      <c r="O231" s="345">
        <f>IF($A231="","",IF(OR('May 2027'!O20=TRUE,'May 2027'!O20="x",'May 2027'!O20="X"),1,0))</f>
        <v/>
      </c>
      <c r="P231" s="345">
        <f>IF($A231="","",IF(OR('May 2027'!O21=TRUE,'May 2027'!O21="x",'May 2027'!O21="X"),1,0))</f>
        <v/>
      </c>
      <c r="Q231" s="345">
        <f>IF($A231="","",IF(OR('May 2027'!O22=TRUE,'May 2027'!O22="x",'May 2027'!O22="X"),1,0))</f>
        <v/>
      </c>
      <c r="R231" s="345">
        <f>IF($A231="","",IF(OR('May 2027'!O23=TRUE,'May 2027'!O23="x",'May 2027'!O23="X"),1,0))</f>
        <v/>
      </c>
      <c r="S231" s="345">
        <f>IF($A231="","",IF(OR('May 2027'!O24=TRUE,'May 2027'!O24="x",'May 2027'!O24="X"),1,0))</f>
        <v/>
      </c>
      <c r="T231" s="345">
        <f>IF($A231="","",IF(OR('May 2027'!O25=TRUE,'May 2027'!O25="x",'May 2027'!O25="X"),1,0))</f>
        <v/>
      </c>
      <c r="U231" s="345">
        <f>IF($A231="","",IF(OR('May 2027'!O26=TRUE,'May 2027'!O26="x",'May 2027'!O26="X"),1,0))</f>
        <v/>
      </c>
      <c r="V231" s="345">
        <f>IF($A231="","",IF(OR('May 2027'!O27=TRUE,'May 2027'!O27="x",'May 2027'!O27="X"),1,0))</f>
        <v/>
      </c>
      <c r="W231" s="345">
        <f>IF($A231="","",IF(OR('May 2027'!O28=TRUE,'May 2027'!O28="x",'May 2027'!O28="X"),1,0))</f>
        <v/>
      </c>
      <c r="X231" s="345">
        <f>IF($A231="","",IF(OR('May 2027'!O29=TRUE,'May 2027'!O29="x",'May 2027'!O29="X"),1,0))</f>
        <v/>
      </c>
      <c r="Y231" s="345">
        <f>IF($A231="","",IF(OR('May 2027'!O30=TRUE,'May 2027'!O30="x",'May 2027'!O30="X"),1,0))</f>
        <v/>
      </c>
      <c r="Z231" s="345">
        <f>IF($A231="","",IF(OR('May 2027'!O31=TRUE,'May 2027'!O31="x",'May 2027'!O31="X"),1,0))</f>
        <v/>
      </c>
      <c r="AA231" s="345">
        <f>IF($A231="","",IF(OR('May 2027'!O32=TRUE,'May 2027'!O32="x",'May 2027'!O32="X"),1,0))</f>
        <v/>
      </c>
      <c r="AB231" s="345">
        <f>IF($A231="","",IF(OR('May 2027'!O34=TRUE,'May 2027'!O34="x",'May 2027'!O34="X"),1,0))</f>
        <v/>
      </c>
      <c r="AC231" s="345">
        <f>IF($A231="","",IF(OR('May 2027'!O35=TRUE,'May 2027'!O35="x",'May 2027'!O35="X"),1,0))</f>
        <v/>
      </c>
      <c r="AD231" s="345">
        <f>IF($A231="","",IF(OR('May 2027'!O36=TRUE,'May 2027'!O36="x",'May 2027'!O36="X"),1,0))</f>
        <v/>
      </c>
      <c r="AE231" s="345">
        <f>IF($A231="","",IF(OR('May 2027'!O37=TRUE,'May 2027'!O37="x",'May 2027'!O37="X"),1,0))</f>
        <v/>
      </c>
      <c r="AF231" s="345">
        <f>IF($A231="","",IF('May 2027'!O59="","",'May 2027'!O59))</f>
        <v/>
      </c>
      <c r="AG231" s="345">
        <f>IF($A231="","",IF('May 2027'!O60="","",'May 2027'!O60))</f>
        <v/>
      </c>
      <c r="AH231" s="345">
        <f>IF($A231="","",IF('May 2027'!O61="","",'May 2027'!O61))</f>
        <v/>
      </c>
      <c r="AI231" s="345">
        <f>IF($A231="","",IF('May 2027'!O62="","",'May 2027'!O62))</f>
        <v/>
      </c>
      <c r="AJ231" s="345">
        <f>IF($A231="","",IF('May 2027'!O63="","",'May 2027'!O63))</f>
        <v/>
      </c>
      <c r="AK231" s="345">
        <f>IF($A231="","",IF('May 2027'!O64="","",'May 2027'!O64))</f>
        <v/>
      </c>
      <c r="AL231" s="345">
        <f>IF($A231="","",IF('May 2027'!O65="","",'May 2027'!O65))</f>
        <v/>
      </c>
      <c r="AM231" s="345">
        <f>IF($A231="","",IF('May 2027'!O66="","",'May 2027'!O66))</f>
        <v/>
      </c>
      <c r="AN231" s="345">
        <f>IF($A231="","",IF('May 2027'!O67="","",'May 2027'!O67))</f>
        <v/>
      </c>
      <c r="AO231" s="345">
        <f>IF($A231="",0,IF(AND($A231&gt;=TrackStart,$A231&lt;=TODAY()),1,0))</f>
        <v/>
      </c>
      <c r="AP231" s="345">
        <f>IF($A231="",0,IF(SUM(F231:AE231)+COUNT(AF231:AN231)&gt;0,1,0))</f>
        <v/>
      </c>
      <c r="AQ231" s="345">
        <f>IF($A231="","",INT(($A231-TrackStart)/7)+1)</f>
        <v/>
      </c>
      <c r="AR231" s="345">
        <f>IF($A231="","",IF(AQ231&lt;=1,Steps1,IF(AQ231=2,Steps2,Steps3)))</f>
        <v/>
      </c>
      <c r="AS231" s="345">
        <f>IF($A231="",0,IF(ISNUMBER(SEARCH(TEXT(D231,"0"),WorkDays&amp;"")),1,0))</f>
        <v/>
      </c>
      <c r="AT231" s="345">
        <f>IF($A231="",0,IF(ISNUMBER(SEARCH(TEXT(D231,"0"),StrDays&amp;"")),1,0))</f>
        <v/>
      </c>
      <c r="AU231" s="345">
        <f>IF($A231="",0,IF(ISNUMBER(AK231),IF(AK231&gt;=SleepMin,1,0),N231))</f>
        <v/>
      </c>
      <c r="AV231" s="345">
        <f>IF($A231="",0,MAX(I231,O231,S231,AC231))</f>
        <v/>
      </c>
      <c r="AW231" s="345">
        <f>IF($A231="",0,IF(ISNUMBER(AH231),IF(AH231&gt;=ProtHit,1,0),0))</f>
        <v/>
      </c>
      <c r="AX231" s="345">
        <f>IF($A231="",0,IF(ISNUMBER(AI231),IF(AI231&gt;=WaterHit,1,0),0))</f>
        <v/>
      </c>
      <c r="AY231" s="345">
        <f>IF($A231="",0,IF(ISNUMBER(AG231),IF(AG231&gt;=AR231,1,0),0))</f>
        <v/>
      </c>
      <c r="AZ231" s="345">
        <f>IF($A231="",0,G231)</f>
        <v/>
      </c>
      <c r="BA231" s="345">
        <f>IF($A231="",0,J231)</f>
        <v/>
      </c>
      <c r="BB231" s="345">
        <f>IF($A231="",0,K231)</f>
        <v/>
      </c>
      <c r="BC231" s="345">
        <f>IF($A231="",0,MAX(L231,AE231))</f>
        <v/>
      </c>
      <c r="BD231" s="344">
        <f>IF($A231="","",(AU231+AV231+AW231+AX231+AY231+AZ231+BB231+BC231+IF(AS231=1,BA231,0))/(8+AS231))</f>
        <v/>
      </c>
      <c r="BE231" s="344">
        <f>IF($A231="","",(IF(ISNUMBER(AI231),IF(AI231&gt;=WaterMVD,1,0),0)+AV231+IF(ISNUMBER(AH231),IF(AH231&gt;=ProtMVD,1,0),0)+MAX(H231,AD231)+AZ231+BB231+AU231)/7)</f>
        <v/>
      </c>
      <c r="BF231" s="344">
        <f>IF(AO231=0,"",IF(E231="S","",IF(AND(AP231=0,$A231=TODAY()),"",IF(E231="M",BE231,BD231))))</f>
        <v/>
      </c>
      <c r="BG231" s="344">
        <f>IF(AO231=0,"",IFERROR(AVERAGEIFS(Data!$BF$4:$BF$375,Data!$A$4:$A$375,"&gt;"&amp;($A231-7),Data!$A$4:$A$375,"&lt;="&amp;$A231),""))</f>
        <v/>
      </c>
      <c r="BH231" s="344">
        <f>IF(AO231=0,"",IFERROR(AVERAGEIFS(Data!$BF$4:$BF$375,Data!$A$4:$A$375,"&gt;"&amp;($A231-30),Data!$A$4:$A$375,"&lt;="&amp;$A231),""))</f>
        <v/>
      </c>
      <c r="BI231" s="359">
        <f>IF($A231="","",IFERROR(AVERAGEIFS(Data!$AF$4:$AF$375,Data!$A$4:$A$375,"&gt;"&amp;($A231-7),Data!$A$4:$A$375,"&lt;="&amp;$A231,Data!$AF$4:$AF$375,"&gt;0"),""))</f>
        <v/>
      </c>
      <c r="BJ231" s="345">
        <f>IF($A231="","",F231+G231+H231+I231+J231+K231+L231+M231+N231-IF(AS231=1,0,J231))</f>
        <v/>
      </c>
      <c r="BK231" s="345">
        <f>IF($A231="","",8+AS231)</f>
        <v/>
      </c>
      <c r="BL231" s="345">
        <f>IF(ISNUMBER(BF231),BF231,NA())</f>
        <v/>
      </c>
      <c r="BM231" s="345">
        <f>IF(ISNUMBER(AF231),AF231,NA())</f>
        <v/>
      </c>
      <c r="BN231" s="345">
        <f>IF(ISNUMBER(BI231),BI231,NA())</f>
        <v/>
      </c>
      <c r="BO231" s="345">
        <f>IF(ISNUMBER(AL231),AL231,NA())</f>
        <v/>
      </c>
      <c r="BP231" s="345">
        <f>IF(ISNUMBER(AM231),AM231,NA())</f>
        <v/>
      </c>
      <c r="BQ231" s="345">
        <f>IF(ISNUMBER(AN231),AN231,NA())</f>
        <v/>
      </c>
    </row>
    <row r="232">
      <c r="A232" s="358">
        <f>IF('May 2027'!P7="","",'May 2027'!P7)</f>
        <v/>
      </c>
      <c r="B232" s="345" t="n">
        <v>8</v>
      </c>
      <c r="C232" s="345">
        <f>IF($A232="","",12)</f>
        <v/>
      </c>
      <c r="D232" s="345">
        <f>IF($A232="","",WEEKDAY($A232,2))</f>
        <v/>
      </c>
      <c r="E232" s="345">
        <f>IF($A232="","",UPPER(TRIM('May 2027'!P8)))</f>
        <v/>
      </c>
      <c r="F232" s="345">
        <f>IF($A232="","",IF(OR('May 2027'!P10=TRUE,'May 2027'!P10="x",'May 2027'!P10="X"),1,0))</f>
        <v/>
      </c>
      <c r="G232" s="345">
        <f>IF($A232="","",IF(OR('May 2027'!P11=TRUE,'May 2027'!P11="x",'May 2027'!P11="X"),1,0))</f>
        <v/>
      </c>
      <c r="H232" s="345">
        <f>IF($A232="","",IF(OR('May 2027'!P12=TRUE,'May 2027'!P12="x",'May 2027'!P12="X"),1,0))</f>
        <v/>
      </c>
      <c r="I232" s="345">
        <f>IF($A232="","",IF(OR('May 2027'!P13=TRUE,'May 2027'!P13="x",'May 2027'!P13="X"),1,0))</f>
        <v/>
      </c>
      <c r="J232" s="345">
        <f>IF($A232="","",IF(OR('May 2027'!P14=TRUE,'May 2027'!P14="x",'May 2027'!P14="X"),1,0))</f>
        <v/>
      </c>
      <c r="K232" s="345">
        <f>IF($A232="","",IF(OR('May 2027'!P15=TRUE,'May 2027'!P15="x",'May 2027'!P15="X"),1,0))</f>
        <v/>
      </c>
      <c r="L232" s="345">
        <f>IF($A232="","",IF(OR('May 2027'!P16=TRUE,'May 2027'!P16="x",'May 2027'!P16="X"),1,0))</f>
        <v/>
      </c>
      <c r="M232" s="345">
        <f>IF($A232="","",IF(OR('May 2027'!P17=TRUE,'May 2027'!P17="x",'May 2027'!P17="X"),1,0))</f>
        <v/>
      </c>
      <c r="N232" s="345">
        <f>IF($A232="","",IF(OR('May 2027'!P18=TRUE,'May 2027'!P18="x",'May 2027'!P18="X"),1,0))</f>
        <v/>
      </c>
      <c r="O232" s="345">
        <f>IF($A232="","",IF(OR('May 2027'!P20=TRUE,'May 2027'!P20="x",'May 2027'!P20="X"),1,0))</f>
        <v/>
      </c>
      <c r="P232" s="345">
        <f>IF($A232="","",IF(OR('May 2027'!P21=TRUE,'May 2027'!P21="x",'May 2027'!P21="X"),1,0))</f>
        <v/>
      </c>
      <c r="Q232" s="345">
        <f>IF($A232="","",IF(OR('May 2027'!P22=TRUE,'May 2027'!P22="x",'May 2027'!P22="X"),1,0))</f>
        <v/>
      </c>
      <c r="R232" s="345">
        <f>IF($A232="","",IF(OR('May 2027'!P23=TRUE,'May 2027'!P23="x",'May 2027'!P23="X"),1,0))</f>
        <v/>
      </c>
      <c r="S232" s="345">
        <f>IF($A232="","",IF(OR('May 2027'!P24=TRUE,'May 2027'!P24="x",'May 2027'!P24="X"),1,0))</f>
        <v/>
      </c>
      <c r="T232" s="345">
        <f>IF($A232="","",IF(OR('May 2027'!P25=TRUE,'May 2027'!P25="x",'May 2027'!P25="X"),1,0))</f>
        <v/>
      </c>
      <c r="U232" s="345">
        <f>IF($A232="","",IF(OR('May 2027'!P26=TRUE,'May 2027'!P26="x",'May 2027'!P26="X"),1,0))</f>
        <v/>
      </c>
      <c r="V232" s="345">
        <f>IF($A232="","",IF(OR('May 2027'!P27=TRUE,'May 2027'!P27="x",'May 2027'!P27="X"),1,0))</f>
        <v/>
      </c>
      <c r="W232" s="345">
        <f>IF($A232="","",IF(OR('May 2027'!P28=TRUE,'May 2027'!P28="x",'May 2027'!P28="X"),1,0))</f>
        <v/>
      </c>
      <c r="X232" s="345">
        <f>IF($A232="","",IF(OR('May 2027'!P29=TRUE,'May 2027'!P29="x",'May 2027'!P29="X"),1,0))</f>
        <v/>
      </c>
      <c r="Y232" s="345">
        <f>IF($A232="","",IF(OR('May 2027'!P30=TRUE,'May 2027'!P30="x",'May 2027'!P30="X"),1,0))</f>
        <v/>
      </c>
      <c r="Z232" s="345">
        <f>IF($A232="","",IF(OR('May 2027'!P31=TRUE,'May 2027'!P31="x",'May 2027'!P31="X"),1,0))</f>
        <v/>
      </c>
      <c r="AA232" s="345">
        <f>IF($A232="","",IF(OR('May 2027'!P32=TRUE,'May 2027'!P32="x",'May 2027'!P32="X"),1,0))</f>
        <v/>
      </c>
      <c r="AB232" s="345">
        <f>IF($A232="","",IF(OR('May 2027'!P34=TRUE,'May 2027'!P34="x",'May 2027'!P34="X"),1,0))</f>
        <v/>
      </c>
      <c r="AC232" s="345">
        <f>IF($A232="","",IF(OR('May 2027'!P35=TRUE,'May 2027'!P35="x",'May 2027'!P35="X"),1,0))</f>
        <v/>
      </c>
      <c r="AD232" s="345">
        <f>IF($A232="","",IF(OR('May 2027'!P36=TRUE,'May 2027'!P36="x",'May 2027'!P36="X"),1,0))</f>
        <v/>
      </c>
      <c r="AE232" s="345">
        <f>IF($A232="","",IF(OR('May 2027'!P37=TRUE,'May 2027'!P37="x",'May 2027'!P37="X"),1,0))</f>
        <v/>
      </c>
      <c r="AF232" s="345">
        <f>IF($A232="","",IF('May 2027'!P59="","",'May 2027'!P59))</f>
        <v/>
      </c>
      <c r="AG232" s="345">
        <f>IF($A232="","",IF('May 2027'!P60="","",'May 2027'!P60))</f>
        <v/>
      </c>
      <c r="AH232" s="345">
        <f>IF($A232="","",IF('May 2027'!P61="","",'May 2027'!P61))</f>
        <v/>
      </c>
      <c r="AI232" s="345">
        <f>IF($A232="","",IF('May 2027'!P62="","",'May 2027'!P62))</f>
        <v/>
      </c>
      <c r="AJ232" s="345">
        <f>IF($A232="","",IF('May 2027'!P63="","",'May 2027'!P63))</f>
        <v/>
      </c>
      <c r="AK232" s="345">
        <f>IF($A232="","",IF('May 2027'!P64="","",'May 2027'!P64))</f>
        <v/>
      </c>
      <c r="AL232" s="345">
        <f>IF($A232="","",IF('May 2027'!P65="","",'May 2027'!P65))</f>
        <v/>
      </c>
      <c r="AM232" s="345">
        <f>IF($A232="","",IF('May 2027'!P66="","",'May 2027'!P66))</f>
        <v/>
      </c>
      <c r="AN232" s="345">
        <f>IF($A232="","",IF('May 2027'!P67="","",'May 2027'!P67))</f>
        <v/>
      </c>
      <c r="AO232" s="345">
        <f>IF($A232="",0,IF(AND($A232&gt;=TrackStart,$A232&lt;=TODAY()),1,0))</f>
        <v/>
      </c>
      <c r="AP232" s="345">
        <f>IF($A232="",0,IF(SUM(F232:AE232)+COUNT(AF232:AN232)&gt;0,1,0))</f>
        <v/>
      </c>
      <c r="AQ232" s="345">
        <f>IF($A232="","",INT(($A232-TrackStart)/7)+1)</f>
        <v/>
      </c>
      <c r="AR232" s="345">
        <f>IF($A232="","",IF(AQ232&lt;=1,Steps1,IF(AQ232=2,Steps2,Steps3)))</f>
        <v/>
      </c>
      <c r="AS232" s="345">
        <f>IF($A232="",0,IF(ISNUMBER(SEARCH(TEXT(D232,"0"),WorkDays&amp;"")),1,0))</f>
        <v/>
      </c>
      <c r="AT232" s="345">
        <f>IF($A232="",0,IF(ISNUMBER(SEARCH(TEXT(D232,"0"),StrDays&amp;"")),1,0))</f>
        <v/>
      </c>
      <c r="AU232" s="345">
        <f>IF($A232="",0,IF(ISNUMBER(AK232),IF(AK232&gt;=SleepMin,1,0),N232))</f>
        <v/>
      </c>
      <c r="AV232" s="345">
        <f>IF($A232="",0,MAX(I232,O232,S232,AC232))</f>
        <v/>
      </c>
      <c r="AW232" s="345">
        <f>IF($A232="",0,IF(ISNUMBER(AH232),IF(AH232&gt;=ProtHit,1,0),0))</f>
        <v/>
      </c>
      <c r="AX232" s="345">
        <f>IF($A232="",0,IF(ISNUMBER(AI232),IF(AI232&gt;=WaterHit,1,0),0))</f>
        <v/>
      </c>
      <c r="AY232" s="345">
        <f>IF($A232="",0,IF(ISNUMBER(AG232),IF(AG232&gt;=AR232,1,0),0))</f>
        <v/>
      </c>
      <c r="AZ232" s="345">
        <f>IF($A232="",0,G232)</f>
        <v/>
      </c>
      <c r="BA232" s="345">
        <f>IF($A232="",0,J232)</f>
        <v/>
      </c>
      <c r="BB232" s="345">
        <f>IF($A232="",0,K232)</f>
        <v/>
      </c>
      <c r="BC232" s="345">
        <f>IF($A232="",0,MAX(L232,AE232))</f>
        <v/>
      </c>
      <c r="BD232" s="344">
        <f>IF($A232="","",(AU232+AV232+AW232+AX232+AY232+AZ232+BB232+BC232+IF(AS232=1,BA232,0))/(8+AS232))</f>
        <v/>
      </c>
      <c r="BE232" s="344">
        <f>IF($A232="","",(IF(ISNUMBER(AI232),IF(AI232&gt;=WaterMVD,1,0),0)+AV232+IF(ISNUMBER(AH232),IF(AH232&gt;=ProtMVD,1,0),0)+MAX(H232,AD232)+AZ232+BB232+AU232)/7)</f>
        <v/>
      </c>
      <c r="BF232" s="344">
        <f>IF(AO232=0,"",IF(E232="S","",IF(AND(AP232=0,$A232=TODAY()),"",IF(E232="M",BE232,BD232))))</f>
        <v/>
      </c>
      <c r="BG232" s="344">
        <f>IF(AO232=0,"",IFERROR(AVERAGEIFS(Data!$BF$4:$BF$375,Data!$A$4:$A$375,"&gt;"&amp;($A232-7),Data!$A$4:$A$375,"&lt;="&amp;$A232),""))</f>
        <v/>
      </c>
      <c r="BH232" s="344">
        <f>IF(AO232=0,"",IFERROR(AVERAGEIFS(Data!$BF$4:$BF$375,Data!$A$4:$A$375,"&gt;"&amp;($A232-30),Data!$A$4:$A$375,"&lt;="&amp;$A232),""))</f>
        <v/>
      </c>
      <c r="BI232" s="359">
        <f>IF($A232="","",IFERROR(AVERAGEIFS(Data!$AF$4:$AF$375,Data!$A$4:$A$375,"&gt;"&amp;($A232-7),Data!$A$4:$A$375,"&lt;="&amp;$A232,Data!$AF$4:$AF$375,"&gt;0"),""))</f>
        <v/>
      </c>
      <c r="BJ232" s="345">
        <f>IF($A232="","",F232+G232+H232+I232+J232+K232+L232+M232+N232-IF(AS232=1,0,J232))</f>
        <v/>
      </c>
      <c r="BK232" s="345">
        <f>IF($A232="","",8+AS232)</f>
        <v/>
      </c>
      <c r="BL232" s="345">
        <f>IF(ISNUMBER(BF232),BF232,NA())</f>
        <v/>
      </c>
      <c r="BM232" s="345">
        <f>IF(ISNUMBER(AF232),AF232,NA())</f>
        <v/>
      </c>
      <c r="BN232" s="345">
        <f>IF(ISNUMBER(BI232),BI232,NA())</f>
        <v/>
      </c>
      <c r="BO232" s="345">
        <f>IF(ISNUMBER(AL232),AL232,NA())</f>
        <v/>
      </c>
      <c r="BP232" s="345">
        <f>IF(ISNUMBER(AM232),AM232,NA())</f>
        <v/>
      </c>
      <c r="BQ232" s="345">
        <f>IF(ISNUMBER(AN232),AN232,NA())</f>
        <v/>
      </c>
    </row>
    <row r="233">
      <c r="A233" s="358">
        <f>IF('May 2027'!Q7="","",'May 2027'!Q7)</f>
        <v/>
      </c>
      <c r="B233" s="345" t="n">
        <v>8</v>
      </c>
      <c r="C233" s="345">
        <f>IF($A233="","",13)</f>
        <v/>
      </c>
      <c r="D233" s="345">
        <f>IF($A233="","",WEEKDAY($A233,2))</f>
        <v/>
      </c>
      <c r="E233" s="345">
        <f>IF($A233="","",UPPER(TRIM('May 2027'!Q8)))</f>
        <v/>
      </c>
      <c r="F233" s="345">
        <f>IF($A233="","",IF(OR('May 2027'!Q10=TRUE,'May 2027'!Q10="x",'May 2027'!Q10="X"),1,0))</f>
        <v/>
      </c>
      <c r="G233" s="345">
        <f>IF($A233="","",IF(OR('May 2027'!Q11=TRUE,'May 2027'!Q11="x",'May 2027'!Q11="X"),1,0))</f>
        <v/>
      </c>
      <c r="H233" s="345">
        <f>IF($A233="","",IF(OR('May 2027'!Q12=TRUE,'May 2027'!Q12="x",'May 2027'!Q12="X"),1,0))</f>
        <v/>
      </c>
      <c r="I233" s="345">
        <f>IF($A233="","",IF(OR('May 2027'!Q13=TRUE,'May 2027'!Q13="x",'May 2027'!Q13="X"),1,0))</f>
        <v/>
      </c>
      <c r="J233" s="345">
        <f>IF($A233="","",IF(OR('May 2027'!Q14=TRUE,'May 2027'!Q14="x",'May 2027'!Q14="X"),1,0))</f>
        <v/>
      </c>
      <c r="K233" s="345">
        <f>IF($A233="","",IF(OR('May 2027'!Q15=TRUE,'May 2027'!Q15="x",'May 2027'!Q15="X"),1,0))</f>
        <v/>
      </c>
      <c r="L233" s="345">
        <f>IF($A233="","",IF(OR('May 2027'!Q16=TRUE,'May 2027'!Q16="x",'May 2027'!Q16="X"),1,0))</f>
        <v/>
      </c>
      <c r="M233" s="345">
        <f>IF($A233="","",IF(OR('May 2027'!Q17=TRUE,'May 2027'!Q17="x",'May 2027'!Q17="X"),1,0))</f>
        <v/>
      </c>
      <c r="N233" s="345">
        <f>IF($A233="","",IF(OR('May 2027'!Q18=TRUE,'May 2027'!Q18="x",'May 2027'!Q18="X"),1,0))</f>
        <v/>
      </c>
      <c r="O233" s="345">
        <f>IF($A233="","",IF(OR('May 2027'!Q20=TRUE,'May 2027'!Q20="x",'May 2027'!Q20="X"),1,0))</f>
        <v/>
      </c>
      <c r="P233" s="345">
        <f>IF($A233="","",IF(OR('May 2027'!Q21=TRUE,'May 2027'!Q21="x",'May 2027'!Q21="X"),1,0))</f>
        <v/>
      </c>
      <c r="Q233" s="345">
        <f>IF($A233="","",IF(OR('May 2027'!Q22=TRUE,'May 2027'!Q22="x",'May 2027'!Q22="X"),1,0))</f>
        <v/>
      </c>
      <c r="R233" s="345">
        <f>IF($A233="","",IF(OR('May 2027'!Q23=TRUE,'May 2027'!Q23="x",'May 2027'!Q23="X"),1,0))</f>
        <v/>
      </c>
      <c r="S233" s="345">
        <f>IF($A233="","",IF(OR('May 2027'!Q24=TRUE,'May 2027'!Q24="x",'May 2027'!Q24="X"),1,0))</f>
        <v/>
      </c>
      <c r="T233" s="345">
        <f>IF($A233="","",IF(OR('May 2027'!Q25=TRUE,'May 2027'!Q25="x",'May 2027'!Q25="X"),1,0))</f>
        <v/>
      </c>
      <c r="U233" s="345">
        <f>IF($A233="","",IF(OR('May 2027'!Q26=TRUE,'May 2027'!Q26="x",'May 2027'!Q26="X"),1,0))</f>
        <v/>
      </c>
      <c r="V233" s="345">
        <f>IF($A233="","",IF(OR('May 2027'!Q27=TRUE,'May 2027'!Q27="x",'May 2027'!Q27="X"),1,0))</f>
        <v/>
      </c>
      <c r="W233" s="345">
        <f>IF($A233="","",IF(OR('May 2027'!Q28=TRUE,'May 2027'!Q28="x",'May 2027'!Q28="X"),1,0))</f>
        <v/>
      </c>
      <c r="X233" s="345">
        <f>IF($A233="","",IF(OR('May 2027'!Q29=TRUE,'May 2027'!Q29="x",'May 2027'!Q29="X"),1,0))</f>
        <v/>
      </c>
      <c r="Y233" s="345">
        <f>IF($A233="","",IF(OR('May 2027'!Q30=TRUE,'May 2027'!Q30="x",'May 2027'!Q30="X"),1,0))</f>
        <v/>
      </c>
      <c r="Z233" s="345">
        <f>IF($A233="","",IF(OR('May 2027'!Q31=TRUE,'May 2027'!Q31="x",'May 2027'!Q31="X"),1,0))</f>
        <v/>
      </c>
      <c r="AA233" s="345">
        <f>IF($A233="","",IF(OR('May 2027'!Q32=TRUE,'May 2027'!Q32="x",'May 2027'!Q32="X"),1,0))</f>
        <v/>
      </c>
      <c r="AB233" s="345">
        <f>IF($A233="","",IF(OR('May 2027'!Q34=TRUE,'May 2027'!Q34="x",'May 2027'!Q34="X"),1,0))</f>
        <v/>
      </c>
      <c r="AC233" s="345">
        <f>IF($A233="","",IF(OR('May 2027'!Q35=TRUE,'May 2027'!Q35="x",'May 2027'!Q35="X"),1,0))</f>
        <v/>
      </c>
      <c r="AD233" s="345">
        <f>IF($A233="","",IF(OR('May 2027'!Q36=TRUE,'May 2027'!Q36="x",'May 2027'!Q36="X"),1,0))</f>
        <v/>
      </c>
      <c r="AE233" s="345">
        <f>IF($A233="","",IF(OR('May 2027'!Q37=TRUE,'May 2027'!Q37="x",'May 2027'!Q37="X"),1,0))</f>
        <v/>
      </c>
      <c r="AF233" s="345">
        <f>IF($A233="","",IF('May 2027'!Q59="","",'May 2027'!Q59))</f>
        <v/>
      </c>
      <c r="AG233" s="345">
        <f>IF($A233="","",IF('May 2027'!Q60="","",'May 2027'!Q60))</f>
        <v/>
      </c>
      <c r="AH233" s="345">
        <f>IF($A233="","",IF('May 2027'!Q61="","",'May 2027'!Q61))</f>
        <v/>
      </c>
      <c r="AI233" s="345">
        <f>IF($A233="","",IF('May 2027'!Q62="","",'May 2027'!Q62))</f>
        <v/>
      </c>
      <c r="AJ233" s="345">
        <f>IF($A233="","",IF('May 2027'!Q63="","",'May 2027'!Q63))</f>
        <v/>
      </c>
      <c r="AK233" s="345">
        <f>IF($A233="","",IF('May 2027'!Q64="","",'May 2027'!Q64))</f>
        <v/>
      </c>
      <c r="AL233" s="345">
        <f>IF($A233="","",IF('May 2027'!Q65="","",'May 2027'!Q65))</f>
        <v/>
      </c>
      <c r="AM233" s="345">
        <f>IF($A233="","",IF('May 2027'!Q66="","",'May 2027'!Q66))</f>
        <v/>
      </c>
      <c r="AN233" s="345">
        <f>IF($A233="","",IF('May 2027'!Q67="","",'May 2027'!Q67))</f>
        <v/>
      </c>
      <c r="AO233" s="345">
        <f>IF($A233="",0,IF(AND($A233&gt;=TrackStart,$A233&lt;=TODAY()),1,0))</f>
        <v/>
      </c>
      <c r="AP233" s="345">
        <f>IF($A233="",0,IF(SUM(F233:AE233)+COUNT(AF233:AN233)&gt;0,1,0))</f>
        <v/>
      </c>
      <c r="AQ233" s="345">
        <f>IF($A233="","",INT(($A233-TrackStart)/7)+1)</f>
        <v/>
      </c>
      <c r="AR233" s="345">
        <f>IF($A233="","",IF(AQ233&lt;=1,Steps1,IF(AQ233=2,Steps2,Steps3)))</f>
        <v/>
      </c>
      <c r="AS233" s="345">
        <f>IF($A233="",0,IF(ISNUMBER(SEARCH(TEXT(D233,"0"),WorkDays&amp;"")),1,0))</f>
        <v/>
      </c>
      <c r="AT233" s="345">
        <f>IF($A233="",0,IF(ISNUMBER(SEARCH(TEXT(D233,"0"),StrDays&amp;"")),1,0))</f>
        <v/>
      </c>
      <c r="AU233" s="345">
        <f>IF($A233="",0,IF(ISNUMBER(AK233),IF(AK233&gt;=SleepMin,1,0),N233))</f>
        <v/>
      </c>
      <c r="AV233" s="345">
        <f>IF($A233="",0,MAX(I233,O233,S233,AC233))</f>
        <v/>
      </c>
      <c r="AW233" s="345">
        <f>IF($A233="",0,IF(ISNUMBER(AH233),IF(AH233&gt;=ProtHit,1,0),0))</f>
        <v/>
      </c>
      <c r="AX233" s="345">
        <f>IF($A233="",0,IF(ISNUMBER(AI233),IF(AI233&gt;=WaterHit,1,0),0))</f>
        <v/>
      </c>
      <c r="AY233" s="345">
        <f>IF($A233="",0,IF(ISNUMBER(AG233),IF(AG233&gt;=AR233,1,0),0))</f>
        <v/>
      </c>
      <c r="AZ233" s="345">
        <f>IF($A233="",0,G233)</f>
        <v/>
      </c>
      <c r="BA233" s="345">
        <f>IF($A233="",0,J233)</f>
        <v/>
      </c>
      <c r="BB233" s="345">
        <f>IF($A233="",0,K233)</f>
        <v/>
      </c>
      <c r="BC233" s="345">
        <f>IF($A233="",0,MAX(L233,AE233))</f>
        <v/>
      </c>
      <c r="BD233" s="344">
        <f>IF($A233="","",(AU233+AV233+AW233+AX233+AY233+AZ233+BB233+BC233+IF(AS233=1,BA233,0))/(8+AS233))</f>
        <v/>
      </c>
      <c r="BE233" s="344">
        <f>IF($A233="","",(IF(ISNUMBER(AI233),IF(AI233&gt;=WaterMVD,1,0),0)+AV233+IF(ISNUMBER(AH233),IF(AH233&gt;=ProtMVD,1,0),0)+MAX(H233,AD233)+AZ233+BB233+AU233)/7)</f>
        <v/>
      </c>
      <c r="BF233" s="344">
        <f>IF(AO233=0,"",IF(E233="S","",IF(AND(AP233=0,$A233=TODAY()),"",IF(E233="M",BE233,BD233))))</f>
        <v/>
      </c>
      <c r="BG233" s="344">
        <f>IF(AO233=0,"",IFERROR(AVERAGEIFS(Data!$BF$4:$BF$375,Data!$A$4:$A$375,"&gt;"&amp;($A233-7),Data!$A$4:$A$375,"&lt;="&amp;$A233),""))</f>
        <v/>
      </c>
      <c r="BH233" s="344">
        <f>IF(AO233=0,"",IFERROR(AVERAGEIFS(Data!$BF$4:$BF$375,Data!$A$4:$A$375,"&gt;"&amp;($A233-30),Data!$A$4:$A$375,"&lt;="&amp;$A233),""))</f>
        <v/>
      </c>
      <c r="BI233" s="359">
        <f>IF($A233="","",IFERROR(AVERAGEIFS(Data!$AF$4:$AF$375,Data!$A$4:$A$375,"&gt;"&amp;($A233-7),Data!$A$4:$A$375,"&lt;="&amp;$A233,Data!$AF$4:$AF$375,"&gt;0"),""))</f>
        <v/>
      </c>
      <c r="BJ233" s="345">
        <f>IF($A233="","",F233+G233+H233+I233+J233+K233+L233+M233+N233-IF(AS233=1,0,J233))</f>
        <v/>
      </c>
      <c r="BK233" s="345">
        <f>IF($A233="","",8+AS233)</f>
        <v/>
      </c>
      <c r="BL233" s="345">
        <f>IF(ISNUMBER(BF233),BF233,NA())</f>
        <v/>
      </c>
      <c r="BM233" s="345">
        <f>IF(ISNUMBER(AF233),AF233,NA())</f>
        <v/>
      </c>
      <c r="BN233" s="345">
        <f>IF(ISNUMBER(BI233),BI233,NA())</f>
        <v/>
      </c>
      <c r="BO233" s="345">
        <f>IF(ISNUMBER(AL233),AL233,NA())</f>
        <v/>
      </c>
      <c r="BP233" s="345">
        <f>IF(ISNUMBER(AM233),AM233,NA())</f>
        <v/>
      </c>
      <c r="BQ233" s="345">
        <f>IF(ISNUMBER(AN233),AN233,NA())</f>
        <v/>
      </c>
    </row>
    <row r="234">
      <c r="A234" s="358">
        <f>IF('May 2027'!R7="","",'May 2027'!R7)</f>
        <v/>
      </c>
      <c r="B234" s="345" t="n">
        <v>8</v>
      </c>
      <c r="C234" s="345">
        <f>IF($A234="","",14)</f>
        <v/>
      </c>
      <c r="D234" s="345">
        <f>IF($A234="","",WEEKDAY($A234,2))</f>
        <v/>
      </c>
      <c r="E234" s="345">
        <f>IF($A234="","",UPPER(TRIM('May 2027'!R8)))</f>
        <v/>
      </c>
      <c r="F234" s="345">
        <f>IF($A234="","",IF(OR('May 2027'!R10=TRUE,'May 2027'!R10="x",'May 2027'!R10="X"),1,0))</f>
        <v/>
      </c>
      <c r="G234" s="345">
        <f>IF($A234="","",IF(OR('May 2027'!R11=TRUE,'May 2027'!R11="x",'May 2027'!R11="X"),1,0))</f>
        <v/>
      </c>
      <c r="H234" s="345">
        <f>IF($A234="","",IF(OR('May 2027'!R12=TRUE,'May 2027'!R12="x",'May 2027'!R12="X"),1,0))</f>
        <v/>
      </c>
      <c r="I234" s="345">
        <f>IF($A234="","",IF(OR('May 2027'!R13=TRUE,'May 2027'!R13="x",'May 2027'!R13="X"),1,0))</f>
        <v/>
      </c>
      <c r="J234" s="345">
        <f>IF($A234="","",IF(OR('May 2027'!R14=TRUE,'May 2027'!R14="x",'May 2027'!R14="X"),1,0))</f>
        <v/>
      </c>
      <c r="K234" s="345">
        <f>IF($A234="","",IF(OR('May 2027'!R15=TRUE,'May 2027'!R15="x",'May 2027'!R15="X"),1,0))</f>
        <v/>
      </c>
      <c r="L234" s="345">
        <f>IF($A234="","",IF(OR('May 2027'!R16=TRUE,'May 2027'!R16="x",'May 2027'!R16="X"),1,0))</f>
        <v/>
      </c>
      <c r="M234" s="345">
        <f>IF($A234="","",IF(OR('May 2027'!R17=TRUE,'May 2027'!R17="x",'May 2027'!R17="X"),1,0))</f>
        <v/>
      </c>
      <c r="N234" s="345">
        <f>IF($A234="","",IF(OR('May 2027'!R18=TRUE,'May 2027'!R18="x",'May 2027'!R18="X"),1,0))</f>
        <v/>
      </c>
      <c r="O234" s="345">
        <f>IF($A234="","",IF(OR('May 2027'!R20=TRUE,'May 2027'!R20="x",'May 2027'!R20="X"),1,0))</f>
        <v/>
      </c>
      <c r="P234" s="345">
        <f>IF($A234="","",IF(OR('May 2027'!R21=TRUE,'May 2027'!R21="x",'May 2027'!R21="X"),1,0))</f>
        <v/>
      </c>
      <c r="Q234" s="345">
        <f>IF($A234="","",IF(OR('May 2027'!R22=TRUE,'May 2027'!R22="x",'May 2027'!R22="X"),1,0))</f>
        <v/>
      </c>
      <c r="R234" s="345">
        <f>IF($A234="","",IF(OR('May 2027'!R23=TRUE,'May 2027'!R23="x",'May 2027'!R23="X"),1,0))</f>
        <v/>
      </c>
      <c r="S234" s="345">
        <f>IF($A234="","",IF(OR('May 2027'!R24=TRUE,'May 2027'!R24="x",'May 2027'!R24="X"),1,0))</f>
        <v/>
      </c>
      <c r="T234" s="345">
        <f>IF($A234="","",IF(OR('May 2027'!R25=TRUE,'May 2027'!R25="x",'May 2027'!R25="X"),1,0))</f>
        <v/>
      </c>
      <c r="U234" s="345">
        <f>IF($A234="","",IF(OR('May 2027'!R26=TRUE,'May 2027'!R26="x",'May 2027'!R26="X"),1,0))</f>
        <v/>
      </c>
      <c r="V234" s="345">
        <f>IF($A234="","",IF(OR('May 2027'!R27=TRUE,'May 2027'!R27="x",'May 2027'!R27="X"),1,0))</f>
        <v/>
      </c>
      <c r="W234" s="345">
        <f>IF($A234="","",IF(OR('May 2027'!R28=TRUE,'May 2027'!R28="x",'May 2027'!R28="X"),1,0))</f>
        <v/>
      </c>
      <c r="X234" s="345">
        <f>IF($A234="","",IF(OR('May 2027'!R29=TRUE,'May 2027'!R29="x",'May 2027'!R29="X"),1,0))</f>
        <v/>
      </c>
      <c r="Y234" s="345">
        <f>IF($A234="","",IF(OR('May 2027'!R30=TRUE,'May 2027'!R30="x",'May 2027'!R30="X"),1,0))</f>
        <v/>
      </c>
      <c r="Z234" s="345">
        <f>IF($A234="","",IF(OR('May 2027'!R31=TRUE,'May 2027'!R31="x",'May 2027'!R31="X"),1,0))</f>
        <v/>
      </c>
      <c r="AA234" s="345">
        <f>IF($A234="","",IF(OR('May 2027'!R32=TRUE,'May 2027'!R32="x",'May 2027'!R32="X"),1,0))</f>
        <v/>
      </c>
      <c r="AB234" s="345">
        <f>IF($A234="","",IF(OR('May 2027'!R34=TRUE,'May 2027'!R34="x",'May 2027'!R34="X"),1,0))</f>
        <v/>
      </c>
      <c r="AC234" s="345">
        <f>IF($A234="","",IF(OR('May 2027'!R35=TRUE,'May 2027'!R35="x",'May 2027'!R35="X"),1,0))</f>
        <v/>
      </c>
      <c r="AD234" s="345">
        <f>IF($A234="","",IF(OR('May 2027'!R36=TRUE,'May 2027'!R36="x",'May 2027'!R36="X"),1,0))</f>
        <v/>
      </c>
      <c r="AE234" s="345">
        <f>IF($A234="","",IF(OR('May 2027'!R37=TRUE,'May 2027'!R37="x",'May 2027'!R37="X"),1,0))</f>
        <v/>
      </c>
      <c r="AF234" s="345">
        <f>IF($A234="","",IF('May 2027'!R59="","",'May 2027'!R59))</f>
        <v/>
      </c>
      <c r="AG234" s="345">
        <f>IF($A234="","",IF('May 2027'!R60="","",'May 2027'!R60))</f>
        <v/>
      </c>
      <c r="AH234" s="345">
        <f>IF($A234="","",IF('May 2027'!R61="","",'May 2027'!R61))</f>
        <v/>
      </c>
      <c r="AI234" s="345">
        <f>IF($A234="","",IF('May 2027'!R62="","",'May 2027'!R62))</f>
        <v/>
      </c>
      <c r="AJ234" s="345">
        <f>IF($A234="","",IF('May 2027'!R63="","",'May 2027'!R63))</f>
        <v/>
      </c>
      <c r="AK234" s="345">
        <f>IF($A234="","",IF('May 2027'!R64="","",'May 2027'!R64))</f>
        <v/>
      </c>
      <c r="AL234" s="345">
        <f>IF($A234="","",IF('May 2027'!R65="","",'May 2027'!R65))</f>
        <v/>
      </c>
      <c r="AM234" s="345">
        <f>IF($A234="","",IF('May 2027'!R66="","",'May 2027'!R66))</f>
        <v/>
      </c>
      <c r="AN234" s="345">
        <f>IF($A234="","",IF('May 2027'!R67="","",'May 2027'!R67))</f>
        <v/>
      </c>
      <c r="AO234" s="345">
        <f>IF($A234="",0,IF(AND($A234&gt;=TrackStart,$A234&lt;=TODAY()),1,0))</f>
        <v/>
      </c>
      <c r="AP234" s="345">
        <f>IF($A234="",0,IF(SUM(F234:AE234)+COUNT(AF234:AN234)&gt;0,1,0))</f>
        <v/>
      </c>
      <c r="AQ234" s="345">
        <f>IF($A234="","",INT(($A234-TrackStart)/7)+1)</f>
        <v/>
      </c>
      <c r="AR234" s="345">
        <f>IF($A234="","",IF(AQ234&lt;=1,Steps1,IF(AQ234=2,Steps2,Steps3)))</f>
        <v/>
      </c>
      <c r="AS234" s="345">
        <f>IF($A234="",0,IF(ISNUMBER(SEARCH(TEXT(D234,"0"),WorkDays&amp;"")),1,0))</f>
        <v/>
      </c>
      <c r="AT234" s="345">
        <f>IF($A234="",0,IF(ISNUMBER(SEARCH(TEXT(D234,"0"),StrDays&amp;"")),1,0))</f>
        <v/>
      </c>
      <c r="AU234" s="345">
        <f>IF($A234="",0,IF(ISNUMBER(AK234),IF(AK234&gt;=SleepMin,1,0),N234))</f>
        <v/>
      </c>
      <c r="AV234" s="345">
        <f>IF($A234="",0,MAX(I234,O234,S234,AC234))</f>
        <v/>
      </c>
      <c r="AW234" s="345">
        <f>IF($A234="",0,IF(ISNUMBER(AH234),IF(AH234&gt;=ProtHit,1,0),0))</f>
        <v/>
      </c>
      <c r="AX234" s="345">
        <f>IF($A234="",0,IF(ISNUMBER(AI234),IF(AI234&gt;=WaterHit,1,0),0))</f>
        <v/>
      </c>
      <c r="AY234" s="345">
        <f>IF($A234="",0,IF(ISNUMBER(AG234),IF(AG234&gt;=AR234,1,0),0))</f>
        <v/>
      </c>
      <c r="AZ234" s="345">
        <f>IF($A234="",0,G234)</f>
        <v/>
      </c>
      <c r="BA234" s="345">
        <f>IF($A234="",0,J234)</f>
        <v/>
      </c>
      <c r="BB234" s="345">
        <f>IF($A234="",0,K234)</f>
        <v/>
      </c>
      <c r="BC234" s="345">
        <f>IF($A234="",0,MAX(L234,AE234))</f>
        <v/>
      </c>
      <c r="BD234" s="344">
        <f>IF($A234="","",(AU234+AV234+AW234+AX234+AY234+AZ234+BB234+BC234+IF(AS234=1,BA234,0))/(8+AS234))</f>
        <v/>
      </c>
      <c r="BE234" s="344">
        <f>IF($A234="","",(IF(ISNUMBER(AI234),IF(AI234&gt;=WaterMVD,1,0),0)+AV234+IF(ISNUMBER(AH234),IF(AH234&gt;=ProtMVD,1,0),0)+MAX(H234,AD234)+AZ234+BB234+AU234)/7)</f>
        <v/>
      </c>
      <c r="BF234" s="344">
        <f>IF(AO234=0,"",IF(E234="S","",IF(AND(AP234=0,$A234=TODAY()),"",IF(E234="M",BE234,BD234))))</f>
        <v/>
      </c>
      <c r="BG234" s="344">
        <f>IF(AO234=0,"",IFERROR(AVERAGEIFS(Data!$BF$4:$BF$375,Data!$A$4:$A$375,"&gt;"&amp;($A234-7),Data!$A$4:$A$375,"&lt;="&amp;$A234),""))</f>
        <v/>
      </c>
      <c r="BH234" s="344">
        <f>IF(AO234=0,"",IFERROR(AVERAGEIFS(Data!$BF$4:$BF$375,Data!$A$4:$A$375,"&gt;"&amp;($A234-30),Data!$A$4:$A$375,"&lt;="&amp;$A234),""))</f>
        <v/>
      </c>
      <c r="BI234" s="359">
        <f>IF($A234="","",IFERROR(AVERAGEIFS(Data!$AF$4:$AF$375,Data!$A$4:$A$375,"&gt;"&amp;($A234-7),Data!$A$4:$A$375,"&lt;="&amp;$A234,Data!$AF$4:$AF$375,"&gt;0"),""))</f>
        <v/>
      </c>
      <c r="BJ234" s="345">
        <f>IF($A234="","",F234+G234+H234+I234+J234+K234+L234+M234+N234-IF(AS234=1,0,J234))</f>
        <v/>
      </c>
      <c r="BK234" s="345">
        <f>IF($A234="","",8+AS234)</f>
        <v/>
      </c>
      <c r="BL234" s="345">
        <f>IF(ISNUMBER(BF234),BF234,NA())</f>
        <v/>
      </c>
      <c r="BM234" s="345">
        <f>IF(ISNUMBER(AF234),AF234,NA())</f>
        <v/>
      </c>
      <c r="BN234" s="345">
        <f>IF(ISNUMBER(BI234),BI234,NA())</f>
        <v/>
      </c>
      <c r="BO234" s="345">
        <f>IF(ISNUMBER(AL234),AL234,NA())</f>
        <v/>
      </c>
      <c r="BP234" s="345">
        <f>IF(ISNUMBER(AM234),AM234,NA())</f>
        <v/>
      </c>
      <c r="BQ234" s="345">
        <f>IF(ISNUMBER(AN234),AN234,NA())</f>
        <v/>
      </c>
    </row>
    <row r="235">
      <c r="A235" s="358">
        <f>IF('May 2027'!S7="","",'May 2027'!S7)</f>
        <v/>
      </c>
      <c r="B235" s="345" t="n">
        <v>8</v>
      </c>
      <c r="C235" s="345">
        <f>IF($A235="","",15)</f>
        <v/>
      </c>
      <c r="D235" s="345">
        <f>IF($A235="","",WEEKDAY($A235,2))</f>
        <v/>
      </c>
      <c r="E235" s="345">
        <f>IF($A235="","",UPPER(TRIM('May 2027'!S8)))</f>
        <v/>
      </c>
      <c r="F235" s="345">
        <f>IF($A235="","",IF(OR('May 2027'!S10=TRUE,'May 2027'!S10="x",'May 2027'!S10="X"),1,0))</f>
        <v/>
      </c>
      <c r="G235" s="345">
        <f>IF($A235="","",IF(OR('May 2027'!S11=TRUE,'May 2027'!S11="x",'May 2027'!S11="X"),1,0))</f>
        <v/>
      </c>
      <c r="H235" s="345">
        <f>IF($A235="","",IF(OR('May 2027'!S12=TRUE,'May 2027'!S12="x",'May 2027'!S12="X"),1,0))</f>
        <v/>
      </c>
      <c r="I235" s="345">
        <f>IF($A235="","",IF(OR('May 2027'!S13=TRUE,'May 2027'!S13="x",'May 2027'!S13="X"),1,0))</f>
        <v/>
      </c>
      <c r="J235" s="345">
        <f>IF($A235="","",IF(OR('May 2027'!S14=TRUE,'May 2027'!S14="x",'May 2027'!S14="X"),1,0))</f>
        <v/>
      </c>
      <c r="K235" s="345">
        <f>IF($A235="","",IF(OR('May 2027'!S15=TRUE,'May 2027'!S15="x",'May 2027'!S15="X"),1,0))</f>
        <v/>
      </c>
      <c r="L235" s="345">
        <f>IF($A235="","",IF(OR('May 2027'!S16=TRUE,'May 2027'!S16="x",'May 2027'!S16="X"),1,0))</f>
        <v/>
      </c>
      <c r="M235" s="345">
        <f>IF($A235="","",IF(OR('May 2027'!S17=TRUE,'May 2027'!S17="x",'May 2027'!S17="X"),1,0))</f>
        <v/>
      </c>
      <c r="N235" s="345">
        <f>IF($A235="","",IF(OR('May 2027'!S18=TRUE,'May 2027'!S18="x",'May 2027'!S18="X"),1,0))</f>
        <v/>
      </c>
      <c r="O235" s="345">
        <f>IF($A235="","",IF(OR('May 2027'!S20=TRUE,'May 2027'!S20="x",'May 2027'!S20="X"),1,0))</f>
        <v/>
      </c>
      <c r="P235" s="345">
        <f>IF($A235="","",IF(OR('May 2027'!S21=TRUE,'May 2027'!S21="x",'May 2027'!S21="X"),1,0))</f>
        <v/>
      </c>
      <c r="Q235" s="345">
        <f>IF($A235="","",IF(OR('May 2027'!S22=TRUE,'May 2027'!S22="x",'May 2027'!S22="X"),1,0))</f>
        <v/>
      </c>
      <c r="R235" s="345">
        <f>IF($A235="","",IF(OR('May 2027'!S23=TRUE,'May 2027'!S23="x",'May 2027'!S23="X"),1,0))</f>
        <v/>
      </c>
      <c r="S235" s="345">
        <f>IF($A235="","",IF(OR('May 2027'!S24=TRUE,'May 2027'!S24="x",'May 2027'!S24="X"),1,0))</f>
        <v/>
      </c>
      <c r="T235" s="345">
        <f>IF($A235="","",IF(OR('May 2027'!S25=TRUE,'May 2027'!S25="x",'May 2027'!S25="X"),1,0))</f>
        <v/>
      </c>
      <c r="U235" s="345">
        <f>IF($A235="","",IF(OR('May 2027'!S26=TRUE,'May 2027'!S26="x",'May 2027'!S26="X"),1,0))</f>
        <v/>
      </c>
      <c r="V235" s="345">
        <f>IF($A235="","",IF(OR('May 2027'!S27=TRUE,'May 2027'!S27="x",'May 2027'!S27="X"),1,0))</f>
        <v/>
      </c>
      <c r="W235" s="345">
        <f>IF($A235="","",IF(OR('May 2027'!S28=TRUE,'May 2027'!S28="x",'May 2027'!S28="X"),1,0))</f>
        <v/>
      </c>
      <c r="X235" s="345">
        <f>IF($A235="","",IF(OR('May 2027'!S29=TRUE,'May 2027'!S29="x",'May 2027'!S29="X"),1,0))</f>
        <v/>
      </c>
      <c r="Y235" s="345">
        <f>IF($A235="","",IF(OR('May 2027'!S30=TRUE,'May 2027'!S30="x",'May 2027'!S30="X"),1,0))</f>
        <v/>
      </c>
      <c r="Z235" s="345">
        <f>IF($A235="","",IF(OR('May 2027'!S31=TRUE,'May 2027'!S31="x",'May 2027'!S31="X"),1,0))</f>
        <v/>
      </c>
      <c r="AA235" s="345">
        <f>IF($A235="","",IF(OR('May 2027'!S32=TRUE,'May 2027'!S32="x",'May 2027'!S32="X"),1,0))</f>
        <v/>
      </c>
      <c r="AB235" s="345">
        <f>IF($A235="","",IF(OR('May 2027'!S34=TRUE,'May 2027'!S34="x",'May 2027'!S34="X"),1,0))</f>
        <v/>
      </c>
      <c r="AC235" s="345">
        <f>IF($A235="","",IF(OR('May 2027'!S35=TRUE,'May 2027'!S35="x",'May 2027'!S35="X"),1,0))</f>
        <v/>
      </c>
      <c r="AD235" s="345">
        <f>IF($A235="","",IF(OR('May 2027'!S36=TRUE,'May 2027'!S36="x",'May 2027'!S36="X"),1,0))</f>
        <v/>
      </c>
      <c r="AE235" s="345">
        <f>IF($A235="","",IF(OR('May 2027'!S37=TRUE,'May 2027'!S37="x",'May 2027'!S37="X"),1,0))</f>
        <v/>
      </c>
      <c r="AF235" s="345">
        <f>IF($A235="","",IF('May 2027'!S59="","",'May 2027'!S59))</f>
        <v/>
      </c>
      <c r="AG235" s="345">
        <f>IF($A235="","",IF('May 2027'!S60="","",'May 2027'!S60))</f>
        <v/>
      </c>
      <c r="AH235" s="345">
        <f>IF($A235="","",IF('May 2027'!S61="","",'May 2027'!S61))</f>
        <v/>
      </c>
      <c r="AI235" s="345">
        <f>IF($A235="","",IF('May 2027'!S62="","",'May 2027'!S62))</f>
        <v/>
      </c>
      <c r="AJ235" s="345">
        <f>IF($A235="","",IF('May 2027'!S63="","",'May 2027'!S63))</f>
        <v/>
      </c>
      <c r="AK235" s="345">
        <f>IF($A235="","",IF('May 2027'!S64="","",'May 2027'!S64))</f>
        <v/>
      </c>
      <c r="AL235" s="345">
        <f>IF($A235="","",IF('May 2027'!S65="","",'May 2027'!S65))</f>
        <v/>
      </c>
      <c r="AM235" s="345">
        <f>IF($A235="","",IF('May 2027'!S66="","",'May 2027'!S66))</f>
        <v/>
      </c>
      <c r="AN235" s="345">
        <f>IF($A235="","",IF('May 2027'!S67="","",'May 2027'!S67))</f>
        <v/>
      </c>
      <c r="AO235" s="345">
        <f>IF($A235="",0,IF(AND($A235&gt;=TrackStart,$A235&lt;=TODAY()),1,0))</f>
        <v/>
      </c>
      <c r="AP235" s="345">
        <f>IF($A235="",0,IF(SUM(F235:AE235)+COUNT(AF235:AN235)&gt;0,1,0))</f>
        <v/>
      </c>
      <c r="AQ235" s="345">
        <f>IF($A235="","",INT(($A235-TrackStart)/7)+1)</f>
        <v/>
      </c>
      <c r="AR235" s="345">
        <f>IF($A235="","",IF(AQ235&lt;=1,Steps1,IF(AQ235=2,Steps2,Steps3)))</f>
        <v/>
      </c>
      <c r="AS235" s="345">
        <f>IF($A235="",0,IF(ISNUMBER(SEARCH(TEXT(D235,"0"),WorkDays&amp;"")),1,0))</f>
        <v/>
      </c>
      <c r="AT235" s="345">
        <f>IF($A235="",0,IF(ISNUMBER(SEARCH(TEXT(D235,"0"),StrDays&amp;"")),1,0))</f>
        <v/>
      </c>
      <c r="AU235" s="345">
        <f>IF($A235="",0,IF(ISNUMBER(AK235),IF(AK235&gt;=SleepMin,1,0),N235))</f>
        <v/>
      </c>
      <c r="AV235" s="345">
        <f>IF($A235="",0,MAX(I235,O235,S235,AC235))</f>
        <v/>
      </c>
      <c r="AW235" s="345">
        <f>IF($A235="",0,IF(ISNUMBER(AH235),IF(AH235&gt;=ProtHit,1,0),0))</f>
        <v/>
      </c>
      <c r="AX235" s="345">
        <f>IF($A235="",0,IF(ISNUMBER(AI235),IF(AI235&gt;=WaterHit,1,0),0))</f>
        <v/>
      </c>
      <c r="AY235" s="345">
        <f>IF($A235="",0,IF(ISNUMBER(AG235),IF(AG235&gt;=AR235,1,0),0))</f>
        <v/>
      </c>
      <c r="AZ235" s="345">
        <f>IF($A235="",0,G235)</f>
        <v/>
      </c>
      <c r="BA235" s="345">
        <f>IF($A235="",0,J235)</f>
        <v/>
      </c>
      <c r="BB235" s="345">
        <f>IF($A235="",0,K235)</f>
        <v/>
      </c>
      <c r="BC235" s="345">
        <f>IF($A235="",0,MAX(L235,AE235))</f>
        <v/>
      </c>
      <c r="BD235" s="344">
        <f>IF($A235="","",(AU235+AV235+AW235+AX235+AY235+AZ235+BB235+BC235+IF(AS235=1,BA235,0))/(8+AS235))</f>
        <v/>
      </c>
      <c r="BE235" s="344">
        <f>IF($A235="","",(IF(ISNUMBER(AI235),IF(AI235&gt;=WaterMVD,1,0),0)+AV235+IF(ISNUMBER(AH235),IF(AH235&gt;=ProtMVD,1,0),0)+MAX(H235,AD235)+AZ235+BB235+AU235)/7)</f>
        <v/>
      </c>
      <c r="BF235" s="344">
        <f>IF(AO235=0,"",IF(E235="S","",IF(AND(AP235=0,$A235=TODAY()),"",IF(E235="M",BE235,BD235))))</f>
        <v/>
      </c>
      <c r="BG235" s="344">
        <f>IF(AO235=0,"",IFERROR(AVERAGEIFS(Data!$BF$4:$BF$375,Data!$A$4:$A$375,"&gt;"&amp;($A235-7),Data!$A$4:$A$375,"&lt;="&amp;$A235),""))</f>
        <v/>
      </c>
      <c r="BH235" s="344">
        <f>IF(AO235=0,"",IFERROR(AVERAGEIFS(Data!$BF$4:$BF$375,Data!$A$4:$A$375,"&gt;"&amp;($A235-30),Data!$A$4:$A$375,"&lt;="&amp;$A235),""))</f>
        <v/>
      </c>
      <c r="BI235" s="359">
        <f>IF($A235="","",IFERROR(AVERAGEIFS(Data!$AF$4:$AF$375,Data!$A$4:$A$375,"&gt;"&amp;($A235-7),Data!$A$4:$A$375,"&lt;="&amp;$A235,Data!$AF$4:$AF$375,"&gt;0"),""))</f>
        <v/>
      </c>
      <c r="BJ235" s="345">
        <f>IF($A235="","",F235+G235+H235+I235+J235+K235+L235+M235+N235-IF(AS235=1,0,J235))</f>
        <v/>
      </c>
      <c r="BK235" s="345">
        <f>IF($A235="","",8+AS235)</f>
        <v/>
      </c>
      <c r="BL235" s="345">
        <f>IF(ISNUMBER(BF235),BF235,NA())</f>
        <v/>
      </c>
      <c r="BM235" s="345">
        <f>IF(ISNUMBER(AF235),AF235,NA())</f>
        <v/>
      </c>
      <c r="BN235" s="345">
        <f>IF(ISNUMBER(BI235),BI235,NA())</f>
        <v/>
      </c>
      <c r="BO235" s="345">
        <f>IF(ISNUMBER(AL235),AL235,NA())</f>
        <v/>
      </c>
      <c r="BP235" s="345">
        <f>IF(ISNUMBER(AM235),AM235,NA())</f>
        <v/>
      </c>
      <c r="BQ235" s="345">
        <f>IF(ISNUMBER(AN235),AN235,NA())</f>
        <v/>
      </c>
    </row>
    <row r="236">
      <c r="A236" s="358">
        <f>IF('May 2027'!T7="","",'May 2027'!T7)</f>
        <v/>
      </c>
      <c r="B236" s="345" t="n">
        <v>8</v>
      </c>
      <c r="C236" s="345">
        <f>IF($A236="","",16)</f>
        <v/>
      </c>
      <c r="D236" s="345">
        <f>IF($A236="","",WEEKDAY($A236,2))</f>
        <v/>
      </c>
      <c r="E236" s="345">
        <f>IF($A236="","",UPPER(TRIM('May 2027'!T8)))</f>
        <v/>
      </c>
      <c r="F236" s="345">
        <f>IF($A236="","",IF(OR('May 2027'!T10=TRUE,'May 2027'!T10="x",'May 2027'!T10="X"),1,0))</f>
        <v/>
      </c>
      <c r="G236" s="345">
        <f>IF($A236="","",IF(OR('May 2027'!T11=TRUE,'May 2027'!T11="x",'May 2027'!T11="X"),1,0))</f>
        <v/>
      </c>
      <c r="H236" s="345">
        <f>IF($A236="","",IF(OR('May 2027'!T12=TRUE,'May 2027'!T12="x",'May 2027'!T12="X"),1,0))</f>
        <v/>
      </c>
      <c r="I236" s="345">
        <f>IF($A236="","",IF(OR('May 2027'!T13=TRUE,'May 2027'!T13="x",'May 2027'!T13="X"),1,0))</f>
        <v/>
      </c>
      <c r="J236" s="345">
        <f>IF($A236="","",IF(OR('May 2027'!T14=TRUE,'May 2027'!T14="x",'May 2027'!T14="X"),1,0))</f>
        <v/>
      </c>
      <c r="K236" s="345">
        <f>IF($A236="","",IF(OR('May 2027'!T15=TRUE,'May 2027'!T15="x",'May 2027'!T15="X"),1,0))</f>
        <v/>
      </c>
      <c r="L236" s="345">
        <f>IF($A236="","",IF(OR('May 2027'!T16=TRUE,'May 2027'!T16="x",'May 2027'!T16="X"),1,0))</f>
        <v/>
      </c>
      <c r="M236" s="345">
        <f>IF($A236="","",IF(OR('May 2027'!T17=TRUE,'May 2027'!T17="x",'May 2027'!T17="X"),1,0))</f>
        <v/>
      </c>
      <c r="N236" s="345">
        <f>IF($A236="","",IF(OR('May 2027'!T18=TRUE,'May 2027'!T18="x",'May 2027'!T18="X"),1,0))</f>
        <v/>
      </c>
      <c r="O236" s="345">
        <f>IF($A236="","",IF(OR('May 2027'!T20=TRUE,'May 2027'!T20="x",'May 2027'!T20="X"),1,0))</f>
        <v/>
      </c>
      <c r="P236" s="345">
        <f>IF($A236="","",IF(OR('May 2027'!T21=TRUE,'May 2027'!T21="x",'May 2027'!T21="X"),1,0))</f>
        <v/>
      </c>
      <c r="Q236" s="345">
        <f>IF($A236="","",IF(OR('May 2027'!T22=TRUE,'May 2027'!T22="x",'May 2027'!T22="X"),1,0))</f>
        <v/>
      </c>
      <c r="R236" s="345">
        <f>IF($A236="","",IF(OR('May 2027'!T23=TRUE,'May 2027'!T23="x",'May 2027'!T23="X"),1,0))</f>
        <v/>
      </c>
      <c r="S236" s="345">
        <f>IF($A236="","",IF(OR('May 2027'!T24=TRUE,'May 2027'!T24="x",'May 2027'!T24="X"),1,0))</f>
        <v/>
      </c>
      <c r="T236" s="345">
        <f>IF($A236="","",IF(OR('May 2027'!T25=TRUE,'May 2027'!T25="x",'May 2027'!T25="X"),1,0))</f>
        <v/>
      </c>
      <c r="U236" s="345">
        <f>IF($A236="","",IF(OR('May 2027'!T26=TRUE,'May 2027'!T26="x",'May 2027'!T26="X"),1,0))</f>
        <v/>
      </c>
      <c r="V236" s="345">
        <f>IF($A236="","",IF(OR('May 2027'!T27=TRUE,'May 2027'!T27="x",'May 2027'!T27="X"),1,0))</f>
        <v/>
      </c>
      <c r="W236" s="345">
        <f>IF($A236="","",IF(OR('May 2027'!T28=TRUE,'May 2027'!T28="x",'May 2027'!T28="X"),1,0))</f>
        <v/>
      </c>
      <c r="X236" s="345">
        <f>IF($A236="","",IF(OR('May 2027'!T29=TRUE,'May 2027'!T29="x",'May 2027'!T29="X"),1,0))</f>
        <v/>
      </c>
      <c r="Y236" s="345">
        <f>IF($A236="","",IF(OR('May 2027'!T30=TRUE,'May 2027'!T30="x",'May 2027'!T30="X"),1,0))</f>
        <v/>
      </c>
      <c r="Z236" s="345">
        <f>IF($A236="","",IF(OR('May 2027'!T31=TRUE,'May 2027'!T31="x",'May 2027'!T31="X"),1,0))</f>
        <v/>
      </c>
      <c r="AA236" s="345">
        <f>IF($A236="","",IF(OR('May 2027'!T32=TRUE,'May 2027'!T32="x",'May 2027'!T32="X"),1,0))</f>
        <v/>
      </c>
      <c r="AB236" s="345">
        <f>IF($A236="","",IF(OR('May 2027'!T34=TRUE,'May 2027'!T34="x",'May 2027'!T34="X"),1,0))</f>
        <v/>
      </c>
      <c r="AC236" s="345">
        <f>IF($A236="","",IF(OR('May 2027'!T35=TRUE,'May 2027'!T35="x",'May 2027'!T35="X"),1,0))</f>
        <v/>
      </c>
      <c r="AD236" s="345">
        <f>IF($A236="","",IF(OR('May 2027'!T36=TRUE,'May 2027'!T36="x",'May 2027'!T36="X"),1,0))</f>
        <v/>
      </c>
      <c r="AE236" s="345">
        <f>IF($A236="","",IF(OR('May 2027'!T37=TRUE,'May 2027'!T37="x",'May 2027'!T37="X"),1,0))</f>
        <v/>
      </c>
      <c r="AF236" s="345">
        <f>IF($A236="","",IF('May 2027'!T59="","",'May 2027'!T59))</f>
        <v/>
      </c>
      <c r="AG236" s="345">
        <f>IF($A236="","",IF('May 2027'!T60="","",'May 2027'!T60))</f>
        <v/>
      </c>
      <c r="AH236" s="345">
        <f>IF($A236="","",IF('May 2027'!T61="","",'May 2027'!T61))</f>
        <v/>
      </c>
      <c r="AI236" s="345">
        <f>IF($A236="","",IF('May 2027'!T62="","",'May 2027'!T62))</f>
        <v/>
      </c>
      <c r="AJ236" s="345">
        <f>IF($A236="","",IF('May 2027'!T63="","",'May 2027'!T63))</f>
        <v/>
      </c>
      <c r="AK236" s="345">
        <f>IF($A236="","",IF('May 2027'!T64="","",'May 2027'!T64))</f>
        <v/>
      </c>
      <c r="AL236" s="345">
        <f>IF($A236="","",IF('May 2027'!T65="","",'May 2027'!T65))</f>
        <v/>
      </c>
      <c r="AM236" s="345">
        <f>IF($A236="","",IF('May 2027'!T66="","",'May 2027'!T66))</f>
        <v/>
      </c>
      <c r="AN236" s="345">
        <f>IF($A236="","",IF('May 2027'!T67="","",'May 2027'!T67))</f>
        <v/>
      </c>
      <c r="AO236" s="345">
        <f>IF($A236="",0,IF(AND($A236&gt;=TrackStart,$A236&lt;=TODAY()),1,0))</f>
        <v/>
      </c>
      <c r="AP236" s="345">
        <f>IF($A236="",0,IF(SUM(F236:AE236)+COUNT(AF236:AN236)&gt;0,1,0))</f>
        <v/>
      </c>
      <c r="AQ236" s="345">
        <f>IF($A236="","",INT(($A236-TrackStart)/7)+1)</f>
        <v/>
      </c>
      <c r="AR236" s="345">
        <f>IF($A236="","",IF(AQ236&lt;=1,Steps1,IF(AQ236=2,Steps2,Steps3)))</f>
        <v/>
      </c>
      <c r="AS236" s="345">
        <f>IF($A236="",0,IF(ISNUMBER(SEARCH(TEXT(D236,"0"),WorkDays&amp;"")),1,0))</f>
        <v/>
      </c>
      <c r="AT236" s="345">
        <f>IF($A236="",0,IF(ISNUMBER(SEARCH(TEXT(D236,"0"),StrDays&amp;"")),1,0))</f>
        <v/>
      </c>
      <c r="AU236" s="345">
        <f>IF($A236="",0,IF(ISNUMBER(AK236),IF(AK236&gt;=SleepMin,1,0),N236))</f>
        <v/>
      </c>
      <c r="AV236" s="345">
        <f>IF($A236="",0,MAX(I236,O236,S236,AC236))</f>
        <v/>
      </c>
      <c r="AW236" s="345">
        <f>IF($A236="",0,IF(ISNUMBER(AH236),IF(AH236&gt;=ProtHit,1,0),0))</f>
        <v/>
      </c>
      <c r="AX236" s="345">
        <f>IF($A236="",0,IF(ISNUMBER(AI236),IF(AI236&gt;=WaterHit,1,0),0))</f>
        <v/>
      </c>
      <c r="AY236" s="345">
        <f>IF($A236="",0,IF(ISNUMBER(AG236),IF(AG236&gt;=AR236,1,0),0))</f>
        <v/>
      </c>
      <c r="AZ236" s="345">
        <f>IF($A236="",0,G236)</f>
        <v/>
      </c>
      <c r="BA236" s="345">
        <f>IF($A236="",0,J236)</f>
        <v/>
      </c>
      <c r="BB236" s="345">
        <f>IF($A236="",0,K236)</f>
        <v/>
      </c>
      <c r="BC236" s="345">
        <f>IF($A236="",0,MAX(L236,AE236))</f>
        <v/>
      </c>
      <c r="BD236" s="344">
        <f>IF($A236="","",(AU236+AV236+AW236+AX236+AY236+AZ236+BB236+BC236+IF(AS236=1,BA236,0))/(8+AS236))</f>
        <v/>
      </c>
      <c r="BE236" s="344">
        <f>IF($A236="","",(IF(ISNUMBER(AI236),IF(AI236&gt;=WaterMVD,1,0),0)+AV236+IF(ISNUMBER(AH236),IF(AH236&gt;=ProtMVD,1,0),0)+MAX(H236,AD236)+AZ236+BB236+AU236)/7)</f>
        <v/>
      </c>
      <c r="BF236" s="344">
        <f>IF(AO236=0,"",IF(E236="S","",IF(AND(AP236=0,$A236=TODAY()),"",IF(E236="M",BE236,BD236))))</f>
        <v/>
      </c>
      <c r="BG236" s="344">
        <f>IF(AO236=0,"",IFERROR(AVERAGEIFS(Data!$BF$4:$BF$375,Data!$A$4:$A$375,"&gt;"&amp;($A236-7),Data!$A$4:$A$375,"&lt;="&amp;$A236),""))</f>
        <v/>
      </c>
      <c r="BH236" s="344">
        <f>IF(AO236=0,"",IFERROR(AVERAGEIFS(Data!$BF$4:$BF$375,Data!$A$4:$A$375,"&gt;"&amp;($A236-30),Data!$A$4:$A$375,"&lt;="&amp;$A236),""))</f>
        <v/>
      </c>
      <c r="BI236" s="359">
        <f>IF($A236="","",IFERROR(AVERAGEIFS(Data!$AF$4:$AF$375,Data!$A$4:$A$375,"&gt;"&amp;($A236-7),Data!$A$4:$A$375,"&lt;="&amp;$A236,Data!$AF$4:$AF$375,"&gt;0"),""))</f>
        <v/>
      </c>
      <c r="BJ236" s="345">
        <f>IF($A236="","",F236+G236+H236+I236+J236+K236+L236+M236+N236-IF(AS236=1,0,J236))</f>
        <v/>
      </c>
      <c r="BK236" s="345">
        <f>IF($A236="","",8+AS236)</f>
        <v/>
      </c>
      <c r="BL236" s="345">
        <f>IF(ISNUMBER(BF236),BF236,NA())</f>
        <v/>
      </c>
      <c r="BM236" s="345">
        <f>IF(ISNUMBER(AF236),AF236,NA())</f>
        <v/>
      </c>
      <c r="BN236" s="345">
        <f>IF(ISNUMBER(BI236),BI236,NA())</f>
        <v/>
      </c>
      <c r="BO236" s="345">
        <f>IF(ISNUMBER(AL236),AL236,NA())</f>
        <v/>
      </c>
      <c r="BP236" s="345">
        <f>IF(ISNUMBER(AM236),AM236,NA())</f>
        <v/>
      </c>
      <c r="BQ236" s="345">
        <f>IF(ISNUMBER(AN236),AN236,NA())</f>
        <v/>
      </c>
    </row>
    <row r="237">
      <c r="A237" s="358">
        <f>IF('May 2027'!U7="","",'May 2027'!U7)</f>
        <v/>
      </c>
      <c r="B237" s="345" t="n">
        <v>8</v>
      </c>
      <c r="C237" s="345">
        <f>IF($A237="","",17)</f>
        <v/>
      </c>
      <c r="D237" s="345">
        <f>IF($A237="","",WEEKDAY($A237,2))</f>
        <v/>
      </c>
      <c r="E237" s="345">
        <f>IF($A237="","",UPPER(TRIM('May 2027'!U8)))</f>
        <v/>
      </c>
      <c r="F237" s="345">
        <f>IF($A237="","",IF(OR('May 2027'!U10=TRUE,'May 2027'!U10="x",'May 2027'!U10="X"),1,0))</f>
        <v/>
      </c>
      <c r="G237" s="345">
        <f>IF($A237="","",IF(OR('May 2027'!U11=TRUE,'May 2027'!U11="x",'May 2027'!U11="X"),1,0))</f>
        <v/>
      </c>
      <c r="H237" s="345">
        <f>IF($A237="","",IF(OR('May 2027'!U12=TRUE,'May 2027'!U12="x",'May 2027'!U12="X"),1,0))</f>
        <v/>
      </c>
      <c r="I237" s="345">
        <f>IF($A237="","",IF(OR('May 2027'!U13=TRUE,'May 2027'!U13="x",'May 2027'!U13="X"),1,0))</f>
        <v/>
      </c>
      <c r="J237" s="345">
        <f>IF($A237="","",IF(OR('May 2027'!U14=TRUE,'May 2027'!U14="x",'May 2027'!U14="X"),1,0))</f>
        <v/>
      </c>
      <c r="K237" s="345">
        <f>IF($A237="","",IF(OR('May 2027'!U15=TRUE,'May 2027'!U15="x",'May 2027'!U15="X"),1,0))</f>
        <v/>
      </c>
      <c r="L237" s="345">
        <f>IF($A237="","",IF(OR('May 2027'!U16=TRUE,'May 2027'!U16="x",'May 2027'!U16="X"),1,0))</f>
        <v/>
      </c>
      <c r="M237" s="345">
        <f>IF($A237="","",IF(OR('May 2027'!U17=TRUE,'May 2027'!U17="x",'May 2027'!U17="X"),1,0))</f>
        <v/>
      </c>
      <c r="N237" s="345">
        <f>IF($A237="","",IF(OR('May 2027'!U18=TRUE,'May 2027'!U18="x",'May 2027'!U18="X"),1,0))</f>
        <v/>
      </c>
      <c r="O237" s="345">
        <f>IF($A237="","",IF(OR('May 2027'!U20=TRUE,'May 2027'!U20="x",'May 2027'!U20="X"),1,0))</f>
        <v/>
      </c>
      <c r="P237" s="345">
        <f>IF($A237="","",IF(OR('May 2027'!U21=TRUE,'May 2027'!U21="x",'May 2027'!U21="X"),1,0))</f>
        <v/>
      </c>
      <c r="Q237" s="345">
        <f>IF($A237="","",IF(OR('May 2027'!U22=TRUE,'May 2027'!U22="x",'May 2027'!U22="X"),1,0))</f>
        <v/>
      </c>
      <c r="R237" s="345">
        <f>IF($A237="","",IF(OR('May 2027'!U23=TRUE,'May 2027'!U23="x",'May 2027'!U23="X"),1,0))</f>
        <v/>
      </c>
      <c r="S237" s="345">
        <f>IF($A237="","",IF(OR('May 2027'!U24=TRUE,'May 2027'!U24="x",'May 2027'!U24="X"),1,0))</f>
        <v/>
      </c>
      <c r="T237" s="345">
        <f>IF($A237="","",IF(OR('May 2027'!U25=TRUE,'May 2027'!U25="x",'May 2027'!U25="X"),1,0))</f>
        <v/>
      </c>
      <c r="U237" s="345">
        <f>IF($A237="","",IF(OR('May 2027'!U26=TRUE,'May 2027'!U26="x",'May 2027'!U26="X"),1,0))</f>
        <v/>
      </c>
      <c r="V237" s="345">
        <f>IF($A237="","",IF(OR('May 2027'!U27=TRUE,'May 2027'!U27="x",'May 2027'!U27="X"),1,0))</f>
        <v/>
      </c>
      <c r="W237" s="345">
        <f>IF($A237="","",IF(OR('May 2027'!U28=TRUE,'May 2027'!U28="x",'May 2027'!U28="X"),1,0))</f>
        <v/>
      </c>
      <c r="X237" s="345">
        <f>IF($A237="","",IF(OR('May 2027'!U29=TRUE,'May 2027'!U29="x",'May 2027'!U29="X"),1,0))</f>
        <v/>
      </c>
      <c r="Y237" s="345">
        <f>IF($A237="","",IF(OR('May 2027'!U30=TRUE,'May 2027'!U30="x",'May 2027'!U30="X"),1,0))</f>
        <v/>
      </c>
      <c r="Z237" s="345">
        <f>IF($A237="","",IF(OR('May 2027'!U31=TRUE,'May 2027'!U31="x",'May 2027'!U31="X"),1,0))</f>
        <v/>
      </c>
      <c r="AA237" s="345">
        <f>IF($A237="","",IF(OR('May 2027'!U32=TRUE,'May 2027'!U32="x",'May 2027'!U32="X"),1,0))</f>
        <v/>
      </c>
      <c r="AB237" s="345">
        <f>IF($A237="","",IF(OR('May 2027'!U34=TRUE,'May 2027'!U34="x",'May 2027'!U34="X"),1,0))</f>
        <v/>
      </c>
      <c r="AC237" s="345">
        <f>IF($A237="","",IF(OR('May 2027'!U35=TRUE,'May 2027'!U35="x",'May 2027'!U35="X"),1,0))</f>
        <v/>
      </c>
      <c r="AD237" s="345">
        <f>IF($A237="","",IF(OR('May 2027'!U36=TRUE,'May 2027'!U36="x",'May 2027'!U36="X"),1,0))</f>
        <v/>
      </c>
      <c r="AE237" s="345">
        <f>IF($A237="","",IF(OR('May 2027'!U37=TRUE,'May 2027'!U37="x",'May 2027'!U37="X"),1,0))</f>
        <v/>
      </c>
      <c r="AF237" s="345">
        <f>IF($A237="","",IF('May 2027'!U59="","",'May 2027'!U59))</f>
        <v/>
      </c>
      <c r="AG237" s="345">
        <f>IF($A237="","",IF('May 2027'!U60="","",'May 2027'!U60))</f>
        <v/>
      </c>
      <c r="AH237" s="345">
        <f>IF($A237="","",IF('May 2027'!U61="","",'May 2027'!U61))</f>
        <v/>
      </c>
      <c r="AI237" s="345">
        <f>IF($A237="","",IF('May 2027'!U62="","",'May 2027'!U62))</f>
        <v/>
      </c>
      <c r="AJ237" s="345">
        <f>IF($A237="","",IF('May 2027'!U63="","",'May 2027'!U63))</f>
        <v/>
      </c>
      <c r="AK237" s="345">
        <f>IF($A237="","",IF('May 2027'!U64="","",'May 2027'!U64))</f>
        <v/>
      </c>
      <c r="AL237" s="345">
        <f>IF($A237="","",IF('May 2027'!U65="","",'May 2027'!U65))</f>
        <v/>
      </c>
      <c r="AM237" s="345">
        <f>IF($A237="","",IF('May 2027'!U66="","",'May 2027'!U66))</f>
        <v/>
      </c>
      <c r="AN237" s="345">
        <f>IF($A237="","",IF('May 2027'!U67="","",'May 2027'!U67))</f>
        <v/>
      </c>
      <c r="AO237" s="345">
        <f>IF($A237="",0,IF(AND($A237&gt;=TrackStart,$A237&lt;=TODAY()),1,0))</f>
        <v/>
      </c>
      <c r="AP237" s="345">
        <f>IF($A237="",0,IF(SUM(F237:AE237)+COUNT(AF237:AN237)&gt;0,1,0))</f>
        <v/>
      </c>
      <c r="AQ237" s="345">
        <f>IF($A237="","",INT(($A237-TrackStart)/7)+1)</f>
        <v/>
      </c>
      <c r="AR237" s="345">
        <f>IF($A237="","",IF(AQ237&lt;=1,Steps1,IF(AQ237=2,Steps2,Steps3)))</f>
        <v/>
      </c>
      <c r="AS237" s="345">
        <f>IF($A237="",0,IF(ISNUMBER(SEARCH(TEXT(D237,"0"),WorkDays&amp;"")),1,0))</f>
        <v/>
      </c>
      <c r="AT237" s="345">
        <f>IF($A237="",0,IF(ISNUMBER(SEARCH(TEXT(D237,"0"),StrDays&amp;"")),1,0))</f>
        <v/>
      </c>
      <c r="AU237" s="345">
        <f>IF($A237="",0,IF(ISNUMBER(AK237),IF(AK237&gt;=SleepMin,1,0),N237))</f>
        <v/>
      </c>
      <c r="AV237" s="345">
        <f>IF($A237="",0,MAX(I237,O237,S237,AC237))</f>
        <v/>
      </c>
      <c r="AW237" s="345">
        <f>IF($A237="",0,IF(ISNUMBER(AH237),IF(AH237&gt;=ProtHit,1,0),0))</f>
        <v/>
      </c>
      <c r="AX237" s="345">
        <f>IF($A237="",0,IF(ISNUMBER(AI237),IF(AI237&gt;=WaterHit,1,0),0))</f>
        <v/>
      </c>
      <c r="AY237" s="345">
        <f>IF($A237="",0,IF(ISNUMBER(AG237),IF(AG237&gt;=AR237,1,0),0))</f>
        <v/>
      </c>
      <c r="AZ237" s="345">
        <f>IF($A237="",0,G237)</f>
        <v/>
      </c>
      <c r="BA237" s="345">
        <f>IF($A237="",0,J237)</f>
        <v/>
      </c>
      <c r="BB237" s="345">
        <f>IF($A237="",0,K237)</f>
        <v/>
      </c>
      <c r="BC237" s="345">
        <f>IF($A237="",0,MAX(L237,AE237))</f>
        <v/>
      </c>
      <c r="BD237" s="344">
        <f>IF($A237="","",(AU237+AV237+AW237+AX237+AY237+AZ237+BB237+BC237+IF(AS237=1,BA237,0))/(8+AS237))</f>
        <v/>
      </c>
      <c r="BE237" s="344">
        <f>IF($A237="","",(IF(ISNUMBER(AI237),IF(AI237&gt;=WaterMVD,1,0),0)+AV237+IF(ISNUMBER(AH237),IF(AH237&gt;=ProtMVD,1,0),0)+MAX(H237,AD237)+AZ237+BB237+AU237)/7)</f>
        <v/>
      </c>
      <c r="BF237" s="344">
        <f>IF(AO237=0,"",IF(E237="S","",IF(AND(AP237=0,$A237=TODAY()),"",IF(E237="M",BE237,BD237))))</f>
        <v/>
      </c>
      <c r="BG237" s="344">
        <f>IF(AO237=0,"",IFERROR(AVERAGEIFS(Data!$BF$4:$BF$375,Data!$A$4:$A$375,"&gt;"&amp;($A237-7),Data!$A$4:$A$375,"&lt;="&amp;$A237),""))</f>
        <v/>
      </c>
      <c r="BH237" s="344">
        <f>IF(AO237=0,"",IFERROR(AVERAGEIFS(Data!$BF$4:$BF$375,Data!$A$4:$A$375,"&gt;"&amp;($A237-30),Data!$A$4:$A$375,"&lt;="&amp;$A237),""))</f>
        <v/>
      </c>
      <c r="BI237" s="359">
        <f>IF($A237="","",IFERROR(AVERAGEIFS(Data!$AF$4:$AF$375,Data!$A$4:$A$375,"&gt;"&amp;($A237-7),Data!$A$4:$A$375,"&lt;="&amp;$A237,Data!$AF$4:$AF$375,"&gt;0"),""))</f>
        <v/>
      </c>
      <c r="BJ237" s="345">
        <f>IF($A237="","",F237+G237+H237+I237+J237+K237+L237+M237+N237-IF(AS237=1,0,J237))</f>
        <v/>
      </c>
      <c r="BK237" s="345">
        <f>IF($A237="","",8+AS237)</f>
        <v/>
      </c>
      <c r="BL237" s="345">
        <f>IF(ISNUMBER(BF237),BF237,NA())</f>
        <v/>
      </c>
      <c r="BM237" s="345">
        <f>IF(ISNUMBER(AF237),AF237,NA())</f>
        <v/>
      </c>
      <c r="BN237" s="345">
        <f>IF(ISNUMBER(BI237),BI237,NA())</f>
        <v/>
      </c>
      <c r="BO237" s="345">
        <f>IF(ISNUMBER(AL237),AL237,NA())</f>
        <v/>
      </c>
      <c r="BP237" s="345">
        <f>IF(ISNUMBER(AM237),AM237,NA())</f>
        <v/>
      </c>
      <c r="BQ237" s="345">
        <f>IF(ISNUMBER(AN237),AN237,NA())</f>
        <v/>
      </c>
    </row>
    <row r="238">
      <c r="A238" s="358">
        <f>IF('May 2027'!V7="","",'May 2027'!V7)</f>
        <v/>
      </c>
      <c r="B238" s="345" t="n">
        <v>8</v>
      </c>
      <c r="C238" s="345">
        <f>IF($A238="","",18)</f>
        <v/>
      </c>
      <c r="D238" s="345">
        <f>IF($A238="","",WEEKDAY($A238,2))</f>
        <v/>
      </c>
      <c r="E238" s="345">
        <f>IF($A238="","",UPPER(TRIM('May 2027'!V8)))</f>
        <v/>
      </c>
      <c r="F238" s="345">
        <f>IF($A238="","",IF(OR('May 2027'!V10=TRUE,'May 2027'!V10="x",'May 2027'!V10="X"),1,0))</f>
        <v/>
      </c>
      <c r="G238" s="345">
        <f>IF($A238="","",IF(OR('May 2027'!V11=TRUE,'May 2027'!V11="x",'May 2027'!V11="X"),1,0))</f>
        <v/>
      </c>
      <c r="H238" s="345">
        <f>IF($A238="","",IF(OR('May 2027'!V12=TRUE,'May 2027'!V12="x",'May 2027'!V12="X"),1,0))</f>
        <v/>
      </c>
      <c r="I238" s="345">
        <f>IF($A238="","",IF(OR('May 2027'!V13=TRUE,'May 2027'!V13="x",'May 2027'!V13="X"),1,0))</f>
        <v/>
      </c>
      <c r="J238" s="345">
        <f>IF($A238="","",IF(OR('May 2027'!V14=TRUE,'May 2027'!V14="x",'May 2027'!V14="X"),1,0))</f>
        <v/>
      </c>
      <c r="K238" s="345">
        <f>IF($A238="","",IF(OR('May 2027'!V15=TRUE,'May 2027'!V15="x",'May 2027'!V15="X"),1,0))</f>
        <v/>
      </c>
      <c r="L238" s="345">
        <f>IF($A238="","",IF(OR('May 2027'!V16=TRUE,'May 2027'!V16="x",'May 2027'!V16="X"),1,0))</f>
        <v/>
      </c>
      <c r="M238" s="345">
        <f>IF($A238="","",IF(OR('May 2027'!V17=TRUE,'May 2027'!V17="x",'May 2027'!V17="X"),1,0))</f>
        <v/>
      </c>
      <c r="N238" s="345">
        <f>IF($A238="","",IF(OR('May 2027'!V18=TRUE,'May 2027'!V18="x",'May 2027'!V18="X"),1,0))</f>
        <v/>
      </c>
      <c r="O238" s="345">
        <f>IF($A238="","",IF(OR('May 2027'!V20=TRUE,'May 2027'!V20="x",'May 2027'!V20="X"),1,0))</f>
        <v/>
      </c>
      <c r="P238" s="345">
        <f>IF($A238="","",IF(OR('May 2027'!V21=TRUE,'May 2027'!V21="x",'May 2027'!V21="X"),1,0))</f>
        <v/>
      </c>
      <c r="Q238" s="345">
        <f>IF($A238="","",IF(OR('May 2027'!V22=TRUE,'May 2027'!V22="x",'May 2027'!V22="X"),1,0))</f>
        <v/>
      </c>
      <c r="R238" s="345">
        <f>IF($A238="","",IF(OR('May 2027'!V23=TRUE,'May 2027'!V23="x",'May 2027'!V23="X"),1,0))</f>
        <v/>
      </c>
      <c r="S238" s="345">
        <f>IF($A238="","",IF(OR('May 2027'!V24=TRUE,'May 2027'!V24="x",'May 2027'!V24="X"),1,0))</f>
        <v/>
      </c>
      <c r="T238" s="345">
        <f>IF($A238="","",IF(OR('May 2027'!V25=TRUE,'May 2027'!V25="x",'May 2027'!V25="X"),1,0))</f>
        <v/>
      </c>
      <c r="U238" s="345">
        <f>IF($A238="","",IF(OR('May 2027'!V26=TRUE,'May 2027'!V26="x",'May 2027'!V26="X"),1,0))</f>
        <v/>
      </c>
      <c r="V238" s="345">
        <f>IF($A238="","",IF(OR('May 2027'!V27=TRUE,'May 2027'!V27="x",'May 2027'!V27="X"),1,0))</f>
        <v/>
      </c>
      <c r="W238" s="345">
        <f>IF($A238="","",IF(OR('May 2027'!V28=TRUE,'May 2027'!V28="x",'May 2027'!V28="X"),1,0))</f>
        <v/>
      </c>
      <c r="X238" s="345">
        <f>IF($A238="","",IF(OR('May 2027'!V29=TRUE,'May 2027'!V29="x",'May 2027'!V29="X"),1,0))</f>
        <v/>
      </c>
      <c r="Y238" s="345">
        <f>IF($A238="","",IF(OR('May 2027'!V30=TRUE,'May 2027'!V30="x",'May 2027'!V30="X"),1,0))</f>
        <v/>
      </c>
      <c r="Z238" s="345">
        <f>IF($A238="","",IF(OR('May 2027'!V31=TRUE,'May 2027'!V31="x",'May 2027'!V31="X"),1,0))</f>
        <v/>
      </c>
      <c r="AA238" s="345">
        <f>IF($A238="","",IF(OR('May 2027'!V32=TRUE,'May 2027'!V32="x",'May 2027'!V32="X"),1,0))</f>
        <v/>
      </c>
      <c r="AB238" s="345">
        <f>IF($A238="","",IF(OR('May 2027'!V34=TRUE,'May 2027'!V34="x",'May 2027'!V34="X"),1,0))</f>
        <v/>
      </c>
      <c r="AC238" s="345">
        <f>IF($A238="","",IF(OR('May 2027'!V35=TRUE,'May 2027'!V35="x",'May 2027'!V35="X"),1,0))</f>
        <v/>
      </c>
      <c r="AD238" s="345">
        <f>IF($A238="","",IF(OR('May 2027'!V36=TRUE,'May 2027'!V36="x",'May 2027'!V36="X"),1,0))</f>
        <v/>
      </c>
      <c r="AE238" s="345">
        <f>IF($A238="","",IF(OR('May 2027'!V37=TRUE,'May 2027'!V37="x",'May 2027'!V37="X"),1,0))</f>
        <v/>
      </c>
      <c r="AF238" s="345">
        <f>IF($A238="","",IF('May 2027'!V59="","",'May 2027'!V59))</f>
        <v/>
      </c>
      <c r="AG238" s="345">
        <f>IF($A238="","",IF('May 2027'!V60="","",'May 2027'!V60))</f>
        <v/>
      </c>
      <c r="AH238" s="345">
        <f>IF($A238="","",IF('May 2027'!V61="","",'May 2027'!V61))</f>
        <v/>
      </c>
      <c r="AI238" s="345">
        <f>IF($A238="","",IF('May 2027'!V62="","",'May 2027'!V62))</f>
        <v/>
      </c>
      <c r="AJ238" s="345">
        <f>IF($A238="","",IF('May 2027'!V63="","",'May 2027'!V63))</f>
        <v/>
      </c>
      <c r="AK238" s="345">
        <f>IF($A238="","",IF('May 2027'!V64="","",'May 2027'!V64))</f>
        <v/>
      </c>
      <c r="AL238" s="345">
        <f>IF($A238="","",IF('May 2027'!V65="","",'May 2027'!V65))</f>
        <v/>
      </c>
      <c r="AM238" s="345">
        <f>IF($A238="","",IF('May 2027'!V66="","",'May 2027'!V66))</f>
        <v/>
      </c>
      <c r="AN238" s="345">
        <f>IF($A238="","",IF('May 2027'!V67="","",'May 2027'!V67))</f>
        <v/>
      </c>
      <c r="AO238" s="345">
        <f>IF($A238="",0,IF(AND($A238&gt;=TrackStart,$A238&lt;=TODAY()),1,0))</f>
        <v/>
      </c>
      <c r="AP238" s="345">
        <f>IF($A238="",0,IF(SUM(F238:AE238)+COUNT(AF238:AN238)&gt;0,1,0))</f>
        <v/>
      </c>
      <c r="AQ238" s="345">
        <f>IF($A238="","",INT(($A238-TrackStart)/7)+1)</f>
        <v/>
      </c>
      <c r="AR238" s="345">
        <f>IF($A238="","",IF(AQ238&lt;=1,Steps1,IF(AQ238=2,Steps2,Steps3)))</f>
        <v/>
      </c>
      <c r="AS238" s="345">
        <f>IF($A238="",0,IF(ISNUMBER(SEARCH(TEXT(D238,"0"),WorkDays&amp;"")),1,0))</f>
        <v/>
      </c>
      <c r="AT238" s="345">
        <f>IF($A238="",0,IF(ISNUMBER(SEARCH(TEXT(D238,"0"),StrDays&amp;"")),1,0))</f>
        <v/>
      </c>
      <c r="AU238" s="345">
        <f>IF($A238="",0,IF(ISNUMBER(AK238),IF(AK238&gt;=SleepMin,1,0),N238))</f>
        <v/>
      </c>
      <c r="AV238" s="345">
        <f>IF($A238="",0,MAX(I238,O238,S238,AC238))</f>
        <v/>
      </c>
      <c r="AW238" s="345">
        <f>IF($A238="",0,IF(ISNUMBER(AH238),IF(AH238&gt;=ProtHit,1,0),0))</f>
        <v/>
      </c>
      <c r="AX238" s="345">
        <f>IF($A238="",0,IF(ISNUMBER(AI238),IF(AI238&gt;=WaterHit,1,0),0))</f>
        <v/>
      </c>
      <c r="AY238" s="345">
        <f>IF($A238="",0,IF(ISNUMBER(AG238),IF(AG238&gt;=AR238,1,0),0))</f>
        <v/>
      </c>
      <c r="AZ238" s="345">
        <f>IF($A238="",0,G238)</f>
        <v/>
      </c>
      <c r="BA238" s="345">
        <f>IF($A238="",0,J238)</f>
        <v/>
      </c>
      <c r="BB238" s="345">
        <f>IF($A238="",0,K238)</f>
        <v/>
      </c>
      <c r="BC238" s="345">
        <f>IF($A238="",0,MAX(L238,AE238))</f>
        <v/>
      </c>
      <c r="BD238" s="344">
        <f>IF($A238="","",(AU238+AV238+AW238+AX238+AY238+AZ238+BB238+BC238+IF(AS238=1,BA238,0))/(8+AS238))</f>
        <v/>
      </c>
      <c r="BE238" s="344">
        <f>IF($A238="","",(IF(ISNUMBER(AI238),IF(AI238&gt;=WaterMVD,1,0),0)+AV238+IF(ISNUMBER(AH238),IF(AH238&gt;=ProtMVD,1,0),0)+MAX(H238,AD238)+AZ238+BB238+AU238)/7)</f>
        <v/>
      </c>
      <c r="BF238" s="344">
        <f>IF(AO238=0,"",IF(E238="S","",IF(AND(AP238=0,$A238=TODAY()),"",IF(E238="M",BE238,BD238))))</f>
        <v/>
      </c>
      <c r="BG238" s="344">
        <f>IF(AO238=0,"",IFERROR(AVERAGEIFS(Data!$BF$4:$BF$375,Data!$A$4:$A$375,"&gt;"&amp;($A238-7),Data!$A$4:$A$375,"&lt;="&amp;$A238),""))</f>
        <v/>
      </c>
      <c r="BH238" s="344">
        <f>IF(AO238=0,"",IFERROR(AVERAGEIFS(Data!$BF$4:$BF$375,Data!$A$4:$A$375,"&gt;"&amp;($A238-30),Data!$A$4:$A$375,"&lt;="&amp;$A238),""))</f>
        <v/>
      </c>
      <c r="BI238" s="359">
        <f>IF($A238="","",IFERROR(AVERAGEIFS(Data!$AF$4:$AF$375,Data!$A$4:$A$375,"&gt;"&amp;($A238-7),Data!$A$4:$A$375,"&lt;="&amp;$A238,Data!$AF$4:$AF$375,"&gt;0"),""))</f>
        <v/>
      </c>
      <c r="BJ238" s="345">
        <f>IF($A238="","",F238+G238+H238+I238+J238+K238+L238+M238+N238-IF(AS238=1,0,J238))</f>
        <v/>
      </c>
      <c r="BK238" s="345">
        <f>IF($A238="","",8+AS238)</f>
        <v/>
      </c>
      <c r="BL238" s="345">
        <f>IF(ISNUMBER(BF238),BF238,NA())</f>
        <v/>
      </c>
      <c r="BM238" s="345">
        <f>IF(ISNUMBER(AF238),AF238,NA())</f>
        <v/>
      </c>
      <c r="BN238" s="345">
        <f>IF(ISNUMBER(BI238),BI238,NA())</f>
        <v/>
      </c>
      <c r="BO238" s="345">
        <f>IF(ISNUMBER(AL238),AL238,NA())</f>
        <v/>
      </c>
      <c r="BP238" s="345">
        <f>IF(ISNUMBER(AM238),AM238,NA())</f>
        <v/>
      </c>
      <c r="BQ238" s="345">
        <f>IF(ISNUMBER(AN238),AN238,NA())</f>
        <v/>
      </c>
    </row>
    <row r="239">
      <c r="A239" s="358">
        <f>IF('May 2027'!W7="","",'May 2027'!W7)</f>
        <v/>
      </c>
      <c r="B239" s="345" t="n">
        <v>8</v>
      </c>
      <c r="C239" s="345">
        <f>IF($A239="","",19)</f>
        <v/>
      </c>
      <c r="D239" s="345">
        <f>IF($A239="","",WEEKDAY($A239,2))</f>
        <v/>
      </c>
      <c r="E239" s="345">
        <f>IF($A239="","",UPPER(TRIM('May 2027'!W8)))</f>
        <v/>
      </c>
      <c r="F239" s="345">
        <f>IF($A239="","",IF(OR('May 2027'!W10=TRUE,'May 2027'!W10="x",'May 2027'!W10="X"),1,0))</f>
        <v/>
      </c>
      <c r="G239" s="345">
        <f>IF($A239="","",IF(OR('May 2027'!W11=TRUE,'May 2027'!W11="x",'May 2027'!W11="X"),1,0))</f>
        <v/>
      </c>
      <c r="H239" s="345">
        <f>IF($A239="","",IF(OR('May 2027'!W12=TRUE,'May 2027'!W12="x",'May 2027'!W12="X"),1,0))</f>
        <v/>
      </c>
      <c r="I239" s="345">
        <f>IF($A239="","",IF(OR('May 2027'!W13=TRUE,'May 2027'!W13="x",'May 2027'!W13="X"),1,0))</f>
        <v/>
      </c>
      <c r="J239" s="345">
        <f>IF($A239="","",IF(OR('May 2027'!W14=TRUE,'May 2027'!W14="x",'May 2027'!W14="X"),1,0))</f>
        <v/>
      </c>
      <c r="K239" s="345">
        <f>IF($A239="","",IF(OR('May 2027'!W15=TRUE,'May 2027'!W15="x",'May 2027'!W15="X"),1,0))</f>
        <v/>
      </c>
      <c r="L239" s="345">
        <f>IF($A239="","",IF(OR('May 2027'!W16=TRUE,'May 2027'!W16="x",'May 2027'!W16="X"),1,0))</f>
        <v/>
      </c>
      <c r="M239" s="345">
        <f>IF($A239="","",IF(OR('May 2027'!W17=TRUE,'May 2027'!W17="x",'May 2027'!W17="X"),1,0))</f>
        <v/>
      </c>
      <c r="N239" s="345">
        <f>IF($A239="","",IF(OR('May 2027'!W18=TRUE,'May 2027'!W18="x",'May 2027'!W18="X"),1,0))</f>
        <v/>
      </c>
      <c r="O239" s="345">
        <f>IF($A239="","",IF(OR('May 2027'!W20=TRUE,'May 2027'!W20="x",'May 2027'!W20="X"),1,0))</f>
        <v/>
      </c>
      <c r="P239" s="345">
        <f>IF($A239="","",IF(OR('May 2027'!W21=TRUE,'May 2027'!W21="x",'May 2027'!W21="X"),1,0))</f>
        <v/>
      </c>
      <c r="Q239" s="345">
        <f>IF($A239="","",IF(OR('May 2027'!W22=TRUE,'May 2027'!W22="x",'May 2027'!W22="X"),1,0))</f>
        <v/>
      </c>
      <c r="R239" s="345">
        <f>IF($A239="","",IF(OR('May 2027'!W23=TRUE,'May 2027'!W23="x",'May 2027'!W23="X"),1,0))</f>
        <v/>
      </c>
      <c r="S239" s="345">
        <f>IF($A239="","",IF(OR('May 2027'!W24=TRUE,'May 2027'!W24="x",'May 2027'!W24="X"),1,0))</f>
        <v/>
      </c>
      <c r="T239" s="345">
        <f>IF($A239="","",IF(OR('May 2027'!W25=TRUE,'May 2027'!W25="x",'May 2027'!W25="X"),1,0))</f>
        <v/>
      </c>
      <c r="U239" s="345">
        <f>IF($A239="","",IF(OR('May 2027'!W26=TRUE,'May 2027'!W26="x",'May 2027'!W26="X"),1,0))</f>
        <v/>
      </c>
      <c r="V239" s="345">
        <f>IF($A239="","",IF(OR('May 2027'!W27=TRUE,'May 2027'!W27="x",'May 2027'!W27="X"),1,0))</f>
        <v/>
      </c>
      <c r="W239" s="345">
        <f>IF($A239="","",IF(OR('May 2027'!W28=TRUE,'May 2027'!W28="x",'May 2027'!W28="X"),1,0))</f>
        <v/>
      </c>
      <c r="X239" s="345">
        <f>IF($A239="","",IF(OR('May 2027'!W29=TRUE,'May 2027'!W29="x",'May 2027'!W29="X"),1,0))</f>
        <v/>
      </c>
      <c r="Y239" s="345">
        <f>IF($A239="","",IF(OR('May 2027'!W30=TRUE,'May 2027'!W30="x",'May 2027'!W30="X"),1,0))</f>
        <v/>
      </c>
      <c r="Z239" s="345">
        <f>IF($A239="","",IF(OR('May 2027'!W31=TRUE,'May 2027'!W31="x",'May 2027'!W31="X"),1,0))</f>
        <v/>
      </c>
      <c r="AA239" s="345">
        <f>IF($A239="","",IF(OR('May 2027'!W32=TRUE,'May 2027'!W32="x",'May 2027'!W32="X"),1,0))</f>
        <v/>
      </c>
      <c r="AB239" s="345">
        <f>IF($A239="","",IF(OR('May 2027'!W34=TRUE,'May 2027'!W34="x",'May 2027'!W34="X"),1,0))</f>
        <v/>
      </c>
      <c r="AC239" s="345">
        <f>IF($A239="","",IF(OR('May 2027'!W35=TRUE,'May 2027'!W35="x",'May 2027'!W35="X"),1,0))</f>
        <v/>
      </c>
      <c r="AD239" s="345">
        <f>IF($A239="","",IF(OR('May 2027'!W36=TRUE,'May 2027'!W36="x",'May 2027'!W36="X"),1,0))</f>
        <v/>
      </c>
      <c r="AE239" s="345">
        <f>IF($A239="","",IF(OR('May 2027'!W37=TRUE,'May 2027'!W37="x",'May 2027'!W37="X"),1,0))</f>
        <v/>
      </c>
      <c r="AF239" s="345">
        <f>IF($A239="","",IF('May 2027'!W59="","",'May 2027'!W59))</f>
        <v/>
      </c>
      <c r="AG239" s="345">
        <f>IF($A239="","",IF('May 2027'!W60="","",'May 2027'!W60))</f>
        <v/>
      </c>
      <c r="AH239" s="345">
        <f>IF($A239="","",IF('May 2027'!W61="","",'May 2027'!W61))</f>
        <v/>
      </c>
      <c r="AI239" s="345">
        <f>IF($A239="","",IF('May 2027'!W62="","",'May 2027'!W62))</f>
        <v/>
      </c>
      <c r="AJ239" s="345">
        <f>IF($A239="","",IF('May 2027'!W63="","",'May 2027'!W63))</f>
        <v/>
      </c>
      <c r="AK239" s="345">
        <f>IF($A239="","",IF('May 2027'!W64="","",'May 2027'!W64))</f>
        <v/>
      </c>
      <c r="AL239" s="345">
        <f>IF($A239="","",IF('May 2027'!W65="","",'May 2027'!W65))</f>
        <v/>
      </c>
      <c r="AM239" s="345">
        <f>IF($A239="","",IF('May 2027'!W66="","",'May 2027'!W66))</f>
        <v/>
      </c>
      <c r="AN239" s="345">
        <f>IF($A239="","",IF('May 2027'!W67="","",'May 2027'!W67))</f>
        <v/>
      </c>
      <c r="AO239" s="345">
        <f>IF($A239="",0,IF(AND($A239&gt;=TrackStart,$A239&lt;=TODAY()),1,0))</f>
        <v/>
      </c>
      <c r="AP239" s="345">
        <f>IF($A239="",0,IF(SUM(F239:AE239)+COUNT(AF239:AN239)&gt;0,1,0))</f>
        <v/>
      </c>
      <c r="AQ239" s="345">
        <f>IF($A239="","",INT(($A239-TrackStart)/7)+1)</f>
        <v/>
      </c>
      <c r="AR239" s="345">
        <f>IF($A239="","",IF(AQ239&lt;=1,Steps1,IF(AQ239=2,Steps2,Steps3)))</f>
        <v/>
      </c>
      <c r="AS239" s="345">
        <f>IF($A239="",0,IF(ISNUMBER(SEARCH(TEXT(D239,"0"),WorkDays&amp;"")),1,0))</f>
        <v/>
      </c>
      <c r="AT239" s="345">
        <f>IF($A239="",0,IF(ISNUMBER(SEARCH(TEXT(D239,"0"),StrDays&amp;"")),1,0))</f>
        <v/>
      </c>
      <c r="AU239" s="345">
        <f>IF($A239="",0,IF(ISNUMBER(AK239),IF(AK239&gt;=SleepMin,1,0),N239))</f>
        <v/>
      </c>
      <c r="AV239" s="345">
        <f>IF($A239="",0,MAX(I239,O239,S239,AC239))</f>
        <v/>
      </c>
      <c r="AW239" s="345">
        <f>IF($A239="",0,IF(ISNUMBER(AH239),IF(AH239&gt;=ProtHit,1,0),0))</f>
        <v/>
      </c>
      <c r="AX239" s="345">
        <f>IF($A239="",0,IF(ISNUMBER(AI239),IF(AI239&gt;=WaterHit,1,0),0))</f>
        <v/>
      </c>
      <c r="AY239" s="345">
        <f>IF($A239="",0,IF(ISNUMBER(AG239),IF(AG239&gt;=AR239,1,0),0))</f>
        <v/>
      </c>
      <c r="AZ239" s="345">
        <f>IF($A239="",0,G239)</f>
        <v/>
      </c>
      <c r="BA239" s="345">
        <f>IF($A239="",0,J239)</f>
        <v/>
      </c>
      <c r="BB239" s="345">
        <f>IF($A239="",0,K239)</f>
        <v/>
      </c>
      <c r="BC239" s="345">
        <f>IF($A239="",0,MAX(L239,AE239))</f>
        <v/>
      </c>
      <c r="BD239" s="344">
        <f>IF($A239="","",(AU239+AV239+AW239+AX239+AY239+AZ239+BB239+BC239+IF(AS239=1,BA239,0))/(8+AS239))</f>
        <v/>
      </c>
      <c r="BE239" s="344">
        <f>IF($A239="","",(IF(ISNUMBER(AI239),IF(AI239&gt;=WaterMVD,1,0),0)+AV239+IF(ISNUMBER(AH239),IF(AH239&gt;=ProtMVD,1,0),0)+MAX(H239,AD239)+AZ239+BB239+AU239)/7)</f>
        <v/>
      </c>
      <c r="BF239" s="344">
        <f>IF(AO239=0,"",IF(E239="S","",IF(AND(AP239=0,$A239=TODAY()),"",IF(E239="M",BE239,BD239))))</f>
        <v/>
      </c>
      <c r="BG239" s="344">
        <f>IF(AO239=0,"",IFERROR(AVERAGEIFS(Data!$BF$4:$BF$375,Data!$A$4:$A$375,"&gt;"&amp;($A239-7),Data!$A$4:$A$375,"&lt;="&amp;$A239),""))</f>
        <v/>
      </c>
      <c r="BH239" s="344">
        <f>IF(AO239=0,"",IFERROR(AVERAGEIFS(Data!$BF$4:$BF$375,Data!$A$4:$A$375,"&gt;"&amp;($A239-30),Data!$A$4:$A$375,"&lt;="&amp;$A239),""))</f>
        <v/>
      </c>
      <c r="BI239" s="359">
        <f>IF($A239="","",IFERROR(AVERAGEIFS(Data!$AF$4:$AF$375,Data!$A$4:$A$375,"&gt;"&amp;($A239-7),Data!$A$4:$A$375,"&lt;="&amp;$A239,Data!$AF$4:$AF$375,"&gt;0"),""))</f>
        <v/>
      </c>
      <c r="BJ239" s="345">
        <f>IF($A239="","",F239+G239+H239+I239+J239+K239+L239+M239+N239-IF(AS239=1,0,J239))</f>
        <v/>
      </c>
      <c r="BK239" s="345">
        <f>IF($A239="","",8+AS239)</f>
        <v/>
      </c>
      <c r="BL239" s="345">
        <f>IF(ISNUMBER(BF239),BF239,NA())</f>
        <v/>
      </c>
      <c r="BM239" s="345">
        <f>IF(ISNUMBER(AF239),AF239,NA())</f>
        <v/>
      </c>
      <c r="BN239" s="345">
        <f>IF(ISNUMBER(BI239),BI239,NA())</f>
        <v/>
      </c>
      <c r="BO239" s="345">
        <f>IF(ISNUMBER(AL239),AL239,NA())</f>
        <v/>
      </c>
      <c r="BP239" s="345">
        <f>IF(ISNUMBER(AM239),AM239,NA())</f>
        <v/>
      </c>
      <c r="BQ239" s="345">
        <f>IF(ISNUMBER(AN239),AN239,NA())</f>
        <v/>
      </c>
    </row>
    <row r="240">
      <c r="A240" s="358">
        <f>IF('May 2027'!X7="","",'May 2027'!X7)</f>
        <v/>
      </c>
      <c r="B240" s="345" t="n">
        <v>8</v>
      </c>
      <c r="C240" s="345">
        <f>IF($A240="","",20)</f>
        <v/>
      </c>
      <c r="D240" s="345">
        <f>IF($A240="","",WEEKDAY($A240,2))</f>
        <v/>
      </c>
      <c r="E240" s="345">
        <f>IF($A240="","",UPPER(TRIM('May 2027'!X8)))</f>
        <v/>
      </c>
      <c r="F240" s="345">
        <f>IF($A240="","",IF(OR('May 2027'!X10=TRUE,'May 2027'!X10="x",'May 2027'!X10="X"),1,0))</f>
        <v/>
      </c>
      <c r="G240" s="345">
        <f>IF($A240="","",IF(OR('May 2027'!X11=TRUE,'May 2027'!X11="x",'May 2027'!X11="X"),1,0))</f>
        <v/>
      </c>
      <c r="H240" s="345">
        <f>IF($A240="","",IF(OR('May 2027'!X12=TRUE,'May 2027'!X12="x",'May 2027'!X12="X"),1,0))</f>
        <v/>
      </c>
      <c r="I240" s="345">
        <f>IF($A240="","",IF(OR('May 2027'!X13=TRUE,'May 2027'!X13="x",'May 2027'!X13="X"),1,0))</f>
        <v/>
      </c>
      <c r="J240" s="345">
        <f>IF($A240="","",IF(OR('May 2027'!X14=TRUE,'May 2027'!X14="x",'May 2027'!X14="X"),1,0))</f>
        <v/>
      </c>
      <c r="K240" s="345">
        <f>IF($A240="","",IF(OR('May 2027'!X15=TRUE,'May 2027'!X15="x",'May 2027'!X15="X"),1,0))</f>
        <v/>
      </c>
      <c r="L240" s="345">
        <f>IF($A240="","",IF(OR('May 2027'!X16=TRUE,'May 2027'!X16="x",'May 2027'!X16="X"),1,0))</f>
        <v/>
      </c>
      <c r="M240" s="345">
        <f>IF($A240="","",IF(OR('May 2027'!X17=TRUE,'May 2027'!X17="x",'May 2027'!X17="X"),1,0))</f>
        <v/>
      </c>
      <c r="N240" s="345">
        <f>IF($A240="","",IF(OR('May 2027'!X18=TRUE,'May 2027'!X18="x",'May 2027'!X18="X"),1,0))</f>
        <v/>
      </c>
      <c r="O240" s="345">
        <f>IF($A240="","",IF(OR('May 2027'!X20=TRUE,'May 2027'!X20="x",'May 2027'!X20="X"),1,0))</f>
        <v/>
      </c>
      <c r="P240" s="345">
        <f>IF($A240="","",IF(OR('May 2027'!X21=TRUE,'May 2027'!X21="x",'May 2027'!X21="X"),1,0))</f>
        <v/>
      </c>
      <c r="Q240" s="345">
        <f>IF($A240="","",IF(OR('May 2027'!X22=TRUE,'May 2027'!X22="x",'May 2027'!X22="X"),1,0))</f>
        <v/>
      </c>
      <c r="R240" s="345">
        <f>IF($A240="","",IF(OR('May 2027'!X23=TRUE,'May 2027'!X23="x",'May 2027'!X23="X"),1,0))</f>
        <v/>
      </c>
      <c r="S240" s="345">
        <f>IF($A240="","",IF(OR('May 2027'!X24=TRUE,'May 2027'!X24="x",'May 2027'!X24="X"),1,0))</f>
        <v/>
      </c>
      <c r="T240" s="345">
        <f>IF($A240="","",IF(OR('May 2027'!X25=TRUE,'May 2027'!X25="x",'May 2027'!X25="X"),1,0))</f>
        <v/>
      </c>
      <c r="U240" s="345">
        <f>IF($A240="","",IF(OR('May 2027'!X26=TRUE,'May 2027'!X26="x",'May 2027'!X26="X"),1,0))</f>
        <v/>
      </c>
      <c r="V240" s="345">
        <f>IF($A240="","",IF(OR('May 2027'!X27=TRUE,'May 2027'!X27="x",'May 2027'!X27="X"),1,0))</f>
        <v/>
      </c>
      <c r="W240" s="345">
        <f>IF($A240="","",IF(OR('May 2027'!X28=TRUE,'May 2027'!X28="x",'May 2027'!X28="X"),1,0))</f>
        <v/>
      </c>
      <c r="X240" s="345">
        <f>IF($A240="","",IF(OR('May 2027'!X29=TRUE,'May 2027'!X29="x",'May 2027'!X29="X"),1,0))</f>
        <v/>
      </c>
      <c r="Y240" s="345">
        <f>IF($A240="","",IF(OR('May 2027'!X30=TRUE,'May 2027'!X30="x",'May 2027'!X30="X"),1,0))</f>
        <v/>
      </c>
      <c r="Z240" s="345">
        <f>IF($A240="","",IF(OR('May 2027'!X31=TRUE,'May 2027'!X31="x",'May 2027'!X31="X"),1,0))</f>
        <v/>
      </c>
      <c r="AA240" s="345">
        <f>IF($A240="","",IF(OR('May 2027'!X32=TRUE,'May 2027'!X32="x",'May 2027'!X32="X"),1,0))</f>
        <v/>
      </c>
      <c r="AB240" s="345">
        <f>IF($A240="","",IF(OR('May 2027'!X34=TRUE,'May 2027'!X34="x",'May 2027'!X34="X"),1,0))</f>
        <v/>
      </c>
      <c r="AC240" s="345">
        <f>IF($A240="","",IF(OR('May 2027'!X35=TRUE,'May 2027'!X35="x",'May 2027'!X35="X"),1,0))</f>
        <v/>
      </c>
      <c r="AD240" s="345">
        <f>IF($A240="","",IF(OR('May 2027'!X36=TRUE,'May 2027'!X36="x",'May 2027'!X36="X"),1,0))</f>
        <v/>
      </c>
      <c r="AE240" s="345">
        <f>IF($A240="","",IF(OR('May 2027'!X37=TRUE,'May 2027'!X37="x",'May 2027'!X37="X"),1,0))</f>
        <v/>
      </c>
      <c r="AF240" s="345">
        <f>IF($A240="","",IF('May 2027'!X59="","",'May 2027'!X59))</f>
        <v/>
      </c>
      <c r="AG240" s="345">
        <f>IF($A240="","",IF('May 2027'!X60="","",'May 2027'!X60))</f>
        <v/>
      </c>
      <c r="AH240" s="345">
        <f>IF($A240="","",IF('May 2027'!X61="","",'May 2027'!X61))</f>
        <v/>
      </c>
      <c r="AI240" s="345">
        <f>IF($A240="","",IF('May 2027'!X62="","",'May 2027'!X62))</f>
        <v/>
      </c>
      <c r="AJ240" s="345">
        <f>IF($A240="","",IF('May 2027'!X63="","",'May 2027'!X63))</f>
        <v/>
      </c>
      <c r="AK240" s="345">
        <f>IF($A240="","",IF('May 2027'!X64="","",'May 2027'!X64))</f>
        <v/>
      </c>
      <c r="AL240" s="345">
        <f>IF($A240="","",IF('May 2027'!X65="","",'May 2027'!X65))</f>
        <v/>
      </c>
      <c r="AM240" s="345">
        <f>IF($A240="","",IF('May 2027'!X66="","",'May 2027'!X66))</f>
        <v/>
      </c>
      <c r="AN240" s="345">
        <f>IF($A240="","",IF('May 2027'!X67="","",'May 2027'!X67))</f>
        <v/>
      </c>
      <c r="AO240" s="345">
        <f>IF($A240="",0,IF(AND($A240&gt;=TrackStart,$A240&lt;=TODAY()),1,0))</f>
        <v/>
      </c>
      <c r="AP240" s="345">
        <f>IF($A240="",0,IF(SUM(F240:AE240)+COUNT(AF240:AN240)&gt;0,1,0))</f>
        <v/>
      </c>
      <c r="AQ240" s="345">
        <f>IF($A240="","",INT(($A240-TrackStart)/7)+1)</f>
        <v/>
      </c>
      <c r="AR240" s="345">
        <f>IF($A240="","",IF(AQ240&lt;=1,Steps1,IF(AQ240=2,Steps2,Steps3)))</f>
        <v/>
      </c>
      <c r="AS240" s="345">
        <f>IF($A240="",0,IF(ISNUMBER(SEARCH(TEXT(D240,"0"),WorkDays&amp;"")),1,0))</f>
        <v/>
      </c>
      <c r="AT240" s="345">
        <f>IF($A240="",0,IF(ISNUMBER(SEARCH(TEXT(D240,"0"),StrDays&amp;"")),1,0))</f>
        <v/>
      </c>
      <c r="AU240" s="345">
        <f>IF($A240="",0,IF(ISNUMBER(AK240),IF(AK240&gt;=SleepMin,1,0),N240))</f>
        <v/>
      </c>
      <c r="AV240" s="345">
        <f>IF($A240="",0,MAX(I240,O240,S240,AC240))</f>
        <v/>
      </c>
      <c r="AW240" s="345">
        <f>IF($A240="",0,IF(ISNUMBER(AH240),IF(AH240&gt;=ProtHit,1,0),0))</f>
        <v/>
      </c>
      <c r="AX240" s="345">
        <f>IF($A240="",0,IF(ISNUMBER(AI240),IF(AI240&gt;=WaterHit,1,0),0))</f>
        <v/>
      </c>
      <c r="AY240" s="345">
        <f>IF($A240="",0,IF(ISNUMBER(AG240),IF(AG240&gt;=AR240,1,0),0))</f>
        <v/>
      </c>
      <c r="AZ240" s="345">
        <f>IF($A240="",0,G240)</f>
        <v/>
      </c>
      <c r="BA240" s="345">
        <f>IF($A240="",0,J240)</f>
        <v/>
      </c>
      <c r="BB240" s="345">
        <f>IF($A240="",0,K240)</f>
        <v/>
      </c>
      <c r="BC240" s="345">
        <f>IF($A240="",0,MAX(L240,AE240))</f>
        <v/>
      </c>
      <c r="BD240" s="344">
        <f>IF($A240="","",(AU240+AV240+AW240+AX240+AY240+AZ240+BB240+BC240+IF(AS240=1,BA240,0))/(8+AS240))</f>
        <v/>
      </c>
      <c r="BE240" s="344">
        <f>IF($A240="","",(IF(ISNUMBER(AI240),IF(AI240&gt;=WaterMVD,1,0),0)+AV240+IF(ISNUMBER(AH240),IF(AH240&gt;=ProtMVD,1,0),0)+MAX(H240,AD240)+AZ240+BB240+AU240)/7)</f>
        <v/>
      </c>
      <c r="BF240" s="344">
        <f>IF(AO240=0,"",IF(E240="S","",IF(AND(AP240=0,$A240=TODAY()),"",IF(E240="M",BE240,BD240))))</f>
        <v/>
      </c>
      <c r="BG240" s="344">
        <f>IF(AO240=0,"",IFERROR(AVERAGEIFS(Data!$BF$4:$BF$375,Data!$A$4:$A$375,"&gt;"&amp;($A240-7),Data!$A$4:$A$375,"&lt;="&amp;$A240),""))</f>
        <v/>
      </c>
      <c r="BH240" s="344">
        <f>IF(AO240=0,"",IFERROR(AVERAGEIFS(Data!$BF$4:$BF$375,Data!$A$4:$A$375,"&gt;"&amp;($A240-30),Data!$A$4:$A$375,"&lt;="&amp;$A240),""))</f>
        <v/>
      </c>
      <c r="BI240" s="359">
        <f>IF($A240="","",IFERROR(AVERAGEIFS(Data!$AF$4:$AF$375,Data!$A$4:$A$375,"&gt;"&amp;($A240-7),Data!$A$4:$A$375,"&lt;="&amp;$A240,Data!$AF$4:$AF$375,"&gt;0"),""))</f>
        <v/>
      </c>
      <c r="BJ240" s="345">
        <f>IF($A240="","",F240+G240+H240+I240+J240+K240+L240+M240+N240-IF(AS240=1,0,J240))</f>
        <v/>
      </c>
      <c r="BK240" s="345">
        <f>IF($A240="","",8+AS240)</f>
        <v/>
      </c>
      <c r="BL240" s="345">
        <f>IF(ISNUMBER(BF240),BF240,NA())</f>
        <v/>
      </c>
      <c r="BM240" s="345">
        <f>IF(ISNUMBER(AF240),AF240,NA())</f>
        <v/>
      </c>
      <c r="BN240" s="345">
        <f>IF(ISNUMBER(BI240),BI240,NA())</f>
        <v/>
      </c>
      <c r="BO240" s="345">
        <f>IF(ISNUMBER(AL240),AL240,NA())</f>
        <v/>
      </c>
      <c r="BP240" s="345">
        <f>IF(ISNUMBER(AM240),AM240,NA())</f>
        <v/>
      </c>
      <c r="BQ240" s="345">
        <f>IF(ISNUMBER(AN240),AN240,NA())</f>
        <v/>
      </c>
    </row>
    <row r="241">
      <c r="A241" s="358">
        <f>IF('May 2027'!Y7="","",'May 2027'!Y7)</f>
        <v/>
      </c>
      <c r="B241" s="345" t="n">
        <v>8</v>
      </c>
      <c r="C241" s="345">
        <f>IF($A241="","",21)</f>
        <v/>
      </c>
      <c r="D241" s="345">
        <f>IF($A241="","",WEEKDAY($A241,2))</f>
        <v/>
      </c>
      <c r="E241" s="345">
        <f>IF($A241="","",UPPER(TRIM('May 2027'!Y8)))</f>
        <v/>
      </c>
      <c r="F241" s="345">
        <f>IF($A241="","",IF(OR('May 2027'!Y10=TRUE,'May 2027'!Y10="x",'May 2027'!Y10="X"),1,0))</f>
        <v/>
      </c>
      <c r="G241" s="345">
        <f>IF($A241="","",IF(OR('May 2027'!Y11=TRUE,'May 2027'!Y11="x",'May 2027'!Y11="X"),1,0))</f>
        <v/>
      </c>
      <c r="H241" s="345">
        <f>IF($A241="","",IF(OR('May 2027'!Y12=TRUE,'May 2027'!Y12="x",'May 2027'!Y12="X"),1,0))</f>
        <v/>
      </c>
      <c r="I241" s="345">
        <f>IF($A241="","",IF(OR('May 2027'!Y13=TRUE,'May 2027'!Y13="x",'May 2027'!Y13="X"),1,0))</f>
        <v/>
      </c>
      <c r="J241" s="345">
        <f>IF($A241="","",IF(OR('May 2027'!Y14=TRUE,'May 2027'!Y14="x",'May 2027'!Y14="X"),1,0))</f>
        <v/>
      </c>
      <c r="K241" s="345">
        <f>IF($A241="","",IF(OR('May 2027'!Y15=TRUE,'May 2027'!Y15="x",'May 2027'!Y15="X"),1,0))</f>
        <v/>
      </c>
      <c r="L241" s="345">
        <f>IF($A241="","",IF(OR('May 2027'!Y16=TRUE,'May 2027'!Y16="x",'May 2027'!Y16="X"),1,0))</f>
        <v/>
      </c>
      <c r="M241" s="345">
        <f>IF($A241="","",IF(OR('May 2027'!Y17=TRUE,'May 2027'!Y17="x",'May 2027'!Y17="X"),1,0))</f>
        <v/>
      </c>
      <c r="N241" s="345">
        <f>IF($A241="","",IF(OR('May 2027'!Y18=TRUE,'May 2027'!Y18="x",'May 2027'!Y18="X"),1,0))</f>
        <v/>
      </c>
      <c r="O241" s="345">
        <f>IF($A241="","",IF(OR('May 2027'!Y20=TRUE,'May 2027'!Y20="x",'May 2027'!Y20="X"),1,0))</f>
        <v/>
      </c>
      <c r="P241" s="345">
        <f>IF($A241="","",IF(OR('May 2027'!Y21=TRUE,'May 2027'!Y21="x",'May 2027'!Y21="X"),1,0))</f>
        <v/>
      </c>
      <c r="Q241" s="345">
        <f>IF($A241="","",IF(OR('May 2027'!Y22=TRUE,'May 2027'!Y22="x",'May 2027'!Y22="X"),1,0))</f>
        <v/>
      </c>
      <c r="R241" s="345">
        <f>IF($A241="","",IF(OR('May 2027'!Y23=TRUE,'May 2027'!Y23="x",'May 2027'!Y23="X"),1,0))</f>
        <v/>
      </c>
      <c r="S241" s="345">
        <f>IF($A241="","",IF(OR('May 2027'!Y24=TRUE,'May 2027'!Y24="x",'May 2027'!Y24="X"),1,0))</f>
        <v/>
      </c>
      <c r="T241" s="345">
        <f>IF($A241="","",IF(OR('May 2027'!Y25=TRUE,'May 2027'!Y25="x",'May 2027'!Y25="X"),1,0))</f>
        <v/>
      </c>
      <c r="U241" s="345">
        <f>IF($A241="","",IF(OR('May 2027'!Y26=TRUE,'May 2027'!Y26="x",'May 2027'!Y26="X"),1,0))</f>
        <v/>
      </c>
      <c r="V241" s="345">
        <f>IF($A241="","",IF(OR('May 2027'!Y27=TRUE,'May 2027'!Y27="x",'May 2027'!Y27="X"),1,0))</f>
        <v/>
      </c>
      <c r="W241" s="345">
        <f>IF($A241="","",IF(OR('May 2027'!Y28=TRUE,'May 2027'!Y28="x",'May 2027'!Y28="X"),1,0))</f>
        <v/>
      </c>
      <c r="X241" s="345">
        <f>IF($A241="","",IF(OR('May 2027'!Y29=TRUE,'May 2027'!Y29="x",'May 2027'!Y29="X"),1,0))</f>
        <v/>
      </c>
      <c r="Y241" s="345">
        <f>IF($A241="","",IF(OR('May 2027'!Y30=TRUE,'May 2027'!Y30="x",'May 2027'!Y30="X"),1,0))</f>
        <v/>
      </c>
      <c r="Z241" s="345">
        <f>IF($A241="","",IF(OR('May 2027'!Y31=TRUE,'May 2027'!Y31="x",'May 2027'!Y31="X"),1,0))</f>
        <v/>
      </c>
      <c r="AA241" s="345">
        <f>IF($A241="","",IF(OR('May 2027'!Y32=TRUE,'May 2027'!Y32="x",'May 2027'!Y32="X"),1,0))</f>
        <v/>
      </c>
      <c r="AB241" s="345">
        <f>IF($A241="","",IF(OR('May 2027'!Y34=TRUE,'May 2027'!Y34="x",'May 2027'!Y34="X"),1,0))</f>
        <v/>
      </c>
      <c r="AC241" s="345">
        <f>IF($A241="","",IF(OR('May 2027'!Y35=TRUE,'May 2027'!Y35="x",'May 2027'!Y35="X"),1,0))</f>
        <v/>
      </c>
      <c r="AD241" s="345">
        <f>IF($A241="","",IF(OR('May 2027'!Y36=TRUE,'May 2027'!Y36="x",'May 2027'!Y36="X"),1,0))</f>
        <v/>
      </c>
      <c r="AE241" s="345">
        <f>IF($A241="","",IF(OR('May 2027'!Y37=TRUE,'May 2027'!Y37="x",'May 2027'!Y37="X"),1,0))</f>
        <v/>
      </c>
      <c r="AF241" s="345">
        <f>IF($A241="","",IF('May 2027'!Y59="","",'May 2027'!Y59))</f>
        <v/>
      </c>
      <c r="AG241" s="345">
        <f>IF($A241="","",IF('May 2027'!Y60="","",'May 2027'!Y60))</f>
        <v/>
      </c>
      <c r="AH241" s="345">
        <f>IF($A241="","",IF('May 2027'!Y61="","",'May 2027'!Y61))</f>
        <v/>
      </c>
      <c r="AI241" s="345">
        <f>IF($A241="","",IF('May 2027'!Y62="","",'May 2027'!Y62))</f>
        <v/>
      </c>
      <c r="AJ241" s="345">
        <f>IF($A241="","",IF('May 2027'!Y63="","",'May 2027'!Y63))</f>
        <v/>
      </c>
      <c r="AK241" s="345">
        <f>IF($A241="","",IF('May 2027'!Y64="","",'May 2027'!Y64))</f>
        <v/>
      </c>
      <c r="AL241" s="345">
        <f>IF($A241="","",IF('May 2027'!Y65="","",'May 2027'!Y65))</f>
        <v/>
      </c>
      <c r="AM241" s="345">
        <f>IF($A241="","",IF('May 2027'!Y66="","",'May 2027'!Y66))</f>
        <v/>
      </c>
      <c r="AN241" s="345">
        <f>IF($A241="","",IF('May 2027'!Y67="","",'May 2027'!Y67))</f>
        <v/>
      </c>
      <c r="AO241" s="345">
        <f>IF($A241="",0,IF(AND($A241&gt;=TrackStart,$A241&lt;=TODAY()),1,0))</f>
        <v/>
      </c>
      <c r="AP241" s="345">
        <f>IF($A241="",0,IF(SUM(F241:AE241)+COUNT(AF241:AN241)&gt;0,1,0))</f>
        <v/>
      </c>
      <c r="AQ241" s="345">
        <f>IF($A241="","",INT(($A241-TrackStart)/7)+1)</f>
        <v/>
      </c>
      <c r="AR241" s="345">
        <f>IF($A241="","",IF(AQ241&lt;=1,Steps1,IF(AQ241=2,Steps2,Steps3)))</f>
        <v/>
      </c>
      <c r="AS241" s="345">
        <f>IF($A241="",0,IF(ISNUMBER(SEARCH(TEXT(D241,"0"),WorkDays&amp;"")),1,0))</f>
        <v/>
      </c>
      <c r="AT241" s="345">
        <f>IF($A241="",0,IF(ISNUMBER(SEARCH(TEXT(D241,"0"),StrDays&amp;"")),1,0))</f>
        <v/>
      </c>
      <c r="AU241" s="345">
        <f>IF($A241="",0,IF(ISNUMBER(AK241),IF(AK241&gt;=SleepMin,1,0),N241))</f>
        <v/>
      </c>
      <c r="AV241" s="345">
        <f>IF($A241="",0,MAX(I241,O241,S241,AC241))</f>
        <v/>
      </c>
      <c r="AW241" s="345">
        <f>IF($A241="",0,IF(ISNUMBER(AH241),IF(AH241&gt;=ProtHit,1,0),0))</f>
        <v/>
      </c>
      <c r="AX241" s="345">
        <f>IF($A241="",0,IF(ISNUMBER(AI241),IF(AI241&gt;=WaterHit,1,0),0))</f>
        <v/>
      </c>
      <c r="AY241" s="345">
        <f>IF($A241="",0,IF(ISNUMBER(AG241),IF(AG241&gt;=AR241,1,0),0))</f>
        <v/>
      </c>
      <c r="AZ241" s="345">
        <f>IF($A241="",0,G241)</f>
        <v/>
      </c>
      <c r="BA241" s="345">
        <f>IF($A241="",0,J241)</f>
        <v/>
      </c>
      <c r="BB241" s="345">
        <f>IF($A241="",0,K241)</f>
        <v/>
      </c>
      <c r="BC241" s="345">
        <f>IF($A241="",0,MAX(L241,AE241))</f>
        <v/>
      </c>
      <c r="BD241" s="344">
        <f>IF($A241="","",(AU241+AV241+AW241+AX241+AY241+AZ241+BB241+BC241+IF(AS241=1,BA241,0))/(8+AS241))</f>
        <v/>
      </c>
      <c r="BE241" s="344">
        <f>IF($A241="","",(IF(ISNUMBER(AI241),IF(AI241&gt;=WaterMVD,1,0),0)+AV241+IF(ISNUMBER(AH241),IF(AH241&gt;=ProtMVD,1,0),0)+MAX(H241,AD241)+AZ241+BB241+AU241)/7)</f>
        <v/>
      </c>
      <c r="BF241" s="344">
        <f>IF(AO241=0,"",IF(E241="S","",IF(AND(AP241=0,$A241=TODAY()),"",IF(E241="M",BE241,BD241))))</f>
        <v/>
      </c>
      <c r="BG241" s="344">
        <f>IF(AO241=0,"",IFERROR(AVERAGEIFS(Data!$BF$4:$BF$375,Data!$A$4:$A$375,"&gt;"&amp;($A241-7),Data!$A$4:$A$375,"&lt;="&amp;$A241),""))</f>
        <v/>
      </c>
      <c r="BH241" s="344">
        <f>IF(AO241=0,"",IFERROR(AVERAGEIFS(Data!$BF$4:$BF$375,Data!$A$4:$A$375,"&gt;"&amp;($A241-30),Data!$A$4:$A$375,"&lt;="&amp;$A241),""))</f>
        <v/>
      </c>
      <c r="BI241" s="359">
        <f>IF($A241="","",IFERROR(AVERAGEIFS(Data!$AF$4:$AF$375,Data!$A$4:$A$375,"&gt;"&amp;($A241-7),Data!$A$4:$A$375,"&lt;="&amp;$A241,Data!$AF$4:$AF$375,"&gt;0"),""))</f>
        <v/>
      </c>
      <c r="BJ241" s="345">
        <f>IF($A241="","",F241+G241+H241+I241+J241+K241+L241+M241+N241-IF(AS241=1,0,J241))</f>
        <v/>
      </c>
      <c r="BK241" s="345">
        <f>IF($A241="","",8+AS241)</f>
        <v/>
      </c>
      <c r="BL241" s="345">
        <f>IF(ISNUMBER(BF241),BF241,NA())</f>
        <v/>
      </c>
      <c r="BM241" s="345">
        <f>IF(ISNUMBER(AF241),AF241,NA())</f>
        <v/>
      </c>
      <c r="BN241" s="345">
        <f>IF(ISNUMBER(BI241),BI241,NA())</f>
        <v/>
      </c>
      <c r="BO241" s="345">
        <f>IF(ISNUMBER(AL241),AL241,NA())</f>
        <v/>
      </c>
      <c r="BP241" s="345">
        <f>IF(ISNUMBER(AM241),AM241,NA())</f>
        <v/>
      </c>
      <c r="BQ241" s="345">
        <f>IF(ISNUMBER(AN241),AN241,NA())</f>
        <v/>
      </c>
    </row>
    <row r="242">
      <c r="A242" s="358">
        <f>IF('May 2027'!Z7="","",'May 2027'!Z7)</f>
        <v/>
      </c>
      <c r="B242" s="345" t="n">
        <v>8</v>
      </c>
      <c r="C242" s="345">
        <f>IF($A242="","",22)</f>
        <v/>
      </c>
      <c r="D242" s="345">
        <f>IF($A242="","",WEEKDAY($A242,2))</f>
        <v/>
      </c>
      <c r="E242" s="345">
        <f>IF($A242="","",UPPER(TRIM('May 2027'!Z8)))</f>
        <v/>
      </c>
      <c r="F242" s="345">
        <f>IF($A242="","",IF(OR('May 2027'!Z10=TRUE,'May 2027'!Z10="x",'May 2027'!Z10="X"),1,0))</f>
        <v/>
      </c>
      <c r="G242" s="345">
        <f>IF($A242="","",IF(OR('May 2027'!Z11=TRUE,'May 2027'!Z11="x",'May 2027'!Z11="X"),1,0))</f>
        <v/>
      </c>
      <c r="H242" s="345">
        <f>IF($A242="","",IF(OR('May 2027'!Z12=TRUE,'May 2027'!Z12="x",'May 2027'!Z12="X"),1,0))</f>
        <v/>
      </c>
      <c r="I242" s="345">
        <f>IF($A242="","",IF(OR('May 2027'!Z13=TRUE,'May 2027'!Z13="x",'May 2027'!Z13="X"),1,0))</f>
        <v/>
      </c>
      <c r="J242" s="345">
        <f>IF($A242="","",IF(OR('May 2027'!Z14=TRUE,'May 2027'!Z14="x",'May 2027'!Z14="X"),1,0))</f>
        <v/>
      </c>
      <c r="K242" s="345">
        <f>IF($A242="","",IF(OR('May 2027'!Z15=TRUE,'May 2027'!Z15="x",'May 2027'!Z15="X"),1,0))</f>
        <v/>
      </c>
      <c r="L242" s="345">
        <f>IF($A242="","",IF(OR('May 2027'!Z16=TRUE,'May 2027'!Z16="x",'May 2027'!Z16="X"),1,0))</f>
        <v/>
      </c>
      <c r="M242" s="345">
        <f>IF($A242="","",IF(OR('May 2027'!Z17=TRUE,'May 2027'!Z17="x",'May 2027'!Z17="X"),1,0))</f>
        <v/>
      </c>
      <c r="N242" s="345">
        <f>IF($A242="","",IF(OR('May 2027'!Z18=TRUE,'May 2027'!Z18="x",'May 2027'!Z18="X"),1,0))</f>
        <v/>
      </c>
      <c r="O242" s="345">
        <f>IF($A242="","",IF(OR('May 2027'!Z20=TRUE,'May 2027'!Z20="x",'May 2027'!Z20="X"),1,0))</f>
        <v/>
      </c>
      <c r="P242" s="345">
        <f>IF($A242="","",IF(OR('May 2027'!Z21=TRUE,'May 2027'!Z21="x",'May 2027'!Z21="X"),1,0))</f>
        <v/>
      </c>
      <c r="Q242" s="345">
        <f>IF($A242="","",IF(OR('May 2027'!Z22=TRUE,'May 2027'!Z22="x",'May 2027'!Z22="X"),1,0))</f>
        <v/>
      </c>
      <c r="R242" s="345">
        <f>IF($A242="","",IF(OR('May 2027'!Z23=TRUE,'May 2027'!Z23="x",'May 2027'!Z23="X"),1,0))</f>
        <v/>
      </c>
      <c r="S242" s="345">
        <f>IF($A242="","",IF(OR('May 2027'!Z24=TRUE,'May 2027'!Z24="x",'May 2027'!Z24="X"),1,0))</f>
        <v/>
      </c>
      <c r="T242" s="345">
        <f>IF($A242="","",IF(OR('May 2027'!Z25=TRUE,'May 2027'!Z25="x",'May 2027'!Z25="X"),1,0))</f>
        <v/>
      </c>
      <c r="U242" s="345">
        <f>IF($A242="","",IF(OR('May 2027'!Z26=TRUE,'May 2027'!Z26="x",'May 2027'!Z26="X"),1,0))</f>
        <v/>
      </c>
      <c r="V242" s="345">
        <f>IF($A242="","",IF(OR('May 2027'!Z27=TRUE,'May 2027'!Z27="x",'May 2027'!Z27="X"),1,0))</f>
        <v/>
      </c>
      <c r="W242" s="345">
        <f>IF($A242="","",IF(OR('May 2027'!Z28=TRUE,'May 2027'!Z28="x",'May 2027'!Z28="X"),1,0))</f>
        <v/>
      </c>
      <c r="X242" s="345">
        <f>IF($A242="","",IF(OR('May 2027'!Z29=TRUE,'May 2027'!Z29="x",'May 2027'!Z29="X"),1,0))</f>
        <v/>
      </c>
      <c r="Y242" s="345">
        <f>IF($A242="","",IF(OR('May 2027'!Z30=TRUE,'May 2027'!Z30="x",'May 2027'!Z30="X"),1,0))</f>
        <v/>
      </c>
      <c r="Z242" s="345">
        <f>IF($A242="","",IF(OR('May 2027'!Z31=TRUE,'May 2027'!Z31="x",'May 2027'!Z31="X"),1,0))</f>
        <v/>
      </c>
      <c r="AA242" s="345">
        <f>IF($A242="","",IF(OR('May 2027'!Z32=TRUE,'May 2027'!Z32="x",'May 2027'!Z32="X"),1,0))</f>
        <v/>
      </c>
      <c r="AB242" s="345">
        <f>IF($A242="","",IF(OR('May 2027'!Z34=TRUE,'May 2027'!Z34="x",'May 2027'!Z34="X"),1,0))</f>
        <v/>
      </c>
      <c r="AC242" s="345">
        <f>IF($A242="","",IF(OR('May 2027'!Z35=TRUE,'May 2027'!Z35="x",'May 2027'!Z35="X"),1,0))</f>
        <v/>
      </c>
      <c r="AD242" s="345">
        <f>IF($A242="","",IF(OR('May 2027'!Z36=TRUE,'May 2027'!Z36="x",'May 2027'!Z36="X"),1,0))</f>
        <v/>
      </c>
      <c r="AE242" s="345">
        <f>IF($A242="","",IF(OR('May 2027'!Z37=TRUE,'May 2027'!Z37="x",'May 2027'!Z37="X"),1,0))</f>
        <v/>
      </c>
      <c r="AF242" s="345">
        <f>IF($A242="","",IF('May 2027'!Z59="","",'May 2027'!Z59))</f>
        <v/>
      </c>
      <c r="AG242" s="345">
        <f>IF($A242="","",IF('May 2027'!Z60="","",'May 2027'!Z60))</f>
        <v/>
      </c>
      <c r="AH242" s="345">
        <f>IF($A242="","",IF('May 2027'!Z61="","",'May 2027'!Z61))</f>
        <v/>
      </c>
      <c r="AI242" s="345">
        <f>IF($A242="","",IF('May 2027'!Z62="","",'May 2027'!Z62))</f>
        <v/>
      </c>
      <c r="AJ242" s="345">
        <f>IF($A242="","",IF('May 2027'!Z63="","",'May 2027'!Z63))</f>
        <v/>
      </c>
      <c r="AK242" s="345">
        <f>IF($A242="","",IF('May 2027'!Z64="","",'May 2027'!Z64))</f>
        <v/>
      </c>
      <c r="AL242" s="345">
        <f>IF($A242="","",IF('May 2027'!Z65="","",'May 2027'!Z65))</f>
        <v/>
      </c>
      <c r="AM242" s="345">
        <f>IF($A242="","",IF('May 2027'!Z66="","",'May 2027'!Z66))</f>
        <v/>
      </c>
      <c r="AN242" s="345">
        <f>IF($A242="","",IF('May 2027'!Z67="","",'May 2027'!Z67))</f>
        <v/>
      </c>
      <c r="AO242" s="345">
        <f>IF($A242="",0,IF(AND($A242&gt;=TrackStart,$A242&lt;=TODAY()),1,0))</f>
        <v/>
      </c>
      <c r="AP242" s="345">
        <f>IF($A242="",0,IF(SUM(F242:AE242)+COUNT(AF242:AN242)&gt;0,1,0))</f>
        <v/>
      </c>
      <c r="AQ242" s="345">
        <f>IF($A242="","",INT(($A242-TrackStart)/7)+1)</f>
        <v/>
      </c>
      <c r="AR242" s="345">
        <f>IF($A242="","",IF(AQ242&lt;=1,Steps1,IF(AQ242=2,Steps2,Steps3)))</f>
        <v/>
      </c>
      <c r="AS242" s="345">
        <f>IF($A242="",0,IF(ISNUMBER(SEARCH(TEXT(D242,"0"),WorkDays&amp;"")),1,0))</f>
        <v/>
      </c>
      <c r="AT242" s="345">
        <f>IF($A242="",0,IF(ISNUMBER(SEARCH(TEXT(D242,"0"),StrDays&amp;"")),1,0))</f>
        <v/>
      </c>
      <c r="AU242" s="345">
        <f>IF($A242="",0,IF(ISNUMBER(AK242),IF(AK242&gt;=SleepMin,1,0),N242))</f>
        <v/>
      </c>
      <c r="AV242" s="345">
        <f>IF($A242="",0,MAX(I242,O242,S242,AC242))</f>
        <v/>
      </c>
      <c r="AW242" s="345">
        <f>IF($A242="",0,IF(ISNUMBER(AH242),IF(AH242&gt;=ProtHit,1,0),0))</f>
        <v/>
      </c>
      <c r="AX242" s="345">
        <f>IF($A242="",0,IF(ISNUMBER(AI242),IF(AI242&gt;=WaterHit,1,0),0))</f>
        <v/>
      </c>
      <c r="AY242" s="345">
        <f>IF($A242="",0,IF(ISNUMBER(AG242),IF(AG242&gt;=AR242,1,0),0))</f>
        <v/>
      </c>
      <c r="AZ242" s="345">
        <f>IF($A242="",0,G242)</f>
        <v/>
      </c>
      <c r="BA242" s="345">
        <f>IF($A242="",0,J242)</f>
        <v/>
      </c>
      <c r="BB242" s="345">
        <f>IF($A242="",0,K242)</f>
        <v/>
      </c>
      <c r="BC242" s="345">
        <f>IF($A242="",0,MAX(L242,AE242))</f>
        <v/>
      </c>
      <c r="BD242" s="344">
        <f>IF($A242="","",(AU242+AV242+AW242+AX242+AY242+AZ242+BB242+BC242+IF(AS242=1,BA242,0))/(8+AS242))</f>
        <v/>
      </c>
      <c r="BE242" s="344">
        <f>IF($A242="","",(IF(ISNUMBER(AI242),IF(AI242&gt;=WaterMVD,1,0),0)+AV242+IF(ISNUMBER(AH242),IF(AH242&gt;=ProtMVD,1,0),0)+MAX(H242,AD242)+AZ242+BB242+AU242)/7)</f>
        <v/>
      </c>
      <c r="BF242" s="344">
        <f>IF(AO242=0,"",IF(E242="S","",IF(AND(AP242=0,$A242=TODAY()),"",IF(E242="M",BE242,BD242))))</f>
        <v/>
      </c>
      <c r="BG242" s="344">
        <f>IF(AO242=0,"",IFERROR(AVERAGEIFS(Data!$BF$4:$BF$375,Data!$A$4:$A$375,"&gt;"&amp;($A242-7),Data!$A$4:$A$375,"&lt;="&amp;$A242),""))</f>
        <v/>
      </c>
      <c r="BH242" s="344">
        <f>IF(AO242=0,"",IFERROR(AVERAGEIFS(Data!$BF$4:$BF$375,Data!$A$4:$A$375,"&gt;"&amp;($A242-30),Data!$A$4:$A$375,"&lt;="&amp;$A242),""))</f>
        <v/>
      </c>
      <c r="BI242" s="359">
        <f>IF($A242="","",IFERROR(AVERAGEIFS(Data!$AF$4:$AF$375,Data!$A$4:$A$375,"&gt;"&amp;($A242-7),Data!$A$4:$A$375,"&lt;="&amp;$A242,Data!$AF$4:$AF$375,"&gt;0"),""))</f>
        <v/>
      </c>
      <c r="BJ242" s="345">
        <f>IF($A242="","",F242+G242+H242+I242+J242+K242+L242+M242+N242-IF(AS242=1,0,J242))</f>
        <v/>
      </c>
      <c r="BK242" s="345">
        <f>IF($A242="","",8+AS242)</f>
        <v/>
      </c>
      <c r="BL242" s="345">
        <f>IF(ISNUMBER(BF242),BF242,NA())</f>
        <v/>
      </c>
      <c r="BM242" s="345">
        <f>IF(ISNUMBER(AF242),AF242,NA())</f>
        <v/>
      </c>
      <c r="BN242" s="345">
        <f>IF(ISNUMBER(BI242),BI242,NA())</f>
        <v/>
      </c>
      <c r="BO242" s="345">
        <f>IF(ISNUMBER(AL242),AL242,NA())</f>
        <v/>
      </c>
      <c r="BP242" s="345">
        <f>IF(ISNUMBER(AM242),AM242,NA())</f>
        <v/>
      </c>
      <c r="BQ242" s="345">
        <f>IF(ISNUMBER(AN242),AN242,NA())</f>
        <v/>
      </c>
    </row>
    <row r="243">
      <c r="A243" s="358">
        <f>IF('May 2027'!AA7="","",'May 2027'!AA7)</f>
        <v/>
      </c>
      <c r="B243" s="345" t="n">
        <v>8</v>
      </c>
      <c r="C243" s="345">
        <f>IF($A243="","",23)</f>
        <v/>
      </c>
      <c r="D243" s="345">
        <f>IF($A243="","",WEEKDAY($A243,2))</f>
        <v/>
      </c>
      <c r="E243" s="345">
        <f>IF($A243="","",UPPER(TRIM('May 2027'!AA8)))</f>
        <v/>
      </c>
      <c r="F243" s="345">
        <f>IF($A243="","",IF(OR('May 2027'!AA10=TRUE,'May 2027'!AA10="x",'May 2027'!AA10="X"),1,0))</f>
        <v/>
      </c>
      <c r="G243" s="345">
        <f>IF($A243="","",IF(OR('May 2027'!AA11=TRUE,'May 2027'!AA11="x",'May 2027'!AA11="X"),1,0))</f>
        <v/>
      </c>
      <c r="H243" s="345">
        <f>IF($A243="","",IF(OR('May 2027'!AA12=TRUE,'May 2027'!AA12="x",'May 2027'!AA12="X"),1,0))</f>
        <v/>
      </c>
      <c r="I243" s="345">
        <f>IF($A243="","",IF(OR('May 2027'!AA13=TRUE,'May 2027'!AA13="x",'May 2027'!AA13="X"),1,0))</f>
        <v/>
      </c>
      <c r="J243" s="345">
        <f>IF($A243="","",IF(OR('May 2027'!AA14=TRUE,'May 2027'!AA14="x",'May 2027'!AA14="X"),1,0))</f>
        <v/>
      </c>
      <c r="K243" s="345">
        <f>IF($A243="","",IF(OR('May 2027'!AA15=TRUE,'May 2027'!AA15="x",'May 2027'!AA15="X"),1,0))</f>
        <v/>
      </c>
      <c r="L243" s="345">
        <f>IF($A243="","",IF(OR('May 2027'!AA16=TRUE,'May 2027'!AA16="x",'May 2027'!AA16="X"),1,0))</f>
        <v/>
      </c>
      <c r="M243" s="345">
        <f>IF($A243="","",IF(OR('May 2027'!AA17=TRUE,'May 2027'!AA17="x",'May 2027'!AA17="X"),1,0))</f>
        <v/>
      </c>
      <c r="N243" s="345">
        <f>IF($A243="","",IF(OR('May 2027'!AA18=TRUE,'May 2027'!AA18="x",'May 2027'!AA18="X"),1,0))</f>
        <v/>
      </c>
      <c r="O243" s="345">
        <f>IF($A243="","",IF(OR('May 2027'!AA20=TRUE,'May 2027'!AA20="x",'May 2027'!AA20="X"),1,0))</f>
        <v/>
      </c>
      <c r="P243" s="345">
        <f>IF($A243="","",IF(OR('May 2027'!AA21=TRUE,'May 2027'!AA21="x",'May 2027'!AA21="X"),1,0))</f>
        <v/>
      </c>
      <c r="Q243" s="345">
        <f>IF($A243="","",IF(OR('May 2027'!AA22=TRUE,'May 2027'!AA22="x",'May 2027'!AA22="X"),1,0))</f>
        <v/>
      </c>
      <c r="R243" s="345">
        <f>IF($A243="","",IF(OR('May 2027'!AA23=TRUE,'May 2027'!AA23="x",'May 2027'!AA23="X"),1,0))</f>
        <v/>
      </c>
      <c r="S243" s="345">
        <f>IF($A243="","",IF(OR('May 2027'!AA24=TRUE,'May 2027'!AA24="x",'May 2027'!AA24="X"),1,0))</f>
        <v/>
      </c>
      <c r="T243" s="345">
        <f>IF($A243="","",IF(OR('May 2027'!AA25=TRUE,'May 2027'!AA25="x",'May 2027'!AA25="X"),1,0))</f>
        <v/>
      </c>
      <c r="U243" s="345">
        <f>IF($A243="","",IF(OR('May 2027'!AA26=TRUE,'May 2027'!AA26="x",'May 2027'!AA26="X"),1,0))</f>
        <v/>
      </c>
      <c r="V243" s="345">
        <f>IF($A243="","",IF(OR('May 2027'!AA27=TRUE,'May 2027'!AA27="x",'May 2027'!AA27="X"),1,0))</f>
        <v/>
      </c>
      <c r="W243" s="345">
        <f>IF($A243="","",IF(OR('May 2027'!AA28=TRUE,'May 2027'!AA28="x",'May 2027'!AA28="X"),1,0))</f>
        <v/>
      </c>
      <c r="X243" s="345">
        <f>IF($A243="","",IF(OR('May 2027'!AA29=TRUE,'May 2027'!AA29="x",'May 2027'!AA29="X"),1,0))</f>
        <v/>
      </c>
      <c r="Y243" s="345">
        <f>IF($A243="","",IF(OR('May 2027'!AA30=TRUE,'May 2027'!AA30="x",'May 2027'!AA30="X"),1,0))</f>
        <v/>
      </c>
      <c r="Z243" s="345">
        <f>IF($A243="","",IF(OR('May 2027'!AA31=TRUE,'May 2027'!AA31="x",'May 2027'!AA31="X"),1,0))</f>
        <v/>
      </c>
      <c r="AA243" s="345">
        <f>IF($A243="","",IF(OR('May 2027'!AA32=TRUE,'May 2027'!AA32="x",'May 2027'!AA32="X"),1,0))</f>
        <v/>
      </c>
      <c r="AB243" s="345">
        <f>IF($A243="","",IF(OR('May 2027'!AA34=TRUE,'May 2027'!AA34="x",'May 2027'!AA34="X"),1,0))</f>
        <v/>
      </c>
      <c r="AC243" s="345">
        <f>IF($A243="","",IF(OR('May 2027'!AA35=TRUE,'May 2027'!AA35="x",'May 2027'!AA35="X"),1,0))</f>
        <v/>
      </c>
      <c r="AD243" s="345">
        <f>IF($A243="","",IF(OR('May 2027'!AA36=TRUE,'May 2027'!AA36="x",'May 2027'!AA36="X"),1,0))</f>
        <v/>
      </c>
      <c r="AE243" s="345">
        <f>IF($A243="","",IF(OR('May 2027'!AA37=TRUE,'May 2027'!AA37="x",'May 2027'!AA37="X"),1,0))</f>
        <v/>
      </c>
      <c r="AF243" s="345">
        <f>IF($A243="","",IF('May 2027'!AA59="","",'May 2027'!AA59))</f>
        <v/>
      </c>
      <c r="AG243" s="345">
        <f>IF($A243="","",IF('May 2027'!AA60="","",'May 2027'!AA60))</f>
        <v/>
      </c>
      <c r="AH243" s="345">
        <f>IF($A243="","",IF('May 2027'!AA61="","",'May 2027'!AA61))</f>
        <v/>
      </c>
      <c r="AI243" s="345">
        <f>IF($A243="","",IF('May 2027'!AA62="","",'May 2027'!AA62))</f>
        <v/>
      </c>
      <c r="AJ243" s="345">
        <f>IF($A243="","",IF('May 2027'!AA63="","",'May 2027'!AA63))</f>
        <v/>
      </c>
      <c r="AK243" s="345">
        <f>IF($A243="","",IF('May 2027'!AA64="","",'May 2027'!AA64))</f>
        <v/>
      </c>
      <c r="AL243" s="345">
        <f>IF($A243="","",IF('May 2027'!AA65="","",'May 2027'!AA65))</f>
        <v/>
      </c>
      <c r="AM243" s="345">
        <f>IF($A243="","",IF('May 2027'!AA66="","",'May 2027'!AA66))</f>
        <v/>
      </c>
      <c r="AN243" s="345">
        <f>IF($A243="","",IF('May 2027'!AA67="","",'May 2027'!AA67))</f>
        <v/>
      </c>
      <c r="AO243" s="345">
        <f>IF($A243="",0,IF(AND($A243&gt;=TrackStart,$A243&lt;=TODAY()),1,0))</f>
        <v/>
      </c>
      <c r="AP243" s="345">
        <f>IF($A243="",0,IF(SUM(F243:AE243)+COUNT(AF243:AN243)&gt;0,1,0))</f>
        <v/>
      </c>
      <c r="AQ243" s="345">
        <f>IF($A243="","",INT(($A243-TrackStart)/7)+1)</f>
        <v/>
      </c>
      <c r="AR243" s="345">
        <f>IF($A243="","",IF(AQ243&lt;=1,Steps1,IF(AQ243=2,Steps2,Steps3)))</f>
        <v/>
      </c>
      <c r="AS243" s="345">
        <f>IF($A243="",0,IF(ISNUMBER(SEARCH(TEXT(D243,"0"),WorkDays&amp;"")),1,0))</f>
        <v/>
      </c>
      <c r="AT243" s="345">
        <f>IF($A243="",0,IF(ISNUMBER(SEARCH(TEXT(D243,"0"),StrDays&amp;"")),1,0))</f>
        <v/>
      </c>
      <c r="AU243" s="345">
        <f>IF($A243="",0,IF(ISNUMBER(AK243),IF(AK243&gt;=SleepMin,1,0),N243))</f>
        <v/>
      </c>
      <c r="AV243" s="345">
        <f>IF($A243="",0,MAX(I243,O243,S243,AC243))</f>
        <v/>
      </c>
      <c r="AW243" s="345">
        <f>IF($A243="",0,IF(ISNUMBER(AH243),IF(AH243&gt;=ProtHit,1,0),0))</f>
        <v/>
      </c>
      <c r="AX243" s="345">
        <f>IF($A243="",0,IF(ISNUMBER(AI243),IF(AI243&gt;=WaterHit,1,0),0))</f>
        <v/>
      </c>
      <c r="AY243" s="345">
        <f>IF($A243="",0,IF(ISNUMBER(AG243),IF(AG243&gt;=AR243,1,0),0))</f>
        <v/>
      </c>
      <c r="AZ243" s="345">
        <f>IF($A243="",0,G243)</f>
        <v/>
      </c>
      <c r="BA243" s="345">
        <f>IF($A243="",0,J243)</f>
        <v/>
      </c>
      <c r="BB243" s="345">
        <f>IF($A243="",0,K243)</f>
        <v/>
      </c>
      <c r="BC243" s="345">
        <f>IF($A243="",0,MAX(L243,AE243))</f>
        <v/>
      </c>
      <c r="BD243" s="344">
        <f>IF($A243="","",(AU243+AV243+AW243+AX243+AY243+AZ243+BB243+BC243+IF(AS243=1,BA243,0))/(8+AS243))</f>
        <v/>
      </c>
      <c r="BE243" s="344">
        <f>IF($A243="","",(IF(ISNUMBER(AI243),IF(AI243&gt;=WaterMVD,1,0),0)+AV243+IF(ISNUMBER(AH243),IF(AH243&gt;=ProtMVD,1,0),0)+MAX(H243,AD243)+AZ243+BB243+AU243)/7)</f>
        <v/>
      </c>
      <c r="BF243" s="344">
        <f>IF(AO243=0,"",IF(E243="S","",IF(AND(AP243=0,$A243=TODAY()),"",IF(E243="M",BE243,BD243))))</f>
        <v/>
      </c>
      <c r="BG243" s="344">
        <f>IF(AO243=0,"",IFERROR(AVERAGEIFS(Data!$BF$4:$BF$375,Data!$A$4:$A$375,"&gt;"&amp;($A243-7),Data!$A$4:$A$375,"&lt;="&amp;$A243),""))</f>
        <v/>
      </c>
      <c r="BH243" s="344">
        <f>IF(AO243=0,"",IFERROR(AVERAGEIFS(Data!$BF$4:$BF$375,Data!$A$4:$A$375,"&gt;"&amp;($A243-30),Data!$A$4:$A$375,"&lt;="&amp;$A243),""))</f>
        <v/>
      </c>
      <c r="BI243" s="359">
        <f>IF($A243="","",IFERROR(AVERAGEIFS(Data!$AF$4:$AF$375,Data!$A$4:$A$375,"&gt;"&amp;($A243-7),Data!$A$4:$A$375,"&lt;="&amp;$A243,Data!$AF$4:$AF$375,"&gt;0"),""))</f>
        <v/>
      </c>
      <c r="BJ243" s="345">
        <f>IF($A243="","",F243+G243+H243+I243+J243+K243+L243+M243+N243-IF(AS243=1,0,J243))</f>
        <v/>
      </c>
      <c r="BK243" s="345">
        <f>IF($A243="","",8+AS243)</f>
        <v/>
      </c>
      <c r="BL243" s="345">
        <f>IF(ISNUMBER(BF243),BF243,NA())</f>
        <v/>
      </c>
      <c r="BM243" s="345">
        <f>IF(ISNUMBER(AF243),AF243,NA())</f>
        <v/>
      </c>
      <c r="BN243" s="345">
        <f>IF(ISNUMBER(BI243),BI243,NA())</f>
        <v/>
      </c>
      <c r="BO243" s="345">
        <f>IF(ISNUMBER(AL243),AL243,NA())</f>
        <v/>
      </c>
      <c r="BP243" s="345">
        <f>IF(ISNUMBER(AM243),AM243,NA())</f>
        <v/>
      </c>
      <c r="BQ243" s="345">
        <f>IF(ISNUMBER(AN243),AN243,NA())</f>
        <v/>
      </c>
    </row>
    <row r="244">
      <c r="A244" s="358">
        <f>IF('May 2027'!AB7="","",'May 2027'!AB7)</f>
        <v/>
      </c>
      <c r="B244" s="345" t="n">
        <v>8</v>
      </c>
      <c r="C244" s="345">
        <f>IF($A244="","",24)</f>
        <v/>
      </c>
      <c r="D244" s="345">
        <f>IF($A244="","",WEEKDAY($A244,2))</f>
        <v/>
      </c>
      <c r="E244" s="345">
        <f>IF($A244="","",UPPER(TRIM('May 2027'!AB8)))</f>
        <v/>
      </c>
      <c r="F244" s="345">
        <f>IF($A244="","",IF(OR('May 2027'!AB10=TRUE,'May 2027'!AB10="x",'May 2027'!AB10="X"),1,0))</f>
        <v/>
      </c>
      <c r="G244" s="345">
        <f>IF($A244="","",IF(OR('May 2027'!AB11=TRUE,'May 2027'!AB11="x",'May 2027'!AB11="X"),1,0))</f>
        <v/>
      </c>
      <c r="H244" s="345">
        <f>IF($A244="","",IF(OR('May 2027'!AB12=TRUE,'May 2027'!AB12="x",'May 2027'!AB12="X"),1,0))</f>
        <v/>
      </c>
      <c r="I244" s="345">
        <f>IF($A244="","",IF(OR('May 2027'!AB13=TRUE,'May 2027'!AB13="x",'May 2027'!AB13="X"),1,0))</f>
        <v/>
      </c>
      <c r="J244" s="345">
        <f>IF($A244="","",IF(OR('May 2027'!AB14=TRUE,'May 2027'!AB14="x",'May 2027'!AB14="X"),1,0))</f>
        <v/>
      </c>
      <c r="K244" s="345">
        <f>IF($A244="","",IF(OR('May 2027'!AB15=TRUE,'May 2027'!AB15="x",'May 2027'!AB15="X"),1,0))</f>
        <v/>
      </c>
      <c r="L244" s="345">
        <f>IF($A244="","",IF(OR('May 2027'!AB16=TRUE,'May 2027'!AB16="x",'May 2027'!AB16="X"),1,0))</f>
        <v/>
      </c>
      <c r="M244" s="345">
        <f>IF($A244="","",IF(OR('May 2027'!AB17=TRUE,'May 2027'!AB17="x",'May 2027'!AB17="X"),1,0))</f>
        <v/>
      </c>
      <c r="N244" s="345">
        <f>IF($A244="","",IF(OR('May 2027'!AB18=TRUE,'May 2027'!AB18="x",'May 2027'!AB18="X"),1,0))</f>
        <v/>
      </c>
      <c r="O244" s="345">
        <f>IF($A244="","",IF(OR('May 2027'!AB20=TRUE,'May 2027'!AB20="x",'May 2027'!AB20="X"),1,0))</f>
        <v/>
      </c>
      <c r="P244" s="345">
        <f>IF($A244="","",IF(OR('May 2027'!AB21=TRUE,'May 2027'!AB21="x",'May 2027'!AB21="X"),1,0))</f>
        <v/>
      </c>
      <c r="Q244" s="345">
        <f>IF($A244="","",IF(OR('May 2027'!AB22=TRUE,'May 2027'!AB22="x",'May 2027'!AB22="X"),1,0))</f>
        <v/>
      </c>
      <c r="R244" s="345">
        <f>IF($A244="","",IF(OR('May 2027'!AB23=TRUE,'May 2027'!AB23="x",'May 2027'!AB23="X"),1,0))</f>
        <v/>
      </c>
      <c r="S244" s="345">
        <f>IF($A244="","",IF(OR('May 2027'!AB24=TRUE,'May 2027'!AB24="x",'May 2027'!AB24="X"),1,0))</f>
        <v/>
      </c>
      <c r="T244" s="345">
        <f>IF($A244="","",IF(OR('May 2027'!AB25=TRUE,'May 2027'!AB25="x",'May 2027'!AB25="X"),1,0))</f>
        <v/>
      </c>
      <c r="U244" s="345">
        <f>IF($A244="","",IF(OR('May 2027'!AB26=TRUE,'May 2027'!AB26="x",'May 2027'!AB26="X"),1,0))</f>
        <v/>
      </c>
      <c r="V244" s="345">
        <f>IF($A244="","",IF(OR('May 2027'!AB27=TRUE,'May 2027'!AB27="x",'May 2027'!AB27="X"),1,0))</f>
        <v/>
      </c>
      <c r="W244" s="345">
        <f>IF($A244="","",IF(OR('May 2027'!AB28=TRUE,'May 2027'!AB28="x",'May 2027'!AB28="X"),1,0))</f>
        <v/>
      </c>
      <c r="X244" s="345">
        <f>IF($A244="","",IF(OR('May 2027'!AB29=TRUE,'May 2027'!AB29="x",'May 2027'!AB29="X"),1,0))</f>
        <v/>
      </c>
      <c r="Y244" s="345">
        <f>IF($A244="","",IF(OR('May 2027'!AB30=TRUE,'May 2027'!AB30="x",'May 2027'!AB30="X"),1,0))</f>
        <v/>
      </c>
      <c r="Z244" s="345">
        <f>IF($A244="","",IF(OR('May 2027'!AB31=TRUE,'May 2027'!AB31="x",'May 2027'!AB31="X"),1,0))</f>
        <v/>
      </c>
      <c r="AA244" s="345">
        <f>IF($A244="","",IF(OR('May 2027'!AB32=TRUE,'May 2027'!AB32="x",'May 2027'!AB32="X"),1,0))</f>
        <v/>
      </c>
      <c r="AB244" s="345">
        <f>IF($A244="","",IF(OR('May 2027'!AB34=TRUE,'May 2027'!AB34="x",'May 2027'!AB34="X"),1,0))</f>
        <v/>
      </c>
      <c r="AC244" s="345">
        <f>IF($A244="","",IF(OR('May 2027'!AB35=TRUE,'May 2027'!AB35="x",'May 2027'!AB35="X"),1,0))</f>
        <v/>
      </c>
      <c r="AD244" s="345">
        <f>IF($A244="","",IF(OR('May 2027'!AB36=TRUE,'May 2027'!AB36="x",'May 2027'!AB36="X"),1,0))</f>
        <v/>
      </c>
      <c r="AE244" s="345">
        <f>IF($A244="","",IF(OR('May 2027'!AB37=TRUE,'May 2027'!AB37="x",'May 2027'!AB37="X"),1,0))</f>
        <v/>
      </c>
      <c r="AF244" s="345">
        <f>IF($A244="","",IF('May 2027'!AB59="","",'May 2027'!AB59))</f>
        <v/>
      </c>
      <c r="AG244" s="345">
        <f>IF($A244="","",IF('May 2027'!AB60="","",'May 2027'!AB60))</f>
        <v/>
      </c>
      <c r="AH244" s="345">
        <f>IF($A244="","",IF('May 2027'!AB61="","",'May 2027'!AB61))</f>
        <v/>
      </c>
      <c r="AI244" s="345">
        <f>IF($A244="","",IF('May 2027'!AB62="","",'May 2027'!AB62))</f>
        <v/>
      </c>
      <c r="AJ244" s="345">
        <f>IF($A244="","",IF('May 2027'!AB63="","",'May 2027'!AB63))</f>
        <v/>
      </c>
      <c r="AK244" s="345">
        <f>IF($A244="","",IF('May 2027'!AB64="","",'May 2027'!AB64))</f>
        <v/>
      </c>
      <c r="AL244" s="345">
        <f>IF($A244="","",IF('May 2027'!AB65="","",'May 2027'!AB65))</f>
        <v/>
      </c>
      <c r="AM244" s="345">
        <f>IF($A244="","",IF('May 2027'!AB66="","",'May 2027'!AB66))</f>
        <v/>
      </c>
      <c r="AN244" s="345">
        <f>IF($A244="","",IF('May 2027'!AB67="","",'May 2027'!AB67))</f>
        <v/>
      </c>
      <c r="AO244" s="345">
        <f>IF($A244="",0,IF(AND($A244&gt;=TrackStart,$A244&lt;=TODAY()),1,0))</f>
        <v/>
      </c>
      <c r="AP244" s="345">
        <f>IF($A244="",0,IF(SUM(F244:AE244)+COUNT(AF244:AN244)&gt;0,1,0))</f>
        <v/>
      </c>
      <c r="AQ244" s="345">
        <f>IF($A244="","",INT(($A244-TrackStart)/7)+1)</f>
        <v/>
      </c>
      <c r="AR244" s="345">
        <f>IF($A244="","",IF(AQ244&lt;=1,Steps1,IF(AQ244=2,Steps2,Steps3)))</f>
        <v/>
      </c>
      <c r="AS244" s="345">
        <f>IF($A244="",0,IF(ISNUMBER(SEARCH(TEXT(D244,"0"),WorkDays&amp;"")),1,0))</f>
        <v/>
      </c>
      <c r="AT244" s="345">
        <f>IF($A244="",0,IF(ISNUMBER(SEARCH(TEXT(D244,"0"),StrDays&amp;"")),1,0))</f>
        <v/>
      </c>
      <c r="AU244" s="345">
        <f>IF($A244="",0,IF(ISNUMBER(AK244),IF(AK244&gt;=SleepMin,1,0),N244))</f>
        <v/>
      </c>
      <c r="AV244" s="345">
        <f>IF($A244="",0,MAX(I244,O244,S244,AC244))</f>
        <v/>
      </c>
      <c r="AW244" s="345">
        <f>IF($A244="",0,IF(ISNUMBER(AH244),IF(AH244&gt;=ProtHit,1,0),0))</f>
        <v/>
      </c>
      <c r="AX244" s="345">
        <f>IF($A244="",0,IF(ISNUMBER(AI244),IF(AI244&gt;=WaterHit,1,0),0))</f>
        <v/>
      </c>
      <c r="AY244" s="345">
        <f>IF($A244="",0,IF(ISNUMBER(AG244),IF(AG244&gt;=AR244,1,0),0))</f>
        <v/>
      </c>
      <c r="AZ244" s="345">
        <f>IF($A244="",0,G244)</f>
        <v/>
      </c>
      <c r="BA244" s="345">
        <f>IF($A244="",0,J244)</f>
        <v/>
      </c>
      <c r="BB244" s="345">
        <f>IF($A244="",0,K244)</f>
        <v/>
      </c>
      <c r="BC244" s="345">
        <f>IF($A244="",0,MAX(L244,AE244))</f>
        <v/>
      </c>
      <c r="BD244" s="344">
        <f>IF($A244="","",(AU244+AV244+AW244+AX244+AY244+AZ244+BB244+BC244+IF(AS244=1,BA244,0))/(8+AS244))</f>
        <v/>
      </c>
      <c r="BE244" s="344">
        <f>IF($A244="","",(IF(ISNUMBER(AI244),IF(AI244&gt;=WaterMVD,1,0),0)+AV244+IF(ISNUMBER(AH244),IF(AH244&gt;=ProtMVD,1,0),0)+MAX(H244,AD244)+AZ244+BB244+AU244)/7)</f>
        <v/>
      </c>
      <c r="BF244" s="344">
        <f>IF(AO244=0,"",IF(E244="S","",IF(AND(AP244=0,$A244=TODAY()),"",IF(E244="M",BE244,BD244))))</f>
        <v/>
      </c>
      <c r="BG244" s="344">
        <f>IF(AO244=0,"",IFERROR(AVERAGEIFS(Data!$BF$4:$BF$375,Data!$A$4:$A$375,"&gt;"&amp;($A244-7),Data!$A$4:$A$375,"&lt;="&amp;$A244),""))</f>
        <v/>
      </c>
      <c r="BH244" s="344">
        <f>IF(AO244=0,"",IFERROR(AVERAGEIFS(Data!$BF$4:$BF$375,Data!$A$4:$A$375,"&gt;"&amp;($A244-30),Data!$A$4:$A$375,"&lt;="&amp;$A244),""))</f>
        <v/>
      </c>
      <c r="BI244" s="359">
        <f>IF($A244="","",IFERROR(AVERAGEIFS(Data!$AF$4:$AF$375,Data!$A$4:$A$375,"&gt;"&amp;($A244-7),Data!$A$4:$A$375,"&lt;="&amp;$A244,Data!$AF$4:$AF$375,"&gt;0"),""))</f>
        <v/>
      </c>
      <c r="BJ244" s="345">
        <f>IF($A244="","",F244+G244+H244+I244+J244+K244+L244+M244+N244-IF(AS244=1,0,J244))</f>
        <v/>
      </c>
      <c r="BK244" s="345">
        <f>IF($A244="","",8+AS244)</f>
        <v/>
      </c>
      <c r="BL244" s="345">
        <f>IF(ISNUMBER(BF244),BF244,NA())</f>
        <v/>
      </c>
      <c r="BM244" s="345">
        <f>IF(ISNUMBER(AF244),AF244,NA())</f>
        <v/>
      </c>
      <c r="BN244" s="345">
        <f>IF(ISNUMBER(BI244),BI244,NA())</f>
        <v/>
      </c>
      <c r="BO244" s="345">
        <f>IF(ISNUMBER(AL244),AL244,NA())</f>
        <v/>
      </c>
      <c r="BP244" s="345">
        <f>IF(ISNUMBER(AM244),AM244,NA())</f>
        <v/>
      </c>
      <c r="BQ244" s="345">
        <f>IF(ISNUMBER(AN244),AN244,NA())</f>
        <v/>
      </c>
    </row>
    <row r="245">
      <c r="A245" s="358">
        <f>IF('May 2027'!AC7="","",'May 2027'!AC7)</f>
        <v/>
      </c>
      <c r="B245" s="345" t="n">
        <v>8</v>
      </c>
      <c r="C245" s="345">
        <f>IF($A245="","",25)</f>
        <v/>
      </c>
      <c r="D245" s="345">
        <f>IF($A245="","",WEEKDAY($A245,2))</f>
        <v/>
      </c>
      <c r="E245" s="345">
        <f>IF($A245="","",UPPER(TRIM('May 2027'!AC8)))</f>
        <v/>
      </c>
      <c r="F245" s="345">
        <f>IF($A245="","",IF(OR('May 2027'!AC10=TRUE,'May 2027'!AC10="x",'May 2027'!AC10="X"),1,0))</f>
        <v/>
      </c>
      <c r="G245" s="345">
        <f>IF($A245="","",IF(OR('May 2027'!AC11=TRUE,'May 2027'!AC11="x",'May 2027'!AC11="X"),1,0))</f>
        <v/>
      </c>
      <c r="H245" s="345">
        <f>IF($A245="","",IF(OR('May 2027'!AC12=TRUE,'May 2027'!AC12="x",'May 2027'!AC12="X"),1,0))</f>
        <v/>
      </c>
      <c r="I245" s="345">
        <f>IF($A245="","",IF(OR('May 2027'!AC13=TRUE,'May 2027'!AC13="x",'May 2027'!AC13="X"),1,0))</f>
        <v/>
      </c>
      <c r="J245" s="345">
        <f>IF($A245="","",IF(OR('May 2027'!AC14=TRUE,'May 2027'!AC14="x",'May 2027'!AC14="X"),1,0))</f>
        <v/>
      </c>
      <c r="K245" s="345">
        <f>IF($A245="","",IF(OR('May 2027'!AC15=TRUE,'May 2027'!AC15="x",'May 2027'!AC15="X"),1,0))</f>
        <v/>
      </c>
      <c r="L245" s="345">
        <f>IF($A245="","",IF(OR('May 2027'!AC16=TRUE,'May 2027'!AC16="x",'May 2027'!AC16="X"),1,0))</f>
        <v/>
      </c>
      <c r="M245" s="345">
        <f>IF($A245="","",IF(OR('May 2027'!AC17=TRUE,'May 2027'!AC17="x",'May 2027'!AC17="X"),1,0))</f>
        <v/>
      </c>
      <c r="N245" s="345">
        <f>IF($A245="","",IF(OR('May 2027'!AC18=TRUE,'May 2027'!AC18="x",'May 2027'!AC18="X"),1,0))</f>
        <v/>
      </c>
      <c r="O245" s="345">
        <f>IF($A245="","",IF(OR('May 2027'!AC20=TRUE,'May 2027'!AC20="x",'May 2027'!AC20="X"),1,0))</f>
        <v/>
      </c>
      <c r="P245" s="345">
        <f>IF($A245="","",IF(OR('May 2027'!AC21=TRUE,'May 2027'!AC21="x",'May 2027'!AC21="X"),1,0))</f>
        <v/>
      </c>
      <c r="Q245" s="345">
        <f>IF($A245="","",IF(OR('May 2027'!AC22=TRUE,'May 2027'!AC22="x",'May 2027'!AC22="X"),1,0))</f>
        <v/>
      </c>
      <c r="R245" s="345">
        <f>IF($A245="","",IF(OR('May 2027'!AC23=TRUE,'May 2027'!AC23="x",'May 2027'!AC23="X"),1,0))</f>
        <v/>
      </c>
      <c r="S245" s="345">
        <f>IF($A245="","",IF(OR('May 2027'!AC24=TRUE,'May 2027'!AC24="x",'May 2027'!AC24="X"),1,0))</f>
        <v/>
      </c>
      <c r="T245" s="345">
        <f>IF($A245="","",IF(OR('May 2027'!AC25=TRUE,'May 2027'!AC25="x",'May 2027'!AC25="X"),1,0))</f>
        <v/>
      </c>
      <c r="U245" s="345">
        <f>IF($A245="","",IF(OR('May 2027'!AC26=TRUE,'May 2027'!AC26="x",'May 2027'!AC26="X"),1,0))</f>
        <v/>
      </c>
      <c r="V245" s="345">
        <f>IF($A245="","",IF(OR('May 2027'!AC27=TRUE,'May 2027'!AC27="x",'May 2027'!AC27="X"),1,0))</f>
        <v/>
      </c>
      <c r="W245" s="345">
        <f>IF($A245="","",IF(OR('May 2027'!AC28=TRUE,'May 2027'!AC28="x",'May 2027'!AC28="X"),1,0))</f>
        <v/>
      </c>
      <c r="X245" s="345">
        <f>IF($A245="","",IF(OR('May 2027'!AC29=TRUE,'May 2027'!AC29="x",'May 2027'!AC29="X"),1,0))</f>
        <v/>
      </c>
      <c r="Y245" s="345">
        <f>IF($A245="","",IF(OR('May 2027'!AC30=TRUE,'May 2027'!AC30="x",'May 2027'!AC30="X"),1,0))</f>
        <v/>
      </c>
      <c r="Z245" s="345">
        <f>IF($A245="","",IF(OR('May 2027'!AC31=TRUE,'May 2027'!AC31="x",'May 2027'!AC31="X"),1,0))</f>
        <v/>
      </c>
      <c r="AA245" s="345">
        <f>IF($A245="","",IF(OR('May 2027'!AC32=TRUE,'May 2027'!AC32="x",'May 2027'!AC32="X"),1,0))</f>
        <v/>
      </c>
      <c r="AB245" s="345">
        <f>IF($A245="","",IF(OR('May 2027'!AC34=TRUE,'May 2027'!AC34="x",'May 2027'!AC34="X"),1,0))</f>
        <v/>
      </c>
      <c r="AC245" s="345">
        <f>IF($A245="","",IF(OR('May 2027'!AC35=TRUE,'May 2027'!AC35="x",'May 2027'!AC35="X"),1,0))</f>
        <v/>
      </c>
      <c r="AD245" s="345">
        <f>IF($A245="","",IF(OR('May 2027'!AC36=TRUE,'May 2027'!AC36="x",'May 2027'!AC36="X"),1,0))</f>
        <v/>
      </c>
      <c r="AE245" s="345">
        <f>IF($A245="","",IF(OR('May 2027'!AC37=TRUE,'May 2027'!AC37="x",'May 2027'!AC37="X"),1,0))</f>
        <v/>
      </c>
      <c r="AF245" s="345">
        <f>IF($A245="","",IF('May 2027'!AC59="","",'May 2027'!AC59))</f>
        <v/>
      </c>
      <c r="AG245" s="345">
        <f>IF($A245="","",IF('May 2027'!AC60="","",'May 2027'!AC60))</f>
        <v/>
      </c>
      <c r="AH245" s="345">
        <f>IF($A245="","",IF('May 2027'!AC61="","",'May 2027'!AC61))</f>
        <v/>
      </c>
      <c r="AI245" s="345">
        <f>IF($A245="","",IF('May 2027'!AC62="","",'May 2027'!AC62))</f>
        <v/>
      </c>
      <c r="AJ245" s="345">
        <f>IF($A245="","",IF('May 2027'!AC63="","",'May 2027'!AC63))</f>
        <v/>
      </c>
      <c r="AK245" s="345">
        <f>IF($A245="","",IF('May 2027'!AC64="","",'May 2027'!AC64))</f>
        <v/>
      </c>
      <c r="AL245" s="345">
        <f>IF($A245="","",IF('May 2027'!AC65="","",'May 2027'!AC65))</f>
        <v/>
      </c>
      <c r="AM245" s="345">
        <f>IF($A245="","",IF('May 2027'!AC66="","",'May 2027'!AC66))</f>
        <v/>
      </c>
      <c r="AN245" s="345">
        <f>IF($A245="","",IF('May 2027'!AC67="","",'May 2027'!AC67))</f>
        <v/>
      </c>
      <c r="AO245" s="345">
        <f>IF($A245="",0,IF(AND($A245&gt;=TrackStart,$A245&lt;=TODAY()),1,0))</f>
        <v/>
      </c>
      <c r="AP245" s="345">
        <f>IF($A245="",0,IF(SUM(F245:AE245)+COUNT(AF245:AN245)&gt;0,1,0))</f>
        <v/>
      </c>
      <c r="AQ245" s="345">
        <f>IF($A245="","",INT(($A245-TrackStart)/7)+1)</f>
        <v/>
      </c>
      <c r="AR245" s="345">
        <f>IF($A245="","",IF(AQ245&lt;=1,Steps1,IF(AQ245=2,Steps2,Steps3)))</f>
        <v/>
      </c>
      <c r="AS245" s="345">
        <f>IF($A245="",0,IF(ISNUMBER(SEARCH(TEXT(D245,"0"),WorkDays&amp;"")),1,0))</f>
        <v/>
      </c>
      <c r="AT245" s="345">
        <f>IF($A245="",0,IF(ISNUMBER(SEARCH(TEXT(D245,"0"),StrDays&amp;"")),1,0))</f>
        <v/>
      </c>
      <c r="AU245" s="345">
        <f>IF($A245="",0,IF(ISNUMBER(AK245),IF(AK245&gt;=SleepMin,1,0),N245))</f>
        <v/>
      </c>
      <c r="AV245" s="345">
        <f>IF($A245="",0,MAX(I245,O245,S245,AC245))</f>
        <v/>
      </c>
      <c r="AW245" s="345">
        <f>IF($A245="",0,IF(ISNUMBER(AH245),IF(AH245&gt;=ProtHit,1,0),0))</f>
        <v/>
      </c>
      <c r="AX245" s="345">
        <f>IF($A245="",0,IF(ISNUMBER(AI245),IF(AI245&gt;=WaterHit,1,0),0))</f>
        <v/>
      </c>
      <c r="AY245" s="345">
        <f>IF($A245="",0,IF(ISNUMBER(AG245),IF(AG245&gt;=AR245,1,0),0))</f>
        <v/>
      </c>
      <c r="AZ245" s="345">
        <f>IF($A245="",0,G245)</f>
        <v/>
      </c>
      <c r="BA245" s="345">
        <f>IF($A245="",0,J245)</f>
        <v/>
      </c>
      <c r="BB245" s="345">
        <f>IF($A245="",0,K245)</f>
        <v/>
      </c>
      <c r="BC245" s="345">
        <f>IF($A245="",0,MAX(L245,AE245))</f>
        <v/>
      </c>
      <c r="BD245" s="344">
        <f>IF($A245="","",(AU245+AV245+AW245+AX245+AY245+AZ245+BB245+BC245+IF(AS245=1,BA245,0))/(8+AS245))</f>
        <v/>
      </c>
      <c r="BE245" s="344">
        <f>IF($A245="","",(IF(ISNUMBER(AI245),IF(AI245&gt;=WaterMVD,1,0),0)+AV245+IF(ISNUMBER(AH245),IF(AH245&gt;=ProtMVD,1,0),0)+MAX(H245,AD245)+AZ245+BB245+AU245)/7)</f>
        <v/>
      </c>
      <c r="BF245" s="344">
        <f>IF(AO245=0,"",IF(E245="S","",IF(AND(AP245=0,$A245=TODAY()),"",IF(E245="M",BE245,BD245))))</f>
        <v/>
      </c>
      <c r="BG245" s="344">
        <f>IF(AO245=0,"",IFERROR(AVERAGEIFS(Data!$BF$4:$BF$375,Data!$A$4:$A$375,"&gt;"&amp;($A245-7),Data!$A$4:$A$375,"&lt;="&amp;$A245),""))</f>
        <v/>
      </c>
      <c r="BH245" s="344">
        <f>IF(AO245=0,"",IFERROR(AVERAGEIFS(Data!$BF$4:$BF$375,Data!$A$4:$A$375,"&gt;"&amp;($A245-30),Data!$A$4:$A$375,"&lt;="&amp;$A245),""))</f>
        <v/>
      </c>
      <c r="BI245" s="359">
        <f>IF($A245="","",IFERROR(AVERAGEIFS(Data!$AF$4:$AF$375,Data!$A$4:$A$375,"&gt;"&amp;($A245-7),Data!$A$4:$A$375,"&lt;="&amp;$A245,Data!$AF$4:$AF$375,"&gt;0"),""))</f>
        <v/>
      </c>
      <c r="BJ245" s="345">
        <f>IF($A245="","",F245+G245+H245+I245+J245+K245+L245+M245+N245-IF(AS245=1,0,J245))</f>
        <v/>
      </c>
      <c r="BK245" s="345">
        <f>IF($A245="","",8+AS245)</f>
        <v/>
      </c>
      <c r="BL245" s="345">
        <f>IF(ISNUMBER(BF245),BF245,NA())</f>
        <v/>
      </c>
      <c r="BM245" s="345">
        <f>IF(ISNUMBER(AF245),AF245,NA())</f>
        <v/>
      </c>
      <c r="BN245" s="345">
        <f>IF(ISNUMBER(BI245),BI245,NA())</f>
        <v/>
      </c>
      <c r="BO245" s="345">
        <f>IF(ISNUMBER(AL245),AL245,NA())</f>
        <v/>
      </c>
      <c r="BP245" s="345">
        <f>IF(ISNUMBER(AM245),AM245,NA())</f>
        <v/>
      </c>
      <c r="BQ245" s="345">
        <f>IF(ISNUMBER(AN245),AN245,NA())</f>
        <v/>
      </c>
    </row>
    <row r="246">
      <c r="A246" s="358">
        <f>IF('May 2027'!AD7="","",'May 2027'!AD7)</f>
        <v/>
      </c>
      <c r="B246" s="345" t="n">
        <v>8</v>
      </c>
      <c r="C246" s="345">
        <f>IF($A246="","",26)</f>
        <v/>
      </c>
      <c r="D246" s="345">
        <f>IF($A246="","",WEEKDAY($A246,2))</f>
        <v/>
      </c>
      <c r="E246" s="345">
        <f>IF($A246="","",UPPER(TRIM('May 2027'!AD8)))</f>
        <v/>
      </c>
      <c r="F246" s="345">
        <f>IF($A246="","",IF(OR('May 2027'!AD10=TRUE,'May 2027'!AD10="x",'May 2027'!AD10="X"),1,0))</f>
        <v/>
      </c>
      <c r="G246" s="345">
        <f>IF($A246="","",IF(OR('May 2027'!AD11=TRUE,'May 2027'!AD11="x",'May 2027'!AD11="X"),1,0))</f>
        <v/>
      </c>
      <c r="H246" s="345">
        <f>IF($A246="","",IF(OR('May 2027'!AD12=TRUE,'May 2027'!AD12="x",'May 2027'!AD12="X"),1,0))</f>
        <v/>
      </c>
      <c r="I246" s="345">
        <f>IF($A246="","",IF(OR('May 2027'!AD13=TRUE,'May 2027'!AD13="x",'May 2027'!AD13="X"),1,0))</f>
        <v/>
      </c>
      <c r="J246" s="345">
        <f>IF($A246="","",IF(OR('May 2027'!AD14=TRUE,'May 2027'!AD14="x",'May 2027'!AD14="X"),1,0))</f>
        <v/>
      </c>
      <c r="K246" s="345">
        <f>IF($A246="","",IF(OR('May 2027'!AD15=TRUE,'May 2027'!AD15="x",'May 2027'!AD15="X"),1,0))</f>
        <v/>
      </c>
      <c r="L246" s="345">
        <f>IF($A246="","",IF(OR('May 2027'!AD16=TRUE,'May 2027'!AD16="x",'May 2027'!AD16="X"),1,0))</f>
        <v/>
      </c>
      <c r="M246" s="345">
        <f>IF($A246="","",IF(OR('May 2027'!AD17=TRUE,'May 2027'!AD17="x",'May 2027'!AD17="X"),1,0))</f>
        <v/>
      </c>
      <c r="N246" s="345">
        <f>IF($A246="","",IF(OR('May 2027'!AD18=TRUE,'May 2027'!AD18="x",'May 2027'!AD18="X"),1,0))</f>
        <v/>
      </c>
      <c r="O246" s="345">
        <f>IF($A246="","",IF(OR('May 2027'!AD20=TRUE,'May 2027'!AD20="x",'May 2027'!AD20="X"),1,0))</f>
        <v/>
      </c>
      <c r="P246" s="345">
        <f>IF($A246="","",IF(OR('May 2027'!AD21=TRUE,'May 2027'!AD21="x",'May 2027'!AD21="X"),1,0))</f>
        <v/>
      </c>
      <c r="Q246" s="345">
        <f>IF($A246="","",IF(OR('May 2027'!AD22=TRUE,'May 2027'!AD22="x",'May 2027'!AD22="X"),1,0))</f>
        <v/>
      </c>
      <c r="R246" s="345">
        <f>IF($A246="","",IF(OR('May 2027'!AD23=TRUE,'May 2027'!AD23="x",'May 2027'!AD23="X"),1,0))</f>
        <v/>
      </c>
      <c r="S246" s="345">
        <f>IF($A246="","",IF(OR('May 2027'!AD24=TRUE,'May 2027'!AD24="x",'May 2027'!AD24="X"),1,0))</f>
        <v/>
      </c>
      <c r="T246" s="345">
        <f>IF($A246="","",IF(OR('May 2027'!AD25=TRUE,'May 2027'!AD25="x",'May 2027'!AD25="X"),1,0))</f>
        <v/>
      </c>
      <c r="U246" s="345">
        <f>IF($A246="","",IF(OR('May 2027'!AD26=TRUE,'May 2027'!AD26="x",'May 2027'!AD26="X"),1,0))</f>
        <v/>
      </c>
      <c r="V246" s="345">
        <f>IF($A246="","",IF(OR('May 2027'!AD27=TRUE,'May 2027'!AD27="x",'May 2027'!AD27="X"),1,0))</f>
        <v/>
      </c>
      <c r="W246" s="345">
        <f>IF($A246="","",IF(OR('May 2027'!AD28=TRUE,'May 2027'!AD28="x",'May 2027'!AD28="X"),1,0))</f>
        <v/>
      </c>
      <c r="X246" s="345">
        <f>IF($A246="","",IF(OR('May 2027'!AD29=TRUE,'May 2027'!AD29="x",'May 2027'!AD29="X"),1,0))</f>
        <v/>
      </c>
      <c r="Y246" s="345">
        <f>IF($A246="","",IF(OR('May 2027'!AD30=TRUE,'May 2027'!AD30="x",'May 2027'!AD30="X"),1,0))</f>
        <v/>
      </c>
      <c r="Z246" s="345">
        <f>IF($A246="","",IF(OR('May 2027'!AD31=TRUE,'May 2027'!AD31="x",'May 2027'!AD31="X"),1,0))</f>
        <v/>
      </c>
      <c r="AA246" s="345">
        <f>IF($A246="","",IF(OR('May 2027'!AD32=TRUE,'May 2027'!AD32="x",'May 2027'!AD32="X"),1,0))</f>
        <v/>
      </c>
      <c r="AB246" s="345">
        <f>IF($A246="","",IF(OR('May 2027'!AD34=TRUE,'May 2027'!AD34="x",'May 2027'!AD34="X"),1,0))</f>
        <v/>
      </c>
      <c r="AC246" s="345">
        <f>IF($A246="","",IF(OR('May 2027'!AD35=TRUE,'May 2027'!AD35="x",'May 2027'!AD35="X"),1,0))</f>
        <v/>
      </c>
      <c r="AD246" s="345">
        <f>IF($A246="","",IF(OR('May 2027'!AD36=TRUE,'May 2027'!AD36="x",'May 2027'!AD36="X"),1,0))</f>
        <v/>
      </c>
      <c r="AE246" s="345">
        <f>IF($A246="","",IF(OR('May 2027'!AD37=TRUE,'May 2027'!AD37="x",'May 2027'!AD37="X"),1,0))</f>
        <v/>
      </c>
      <c r="AF246" s="345">
        <f>IF($A246="","",IF('May 2027'!AD59="","",'May 2027'!AD59))</f>
        <v/>
      </c>
      <c r="AG246" s="345">
        <f>IF($A246="","",IF('May 2027'!AD60="","",'May 2027'!AD60))</f>
        <v/>
      </c>
      <c r="AH246" s="345">
        <f>IF($A246="","",IF('May 2027'!AD61="","",'May 2027'!AD61))</f>
        <v/>
      </c>
      <c r="AI246" s="345">
        <f>IF($A246="","",IF('May 2027'!AD62="","",'May 2027'!AD62))</f>
        <v/>
      </c>
      <c r="AJ246" s="345">
        <f>IF($A246="","",IF('May 2027'!AD63="","",'May 2027'!AD63))</f>
        <v/>
      </c>
      <c r="AK246" s="345">
        <f>IF($A246="","",IF('May 2027'!AD64="","",'May 2027'!AD64))</f>
        <v/>
      </c>
      <c r="AL246" s="345">
        <f>IF($A246="","",IF('May 2027'!AD65="","",'May 2027'!AD65))</f>
        <v/>
      </c>
      <c r="AM246" s="345">
        <f>IF($A246="","",IF('May 2027'!AD66="","",'May 2027'!AD66))</f>
        <v/>
      </c>
      <c r="AN246" s="345">
        <f>IF($A246="","",IF('May 2027'!AD67="","",'May 2027'!AD67))</f>
        <v/>
      </c>
      <c r="AO246" s="345">
        <f>IF($A246="",0,IF(AND($A246&gt;=TrackStart,$A246&lt;=TODAY()),1,0))</f>
        <v/>
      </c>
      <c r="AP246" s="345">
        <f>IF($A246="",0,IF(SUM(F246:AE246)+COUNT(AF246:AN246)&gt;0,1,0))</f>
        <v/>
      </c>
      <c r="AQ246" s="345">
        <f>IF($A246="","",INT(($A246-TrackStart)/7)+1)</f>
        <v/>
      </c>
      <c r="AR246" s="345">
        <f>IF($A246="","",IF(AQ246&lt;=1,Steps1,IF(AQ246=2,Steps2,Steps3)))</f>
        <v/>
      </c>
      <c r="AS246" s="345">
        <f>IF($A246="",0,IF(ISNUMBER(SEARCH(TEXT(D246,"0"),WorkDays&amp;"")),1,0))</f>
        <v/>
      </c>
      <c r="AT246" s="345">
        <f>IF($A246="",0,IF(ISNUMBER(SEARCH(TEXT(D246,"0"),StrDays&amp;"")),1,0))</f>
        <v/>
      </c>
      <c r="AU246" s="345">
        <f>IF($A246="",0,IF(ISNUMBER(AK246),IF(AK246&gt;=SleepMin,1,0),N246))</f>
        <v/>
      </c>
      <c r="AV246" s="345">
        <f>IF($A246="",0,MAX(I246,O246,S246,AC246))</f>
        <v/>
      </c>
      <c r="AW246" s="345">
        <f>IF($A246="",0,IF(ISNUMBER(AH246),IF(AH246&gt;=ProtHit,1,0),0))</f>
        <v/>
      </c>
      <c r="AX246" s="345">
        <f>IF($A246="",0,IF(ISNUMBER(AI246),IF(AI246&gt;=WaterHit,1,0),0))</f>
        <v/>
      </c>
      <c r="AY246" s="345">
        <f>IF($A246="",0,IF(ISNUMBER(AG246),IF(AG246&gt;=AR246,1,0),0))</f>
        <v/>
      </c>
      <c r="AZ246" s="345">
        <f>IF($A246="",0,G246)</f>
        <v/>
      </c>
      <c r="BA246" s="345">
        <f>IF($A246="",0,J246)</f>
        <v/>
      </c>
      <c r="BB246" s="345">
        <f>IF($A246="",0,K246)</f>
        <v/>
      </c>
      <c r="BC246" s="345">
        <f>IF($A246="",0,MAX(L246,AE246))</f>
        <v/>
      </c>
      <c r="BD246" s="344">
        <f>IF($A246="","",(AU246+AV246+AW246+AX246+AY246+AZ246+BB246+BC246+IF(AS246=1,BA246,0))/(8+AS246))</f>
        <v/>
      </c>
      <c r="BE246" s="344">
        <f>IF($A246="","",(IF(ISNUMBER(AI246),IF(AI246&gt;=WaterMVD,1,0),0)+AV246+IF(ISNUMBER(AH246),IF(AH246&gt;=ProtMVD,1,0),0)+MAX(H246,AD246)+AZ246+BB246+AU246)/7)</f>
        <v/>
      </c>
      <c r="BF246" s="344">
        <f>IF(AO246=0,"",IF(E246="S","",IF(AND(AP246=0,$A246=TODAY()),"",IF(E246="M",BE246,BD246))))</f>
        <v/>
      </c>
      <c r="BG246" s="344">
        <f>IF(AO246=0,"",IFERROR(AVERAGEIFS(Data!$BF$4:$BF$375,Data!$A$4:$A$375,"&gt;"&amp;($A246-7),Data!$A$4:$A$375,"&lt;="&amp;$A246),""))</f>
        <v/>
      </c>
      <c r="BH246" s="344">
        <f>IF(AO246=0,"",IFERROR(AVERAGEIFS(Data!$BF$4:$BF$375,Data!$A$4:$A$375,"&gt;"&amp;($A246-30),Data!$A$4:$A$375,"&lt;="&amp;$A246),""))</f>
        <v/>
      </c>
      <c r="BI246" s="359">
        <f>IF($A246="","",IFERROR(AVERAGEIFS(Data!$AF$4:$AF$375,Data!$A$4:$A$375,"&gt;"&amp;($A246-7),Data!$A$4:$A$375,"&lt;="&amp;$A246,Data!$AF$4:$AF$375,"&gt;0"),""))</f>
        <v/>
      </c>
      <c r="BJ246" s="345">
        <f>IF($A246="","",F246+G246+H246+I246+J246+K246+L246+M246+N246-IF(AS246=1,0,J246))</f>
        <v/>
      </c>
      <c r="BK246" s="345">
        <f>IF($A246="","",8+AS246)</f>
        <v/>
      </c>
      <c r="BL246" s="345">
        <f>IF(ISNUMBER(BF246),BF246,NA())</f>
        <v/>
      </c>
      <c r="BM246" s="345">
        <f>IF(ISNUMBER(AF246),AF246,NA())</f>
        <v/>
      </c>
      <c r="BN246" s="345">
        <f>IF(ISNUMBER(BI246),BI246,NA())</f>
        <v/>
      </c>
      <c r="BO246" s="345">
        <f>IF(ISNUMBER(AL246),AL246,NA())</f>
        <v/>
      </c>
      <c r="BP246" s="345">
        <f>IF(ISNUMBER(AM246),AM246,NA())</f>
        <v/>
      </c>
      <c r="BQ246" s="345">
        <f>IF(ISNUMBER(AN246),AN246,NA())</f>
        <v/>
      </c>
    </row>
    <row r="247">
      <c r="A247" s="358">
        <f>IF('May 2027'!AE7="","",'May 2027'!AE7)</f>
        <v/>
      </c>
      <c r="B247" s="345" t="n">
        <v>8</v>
      </c>
      <c r="C247" s="345">
        <f>IF($A247="","",27)</f>
        <v/>
      </c>
      <c r="D247" s="345">
        <f>IF($A247="","",WEEKDAY($A247,2))</f>
        <v/>
      </c>
      <c r="E247" s="345">
        <f>IF($A247="","",UPPER(TRIM('May 2027'!AE8)))</f>
        <v/>
      </c>
      <c r="F247" s="345">
        <f>IF($A247="","",IF(OR('May 2027'!AE10=TRUE,'May 2027'!AE10="x",'May 2027'!AE10="X"),1,0))</f>
        <v/>
      </c>
      <c r="G247" s="345">
        <f>IF($A247="","",IF(OR('May 2027'!AE11=TRUE,'May 2027'!AE11="x",'May 2027'!AE11="X"),1,0))</f>
        <v/>
      </c>
      <c r="H247" s="345">
        <f>IF($A247="","",IF(OR('May 2027'!AE12=TRUE,'May 2027'!AE12="x",'May 2027'!AE12="X"),1,0))</f>
        <v/>
      </c>
      <c r="I247" s="345">
        <f>IF($A247="","",IF(OR('May 2027'!AE13=TRUE,'May 2027'!AE13="x",'May 2027'!AE13="X"),1,0))</f>
        <v/>
      </c>
      <c r="J247" s="345">
        <f>IF($A247="","",IF(OR('May 2027'!AE14=TRUE,'May 2027'!AE14="x",'May 2027'!AE14="X"),1,0))</f>
        <v/>
      </c>
      <c r="K247" s="345">
        <f>IF($A247="","",IF(OR('May 2027'!AE15=TRUE,'May 2027'!AE15="x",'May 2027'!AE15="X"),1,0))</f>
        <v/>
      </c>
      <c r="L247" s="345">
        <f>IF($A247="","",IF(OR('May 2027'!AE16=TRUE,'May 2027'!AE16="x",'May 2027'!AE16="X"),1,0))</f>
        <v/>
      </c>
      <c r="M247" s="345">
        <f>IF($A247="","",IF(OR('May 2027'!AE17=TRUE,'May 2027'!AE17="x",'May 2027'!AE17="X"),1,0))</f>
        <v/>
      </c>
      <c r="N247" s="345">
        <f>IF($A247="","",IF(OR('May 2027'!AE18=TRUE,'May 2027'!AE18="x",'May 2027'!AE18="X"),1,0))</f>
        <v/>
      </c>
      <c r="O247" s="345">
        <f>IF($A247="","",IF(OR('May 2027'!AE20=TRUE,'May 2027'!AE20="x",'May 2027'!AE20="X"),1,0))</f>
        <v/>
      </c>
      <c r="P247" s="345">
        <f>IF($A247="","",IF(OR('May 2027'!AE21=TRUE,'May 2027'!AE21="x",'May 2027'!AE21="X"),1,0))</f>
        <v/>
      </c>
      <c r="Q247" s="345">
        <f>IF($A247="","",IF(OR('May 2027'!AE22=TRUE,'May 2027'!AE22="x",'May 2027'!AE22="X"),1,0))</f>
        <v/>
      </c>
      <c r="R247" s="345">
        <f>IF($A247="","",IF(OR('May 2027'!AE23=TRUE,'May 2027'!AE23="x",'May 2027'!AE23="X"),1,0))</f>
        <v/>
      </c>
      <c r="S247" s="345">
        <f>IF($A247="","",IF(OR('May 2027'!AE24=TRUE,'May 2027'!AE24="x",'May 2027'!AE24="X"),1,0))</f>
        <v/>
      </c>
      <c r="T247" s="345">
        <f>IF($A247="","",IF(OR('May 2027'!AE25=TRUE,'May 2027'!AE25="x",'May 2027'!AE25="X"),1,0))</f>
        <v/>
      </c>
      <c r="U247" s="345">
        <f>IF($A247="","",IF(OR('May 2027'!AE26=TRUE,'May 2027'!AE26="x",'May 2027'!AE26="X"),1,0))</f>
        <v/>
      </c>
      <c r="V247" s="345">
        <f>IF($A247="","",IF(OR('May 2027'!AE27=TRUE,'May 2027'!AE27="x",'May 2027'!AE27="X"),1,0))</f>
        <v/>
      </c>
      <c r="W247" s="345">
        <f>IF($A247="","",IF(OR('May 2027'!AE28=TRUE,'May 2027'!AE28="x",'May 2027'!AE28="X"),1,0))</f>
        <v/>
      </c>
      <c r="X247" s="345">
        <f>IF($A247="","",IF(OR('May 2027'!AE29=TRUE,'May 2027'!AE29="x",'May 2027'!AE29="X"),1,0))</f>
        <v/>
      </c>
      <c r="Y247" s="345">
        <f>IF($A247="","",IF(OR('May 2027'!AE30=TRUE,'May 2027'!AE30="x",'May 2027'!AE30="X"),1,0))</f>
        <v/>
      </c>
      <c r="Z247" s="345">
        <f>IF($A247="","",IF(OR('May 2027'!AE31=TRUE,'May 2027'!AE31="x",'May 2027'!AE31="X"),1,0))</f>
        <v/>
      </c>
      <c r="AA247" s="345">
        <f>IF($A247="","",IF(OR('May 2027'!AE32=TRUE,'May 2027'!AE32="x",'May 2027'!AE32="X"),1,0))</f>
        <v/>
      </c>
      <c r="AB247" s="345">
        <f>IF($A247="","",IF(OR('May 2027'!AE34=TRUE,'May 2027'!AE34="x",'May 2027'!AE34="X"),1,0))</f>
        <v/>
      </c>
      <c r="AC247" s="345">
        <f>IF($A247="","",IF(OR('May 2027'!AE35=TRUE,'May 2027'!AE35="x",'May 2027'!AE35="X"),1,0))</f>
        <v/>
      </c>
      <c r="AD247" s="345">
        <f>IF($A247="","",IF(OR('May 2027'!AE36=TRUE,'May 2027'!AE36="x",'May 2027'!AE36="X"),1,0))</f>
        <v/>
      </c>
      <c r="AE247" s="345">
        <f>IF($A247="","",IF(OR('May 2027'!AE37=TRUE,'May 2027'!AE37="x",'May 2027'!AE37="X"),1,0))</f>
        <v/>
      </c>
      <c r="AF247" s="345">
        <f>IF($A247="","",IF('May 2027'!AE59="","",'May 2027'!AE59))</f>
        <v/>
      </c>
      <c r="AG247" s="345">
        <f>IF($A247="","",IF('May 2027'!AE60="","",'May 2027'!AE60))</f>
        <v/>
      </c>
      <c r="AH247" s="345">
        <f>IF($A247="","",IF('May 2027'!AE61="","",'May 2027'!AE61))</f>
        <v/>
      </c>
      <c r="AI247" s="345">
        <f>IF($A247="","",IF('May 2027'!AE62="","",'May 2027'!AE62))</f>
        <v/>
      </c>
      <c r="AJ247" s="345">
        <f>IF($A247="","",IF('May 2027'!AE63="","",'May 2027'!AE63))</f>
        <v/>
      </c>
      <c r="AK247" s="345">
        <f>IF($A247="","",IF('May 2027'!AE64="","",'May 2027'!AE64))</f>
        <v/>
      </c>
      <c r="AL247" s="345">
        <f>IF($A247="","",IF('May 2027'!AE65="","",'May 2027'!AE65))</f>
        <v/>
      </c>
      <c r="AM247" s="345">
        <f>IF($A247="","",IF('May 2027'!AE66="","",'May 2027'!AE66))</f>
        <v/>
      </c>
      <c r="AN247" s="345">
        <f>IF($A247="","",IF('May 2027'!AE67="","",'May 2027'!AE67))</f>
        <v/>
      </c>
      <c r="AO247" s="345">
        <f>IF($A247="",0,IF(AND($A247&gt;=TrackStart,$A247&lt;=TODAY()),1,0))</f>
        <v/>
      </c>
      <c r="AP247" s="345">
        <f>IF($A247="",0,IF(SUM(F247:AE247)+COUNT(AF247:AN247)&gt;0,1,0))</f>
        <v/>
      </c>
      <c r="AQ247" s="345">
        <f>IF($A247="","",INT(($A247-TrackStart)/7)+1)</f>
        <v/>
      </c>
      <c r="AR247" s="345">
        <f>IF($A247="","",IF(AQ247&lt;=1,Steps1,IF(AQ247=2,Steps2,Steps3)))</f>
        <v/>
      </c>
      <c r="AS247" s="345">
        <f>IF($A247="",0,IF(ISNUMBER(SEARCH(TEXT(D247,"0"),WorkDays&amp;"")),1,0))</f>
        <v/>
      </c>
      <c r="AT247" s="345">
        <f>IF($A247="",0,IF(ISNUMBER(SEARCH(TEXT(D247,"0"),StrDays&amp;"")),1,0))</f>
        <v/>
      </c>
      <c r="AU247" s="345">
        <f>IF($A247="",0,IF(ISNUMBER(AK247),IF(AK247&gt;=SleepMin,1,0),N247))</f>
        <v/>
      </c>
      <c r="AV247" s="345">
        <f>IF($A247="",0,MAX(I247,O247,S247,AC247))</f>
        <v/>
      </c>
      <c r="AW247" s="345">
        <f>IF($A247="",0,IF(ISNUMBER(AH247),IF(AH247&gt;=ProtHit,1,0),0))</f>
        <v/>
      </c>
      <c r="AX247" s="345">
        <f>IF($A247="",0,IF(ISNUMBER(AI247),IF(AI247&gt;=WaterHit,1,0),0))</f>
        <v/>
      </c>
      <c r="AY247" s="345">
        <f>IF($A247="",0,IF(ISNUMBER(AG247),IF(AG247&gt;=AR247,1,0),0))</f>
        <v/>
      </c>
      <c r="AZ247" s="345">
        <f>IF($A247="",0,G247)</f>
        <v/>
      </c>
      <c r="BA247" s="345">
        <f>IF($A247="",0,J247)</f>
        <v/>
      </c>
      <c r="BB247" s="345">
        <f>IF($A247="",0,K247)</f>
        <v/>
      </c>
      <c r="BC247" s="345">
        <f>IF($A247="",0,MAX(L247,AE247))</f>
        <v/>
      </c>
      <c r="BD247" s="344">
        <f>IF($A247="","",(AU247+AV247+AW247+AX247+AY247+AZ247+BB247+BC247+IF(AS247=1,BA247,0))/(8+AS247))</f>
        <v/>
      </c>
      <c r="BE247" s="344">
        <f>IF($A247="","",(IF(ISNUMBER(AI247),IF(AI247&gt;=WaterMVD,1,0),0)+AV247+IF(ISNUMBER(AH247),IF(AH247&gt;=ProtMVD,1,0),0)+MAX(H247,AD247)+AZ247+BB247+AU247)/7)</f>
        <v/>
      </c>
      <c r="BF247" s="344">
        <f>IF(AO247=0,"",IF(E247="S","",IF(AND(AP247=0,$A247=TODAY()),"",IF(E247="M",BE247,BD247))))</f>
        <v/>
      </c>
      <c r="BG247" s="344">
        <f>IF(AO247=0,"",IFERROR(AVERAGEIFS(Data!$BF$4:$BF$375,Data!$A$4:$A$375,"&gt;"&amp;($A247-7),Data!$A$4:$A$375,"&lt;="&amp;$A247),""))</f>
        <v/>
      </c>
      <c r="BH247" s="344">
        <f>IF(AO247=0,"",IFERROR(AVERAGEIFS(Data!$BF$4:$BF$375,Data!$A$4:$A$375,"&gt;"&amp;($A247-30),Data!$A$4:$A$375,"&lt;="&amp;$A247),""))</f>
        <v/>
      </c>
      <c r="BI247" s="359">
        <f>IF($A247="","",IFERROR(AVERAGEIFS(Data!$AF$4:$AF$375,Data!$A$4:$A$375,"&gt;"&amp;($A247-7),Data!$A$4:$A$375,"&lt;="&amp;$A247,Data!$AF$4:$AF$375,"&gt;0"),""))</f>
        <v/>
      </c>
      <c r="BJ247" s="345">
        <f>IF($A247="","",F247+G247+H247+I247+J247+K247+L247+M247+N247-IF(AS247=1,0,J247))</f>
        <v/>
      </c>
      <c r="BK247" s="345">
        <f>IF($A247="","",8+AS247)</f>
        <v/>
      </c>
      <c r="BL247" s="345">
        <f>IF(ISNUMBER(BF247),BF247,NA())</f>
        <v/>
      </c>
      <c r="BM247" s="345">
        <f>IF(ISNUMBER(AF247),AF247,NA())</f>
        <v/>
      </c>
      <c r="BN247" s="345">
        <f>IF(ISNUMBER(BI247),BI247,NA())</f>
        <v/>
      </c>
      <c r="BO247" s="345">
        <f>IF(ISNUMBER(AL247),AL247,NA())</f>
        <v/>
      </c>
      <c r="BP247" s="345">
        <f>IF(ISNUMBER(AM247),AM247,NA())</f>
        <v/>
      </c>
      <c r="BQ247" s="345">
        <f>IF(ISNUMBER(AN247),AN247,NA())</f>
        <v/>
      </c>
    </row>
    <row r="248">
      <c r="A248" s="358">
        <f>IF('May 2027'!AF7="","",'May 2027'!AF7)</f>
        <v/>
      </c>
      <c r="B248" s="345" t="n">
        <v>8</v>
      </c>
      <c r="C248" s="345">
        <f>IF($A248="","",28)</f>
        <v/>
      </c>
      <c r="D248" s="345">
        <f>IF($A248="","",WEEKDAY($A248,2))</f>
        <v/>
      </c>
      <c r="E248" s="345">
        <f>IF($A248="","",UPPER(TRIM('May 2027'!AF8)))</f>
        <v/>
      </c>
      <c r="F248" s="345">
        <f>IF($A248="","",IF(OR('May 2027'!AF10=TRUE,'May 2027'!AF10="x",'May 2027'!AF10="X"),1,0))</f>
        <v/>
      </c>
      <c r="G248" s="345">
        <f>IF($A248="","",IF(OR('May 2027'!AF11=TRUE,'May 2027'!AF11="x",'May 2027'!AF11="X"),1,0))</f>
        <v/>
      </c>
      <c r="H248" s="345">
        <f>IF($A248="","",IF(OR('May 2027'!AF12=TRUE,'May 2027'!AF12="x",'May 2027'!AF12="X"),1,0))</f>
        <v/>
      </c>
      <c r="I248" s="345">
        <f>IF($A248="","",IF(OR('May 2027'!AF13=TRUE,'May 2027'!AF13="x",'May 2027'!AF13="X"),1,0))</f>
        <v/>
      </c>
      <c r="J248" s="345">
        <f>IF($A248="","",IF(OR('May 2027'!AF14=TRUE,'May 2027'!AF14="x",'May 2027'!AF14="X"),1,0))</f>
        <v/>
      </c>
      <c r="K248" s="345">
        <f>IF($A248="","",IF(OR('May 2027'!AF15=TRUE,'May 2027'!AF15="x",'May 2027'!AF15="X"),1,0))</f>
        <v/>
      </c>
      <c r="L248" s="345">
        <f>IF($A248="","",IF(OR('May 2027'!AF16=TRUE,'May 2027'!AF16="x",'May 2027'!AF16="X"),1,0))</f>
        <v/>
      </c>
      <c r="M248" s="345">
        <f>IF($A248="","",IF(OR('May 2027'!AF17=TRUE,'May 2027'!AF17="x",'May 2027'!AF17="X"),1,0))</f>
        <v/>
      </c>
      <c r="N248" s="345">
        <f>IF($A248="","",IF(OR('May 2027'!AF18=TRUE,'May 2027'!AF18="x",'May 2027'!AF18="X"),1,0))</f>
        <v/>
      </c>
      <c r="O248" s="345">
        <f>IF($A248="","",IF(OR('May 2027'!AF20=TRUE,'May 2027'!AF20="x",'May 2027'!AF20="X"),1,0))</f>
        <v/>
      </c>
      <c r="P248" s="345">
        <f>IF($A248="","",IF(OR('May 2027'!AF21=TRUE,'May 2027'!AF21="x",'May 2027'!AF21="X"),1,0))</f>
        <v/>
      </c>
      <c r="Q248" s="345">
        <f>IF($A248="","",IF(OR('May 2027'!AF22=TRUE,'May 2027'!AF22="x",'May 2027'!AF22="X"),1,0))</f>
        <v/>
      </c>
      <c r="R248" s="345">
        <f>IF($A248="","",IF(OR('May 2027'!AF23=TRUE,'May 2027'!AF23="x",'May 2027'!AF23="X"),1,0))</f>
        <v/>
      </c>
      <c r="S248" s="345">
        <f>IF($A248="","",IF(OR('May 2027'!AF24=TRUE,'May 2027'!AF24="x",'May 2027'!AF24="X"),1,0))</f>
        <v/>
      </c>
      <c r="T248" s="345">
        <f>IF($A248="","",IF(OR('May 2027'!AF25=TRUE,'May 2027'!AF25="x",'May 2027'!AF25="X"),1,0))</f>
        <v/>
      </c>
      <c r="U248" s="345">
        <f>IF($A248="","",IF(OR('May 2027'!AF26=TRUE,'May 2027'!AF26="x",'May 2027'!AF26="X"),1,0))</f>
        <v/>
      </c>
      <c r="V248" s="345">
        <f>IF($A248="","",IF(OR('May 2027'!AF27=TRUE,'May 2027'!AF27="x",'May 2027'!AF27="X"),1,0))</f>
        <v/>
      </c>
      <c r="W248" s="345">
        <f>IF($A248="","",IF(OR('May 2027'!AF28=TRUE,'May 2027'!AF28="x",'May 2027'!AF28="X"),1,0))</f>
        <v/>
      </c>
      <c r="X248" s="345">
        <f>IF($A248="","",IF(OR('May 2027'!AF29=TRUE,'May 2027'!AF29="x",'May 2027'!AF29="X"),1,0))</f>
        <v/>
      </c>
      <c r="Y248" s="345">
        <f>IF($A248="","",IF(OR('May 2027'!AF30=TRUE,'May 2027'!AF30="x",'May 2027'!AF30="X"),1,0))</f>
        <v/>
      </c>
      <c r="Z248" s="345">
        <f>IF($A248="","",IF(OR('May 2027'!AF31=TRUE,'May 2027'!AF31="x",'May 2027'!AF31="X"),1,0))</f>
        <v/>
      </c>
      <c r="AA248" s="345">
        <f>IF($A248="","",IF(OR('May 2027'!AF32=TRUE,'May 2027'!AF32="x",'May 2027'!AF32="X"),1,0))</f>
        <v/>
      </c>
      <c r="AB248" s="345">
        <f>IF($A248="","",IF(OR('May 2027'!AF34=TRUE,'May 2027'!AF34="x",'May 2027'!AF34="X"),1,0))</f>
        <v/>
      </c>
      <c r="AC248" s="345">
        <f>IF($A248="","",IF(OR('May 2027'!AF35=TRUE,'May 2027'!AF35="x",'May 2027'!AF35="X"),1,0))</f>
        <v/>
      </c>
      <c r="AD248" s="345">
        <f>IF($A248="","",IF(OR('May 2027'!AF36=TRUE,'May 2027'!AF36="x",'May 2027'!AF36="X"),1,0))</f>
        <v/>
      </c>
      <c r="AE248" s="345">
        <f>IF($A248="","",IF(OR('May 2027'!AF37=TRUE,'May 2027'!AF37="x",'May 2027'!AF37="X"),1,0))</f>
        <v/>
      </c>
      <c r="AF248" s="345">
        <f>IF($A248="","",IF('May 2027'!AF59="","",'May 2027'!AF59))</f>
        <v/>
      </c>
      <c r="AG248" s="345">
        <f>IF($A248="","",IF('May 2027'!AF60="","",'May 2027'!AF60))</f>
        <v/>
      </c>
      <c r="AH248" s="345">
        <f>IF($A248="","",IF('May 2027'!AF61="","",'May 2027'!AF61))</f>
        <v/>
      </c>
      <c r="AI248" s="345">
        <f>IF($A248="","",IF('May 2027'!AF62="","",'May 2027'!AF62))</f>
        <v/>
      </c>
      <c r="AJ248" s="345">
        <f>IF($A248="","",IF('May 2027'!AF63="","",'May 2027'!AF63))</f>
        <v/>
      </c>
      <c r="AK248" s="345">
        <f>IF($A248="","",IF('May 2027'!AF64="","",'May 2027'!AF64))</f>
        <v/>
      </c>
      <c r="AL248" s="345">
        <f>IF($A248="","",IF('May 2027'!AF65="","",'May 2027'!AF65))</f>
        <v/>
      </c>
      <c r="AM248" s="345">
        <f>IF($A248="","",IF('May 2027'!AF66="","",'May 2027'!AF66))</f>
        <v/>
      </c>
      <c r="AN248" s="345">
        <f>IF($A248="","",IF('May 2027'!AF67="","",'May 2027'!AF67))</f>
        <v/>
      </c>
      <c r="AO248" s="345">
        <f>IF($A248="",0,IF(AND($A248&gt;=TrackStart,$A248&lt;=TODAY()),1,0))</f>
        <v/>
      </c>
      <c r="AP248" s="345">
        <f>IF($A248="",0,IF(SUM(F248:AE248)+COUNT(AF248:AN248)&gt;0,1,0))</f>
        <v/>
      </c>
      <c r="AQ248" s="345">
        <f>IF($A248="","",INT(($A248-TrackStart)/7)+1)</f>
        <v/>
      </c>
      <c r="AR248" s="345">
        <f>IF($A248="","",IF(AQ248&lt;=1,Steps1,IF(AQ248=2,Steps2,Steps3)))</f>
        <v/>
      </c>
      <c r="AS248" s="345">
        <f>IF($A248="",0,IF(ISNUMBER(SEARCH(TEXT(D248,"0"),WorkDays&amp;"")),1,0))</f>
        <v/>
      </c>
      <c r="AT248" s="345">
        <f>IF($A248="",0,IF(ISNUMBER(SEARCH(TEXT(D248,"0"),StrDays&amp;"")),1,0))</f>
        <v/>
      </c>
      <c r="AU248" s="345">
        <f>IF($A248="",0,IF(ISNUMBER(AK248),IF(AK248&gt;=SleepMin,1,0),N248))</f>
        <v/>
      </c>
      <c r="AV248" s="345">
        <f>IF($A248="",0,MAX(I248,O248,S248,AC248))</f>
        <v/>
      </c>
      <c r="AW248" s="345">
        <f>IF($A248="",0,IF(ISNUMBER(AH248),IF(AH248&gt;=ProtHit,1,0),0))</f>
        <v/>
      </c>
      <c r="AX248" s="345">
        <f>IF($A248="",0,IF(ISNUMBER(AI248),IF(AI248&gt;=WaterHit,1,0),0))</f>
        <v/>
      </c>
      <c r="AY248" s="345">
        <f>IF($A248="",0,IF(ISNUMBER(AG248),IF(AG248&gt;=AR248,1,0),0))</f>
        <v/>
      </c>
      <c r="AZ248" s="345">
        <f>IF($A248="",0,G248)</f>
        <v/>
      </c>
      <c r="BA248" s="345">
        <f>IF($A248="",0,J248)</f>
        <v/>
      </c>
      <c r="BB248" s="345">
        <f>IF($A248="",0,K248)</f>
        <v/>
      </c>
      <c r="BC248" s="345">
        <f>IF($A248="",0,MAX(L248,AE248))</f>
        <v/>
      </c>
      <c r="BD248" s="344">
        <f>IF($A248="","",(AU248+AV248+AW248+AX248+AY248+AZ248+BB248+BC248+IF(AS248=1,BA248,0))/(8+AS248))</f>
        <v/>
      </c>
      <c r="BE248" s="344">
        <f>IF($A248="","",(IF(ISNUMBER(AI248),IF(AI248&gt;=WaterMVD,1,0),0)+AV248+IF(ISNUMBER(AH248),IF(AH248&gt;=ProtMVD,1,0),0)+MAX(H248,AD248)+AZ248+BB248+AU248)/7)</f>
        <v/>
      </c>
      <c r="BF248" s="344">
        <f>IF(AO248=0,"",IF(E248="S","",IF(AND(AP248=0,$A248=TODAY()),"",IF(E248="M",BE248,BD248))))</f>
        <v/>
      </c>
      <c r="BG248" s="344">
        <f>IF(AO248=0,"",IFERROR(AVERAGEIFS(Data!$BF$4:$BF$375,Data!$A$4:$A$375,"&gt;"&amp;($A248-7),Data!$A$4:$A$375,"&lt;="&amp;$A248),""))</f>
        <v/>
      </c>
      <c r="BH248" s="344">
        <f>IF(AO248=0,"",IFERROR(AVERAGEIFS(Data!$BF$4:$BF$375,Data!$A$4:$A$375,"&gt;"&amp;($A248-30),Data!$A$4:$A$375,"&lt;="&amp;$A248),""))</f>
        <v/>
      </c>
      <c r="BI248" s="359">
        <f>IF($A248="","",IFERROR(AVERAGEIFS(Data!$AF$4:$AF$375,Data!$A$4:$A$375,"&gt;"&amp;($A248-7),Data!$A$4:$A$375,"&lt;="&amp;$A248,Data!$AF$4:$AF$375,"&gt;0"),""))</f>
        <v/>
      </c>
      <c r="BJ248" s="345">
        <f>IF($A248="","",F248+G248+H248+I248+J248+K248+L248+M248+N248-IF(AS248=1,0,J248))</f>
        <v/>
      </c>
      <c r="BK248" s="345">
        <f>IF($A248="","",8+AS248)</f>
        <v/>
      </c>
      <c r="BL248" s="345">
        <f>IF(ISNUMBER(BF248),BF248,NA())</f>
        <v/>
      </c>
      <c r="BM248" s="345">
        <f>IF(ISNUMBER(AF248),AF248,NA())</f>
        <v/>
      </c>
      <c r="BN248" s="345">
        <f>IF(ISNUMBER(BI248),BI248,NA())</f>
        <v/>
      </c>
      <c r="BO248" s="345">
        <f>IF(ISNUMBER(AL248),AL248,NA())</f>
        <v/>
      </c>
      <c r="BP248" s="345">
        <f>IF(ISNUMBER(AM248),AM248,NA())</f>
        <v/>
      </c>
      <c r="BQ248" s="345">
        <f>IF(ISNUMBER(AN248),AN248,NA())</f>
        <v/>
      </c>
    </row>
    <row r="249">
      <c r="A249" s="358">
        <f>IF('May 2027'!AG7="","",'May 2027'!AG7)</f>
        <v/>
      </c>
      <c r="B249" s="345" t="n">
        <v>8</v>
      </c>
      <c r="C249" s="345">
        <f>IF($A249="","",29)</f>
        <v/>
      </c>
      <c r="D249" s="345">
        <f>IF($A249="","",WEEKDAY($A249,2))</f>
        <v/>
      </c>
      <c r="E249" s="345">
        <f>IF($A249="","",UPPER(TRIM('May 2027'!AG8)))</f>
        <v/>
      </c>
      <c r="F249" s="345">
        <f>IF($A249="","",IF(OR('May 2027'!AG10=TRUE,'May 2027'!AG10="x",'May 2027'!AG10="X"),1,0))</f>
        <v/>
      </c>
      <c r="G249" s="345">
        <f>IF($A249="","",IF(OR('May 2027'!AG11=TRUE,'May 2027'!AG11="x",'May 2027'!AG11="X"),1,0))</f>
        <v/>
      </c>
      <c r="H249" s="345">
        <f>IF($A249="","",IF(OR('May 2027'!AG12=TRUE,'May 2027'!AG12="x",'May 2027'!AG12="X"),1,0))</f>
        <v/>
      </c>
      <c r="I249" s="345">
        <f>IF($A249="","",IF(OR('May 2027'!AG13=TRUE,'May 2027'!AG13="x",'May 2027'!AG13="X"),1,0))</f>
        <v/>
      </c>
      <c r="J249" s="345">
        <f>IF($A249="","",IF(OR('May 2027'!AG14=TRUE,'May 2027'!AG14="x",'May 2027'!AG14="X"),1,0))</f>
        <v/>
      </c>
      <c r="K249" s="345">
        <f>IF($A249="","",IF(OR('May 2027'!AG15=TRUE,'May 2027'!AG15="x",'May 2027'!AG15="X"),1,0))</f>
        <v/>
      </c>
      <c r="L249" s="345">
        <f>IF($A249="","",IF(OR('May 2027'!AG16=TRUE,'May 2027'!AG16="x",'May 2027'!AG16="X"),1,0))</f>
        <v/>
      </c>
      <c r="M249" s="345">
        <f>IF($A249="","",IF(OR('May 2027'!AG17=TRUE,'May 2027'!AG17="x",'May 2027'!AG17="X"),1,0))</f>
        <v/>
      </c>
      <c r="N249" s="345">
        <f>IF($A249="","",IF(OR('May 2027'!AG18=TRUE,'May 2027'!AG18="x",'May 2027'!AG18="X"),1,0))</f>
        <v/>
      </c>
      <c r="O249" s="345">
        <f>IF($A249="","",IF(OR('May 2027'!AG20=TRUE,'May 2027'!AG20="x",'May 2027'!AG20="X"),1,0))</f>
        <v/>
      </c>
      <c r="P249" s="345">
        <f>IF($A249="","",IF(OR('May 2027'!AG21=TRUE,'May 2027'!AG21="x",'May 2027'!AG21="X"),1,0))</f>
        <v/>
      </c>
      <c r="Q249" s="345">
        <f>IF($A249="","",IF(OR('May 2027'!AG22=TRUE,'May 2027'!AG22="x",'May 2027'!AG22="X"),1,0))</f>
        <v/>
      </c>
      <c r="R249" s="345">
        <f>IF($A249="","",IF(OR('May 2027'!AG23=TRUE,'May 2027'!AG23="x",'May 2027'!AG23="X"),1,0))</f>
        <v/>
      </c>
      <c r="S249" s="345">
        <f>IF($A249="","",IF(OR('May 2027'!AG24=TRUE,'May 2027'!AG24="x",'May 2027'!AG24="X"),1,0))</f>
        <v/>
      </c>
      <c r="T249" s="345">
        <f>IF($A249="","",IF(OR('May 2027'!AG25=TRUE,'May 2027'!AG25="x",'May 2027'!AG25="X"),1,0))</f>
        <v/>
      </c>
      <c r="U249" s="345">
        <f>IF($A249="","",IF(OR('May 2027'!AG26=TRUE,'May 2027'!AG26="x",'May 2027'!AG26="X"),1,0))</f>
        <v/>
      </c>
      <c r="V249" s="345">
        <f>IF($A249="","",IF(OR('May 2027'!AG27=TRUE,'May 2027'!AG27="x",'May 2027'!AG27="X"),1,0))</f>
        <v/>
      </c>
      <c r="W249" s="345">
        <f>IF($A249="","",IF(OR('May 2027'!AG28=TRUE,'May 2027'!AG28="x",'May 2027'!AG28="X"),1,0))</f>
        <v/>
      </c>
      <c r="X249" s="345">
        <f>IF($A249="","",IF(OR('May 2027'!AG29=TRUE,'May 2027'!AG29="x",'May 2027'!AG29="X"),1,0))</f>
        <v/>
      </c>
      <c r="Y249" s="345">
        <f>IF($A249="","",IF(OR('May 2027'!AG30=TRUE,'May 2027'!AG30="x",'May 2027'!AG30="X"),1,0))</f>
        <v/>
      </c>
      <c r="Z249" s="345">
        <f>IF($A249="","",IF(OR('May 2027'!AG31=TRUE,'May 2027'!AG31="x",'May 2027'!AG31="X"),1,0))</f>
        <v/>
      </c>
      <c r="AA249" s="345">
        <f>IF($A249="","",IF(OR('May 2027'!AG32=TRUE,'May 2027'!AG32="x",'May 2027'!AG32="X"),1,0))</f>
        <v/>
      </c>
      <c r="AB249" s="345">
        <f>IF($A249="","",IF(OR('May 2027'!AG34=TRUE,'May 2027'!AG34="x",'May 2027'!AG34="X"),1,0))</f>
        <v/>
      </c>
      <c r="AC249" s="345">
        <f>IF($A249="","",IF(OR('May 2027'!AG35=TRUE,'May 2027'!AG35="x",'May 2027'!AG35="X"),1,0))</f>
        <v/>
      </c>
      <c r="AD249" s="345">
        <f>IF($A249="","",IF(OR('May 2027'!AG36=TRUE,'May 2027'!AG36="x",'May 2027'!AG36="X"),1,0))</f>
        <v/>
      </c>
      <c r="AE249" s="345">
        <f>IF($A249="","",IF(OR('May 2027'!AG37=TRUE,'May 2027'!AG37="x",'May 2027'!AG37="X"),1,0))</f>
        <v/>
      </c>
      <c r="AF249" s="345">
        <f>IF($A249="","",IF('May 2027'!AG59="","",'May 2027'!AG59))</f>
        <v/>
      </c>
      <c r="AG249" s="345">
        <f>IF($A249="","",IF('May 2027'!AG60="","",'May 2027'!AG60))</f>
        <v/>
      </c>
      <c r="AH249" s="345">
        <f>IF($A249="","",IF('May 2027'!AG61="","",'May 2027'!AG61))</f>
        <v/>
      </c>
      <c r="AI249" s="345">
        <f>IF($A249="","",IF('May 2027'!AG62="","",'May 2027'!AG62))</f>
        <v/>
      </c>
      <c r="AJ249" s="345">
        <f>IF($A249="","",IF('May 2027'!AG63="","",'May 2027'!AG63))</f>
        <v/>
      </c>
      <c r="AK249" s="345">
        <f>IF($A249="","",IF('May 2027'!AG64="","",'May 2027'!AG64))</f>
        <v/>
      </c>
      <c r="AL249" s="345">
        <f>IF($A249="","",IF('May 2027'!AG65="","",'May 2027'!AG65))</f>
        <v/>
      </c>
      <c r="AM249" s="345">
        <f>IF($A249="","",IF('May 2027'!AG66="","",'May 2027'!AG66))</f>
        <v/>
      </c>
      <c r="AN249" s="345">
        <f>IF($A249="","",IF('May 2027'!AG67="","",'May 2027'!AG67))</f>
        <v/>
      </c>
      <c r="AO249" s="345">
        <f>IF($A249="",0,IF(AND($A249&gt;=TrackStart,$A249&lt;=TODAY()),1,0))</f>
        <v/>
      </c>
      <c r="AP249" s="345">
        <f>IF($A249="",0,IF(SUM(F249:AE249)+COUNT(AF249:AN249)&gt;0,1,0))</f>
        <v/>
      </c>
      <c r="AQ249" s="345">
        <f>IF($A249="","",INT(($A249-TrackStart)/7)+1)</f>
        <v/>
      </c>
      <c r="AR249" s="345">
        <f>IF($A249="","",IF(AQ249&lt;=1,Steps1,IF(AQ249=2,Steps2,Steps3)))</f>
        <v/>
      </c>
      <c r="AS249" s="345">
        <f>IF($A249="",0,IF(ISNUMBER(SEARCH(TEXT(D249,"0"),WorkDays&amp;"")),1,0))</f>
        <v/>
      </c>
      <c r="AT249" s="345">
        <f>IF($A249="",0,IF(ISNUMBER(SEARCH(TEXT(D249,"0"),StrDays&amp;"")),1,0))</f>
        <v/>
      </c>
      <c r="AU249" s="345">
        <f>IF($A249="",0,IF(ISNUMBER(AK249),IF(AK249&gt;=SleepMin,1,0),N249))</f>
        <v/>
      </c>
      <c r="AV249" s="345">
        <f>IF($A249="",0,MAX(I249,O249,S249,AC249))</f>
        <v/>
      </c>
      <c r="AW249" s="345">
        <f>IF($A249="",0,IF(ISNUMBER(AH249),IF(AH249&gt;=ProtHit,1,0),0))</f>
        <v/>
      </c>
      <c r="AX249" s="345">
        <f>IF($A249="",0,IF(ISNUMBER(AI249),IF(AI249&gt;=WaterHit,1,0),0))</f>
        <v/>
      </c>
      <c r="AY249" s="345">
        <f>IF($A249="",0,IF(ISNUMBER(AG249),IF(AG249&gt;=AR249,1,0),0))</f>
        <v/>
      </c>
      <c r="AZ249" s="345">
        <f>IF($A249="",0,G249)</f>
        <v/>
      </c>
      <c r="BA249" s="345">
        <f>IF($A249="",0,J249)</f>
        <v/>
      </c>
      <c r="BB249" s="345">
        <f>IF($A249="",0,K249)</f>
        <v/>
      </c>
      <c r="BC249" s="345">
        <f>IF($A249="",0,MAX(L249,AE249))</f>
        <v/>
      </c>
      <c r="BD249" s="344">
        <f>IF($A249="","",(AU249+AV249+AW249+AX249+AY249+AZ249+BB249+BC249+IF(AS249=1,BA249,0))/(8+AS249))</f>
        <v/>
      </c>
      <c r="BE249" s="344">
        <f>IF($A249="","",(IF(ISNUMBER(AI249),IF(AI249&gt;=WaterMVD,1,0),0)+AV249+IF(ISNUMBER(AH249),IF(AH249&gt;=ProtMVD,1,0),0)+MAX(H249,AD249)+AZ249+BB249+AU249)/7)</f>
        <v/>
      </c>
      <c r="BF249" s="344">
        <f>IF(AO249=0,"",IF(E249="S","",IF(AND(AP249=0,$A249=TODAY()),"",IF(E249="M",BE249,BD249))))</f>
        <v/>
      </c>
      <c r="BG249" s="344">
        <f>IF(AO249=0,"",IFERROR(AVERAGEIFS(Data!$BF$4:$BF$375,Data!$A$4:$A$375,"&gt;"&amp;($A249-7),Data!$A$4:$A$375,"&lt;="&amp;$A249),""))</f>
        <v/>
      </c>
      <c r="BH249" s="344">
        <f>IF(AO249=0,"",IFERROR(AVERAGEIFS(Data!$BF$4:$BF$375,Data!$A$4:$A$375,"&gt;"&amp;($A249-30),Data!$A$4:$A$375,"&lt;="&amp;$A249),""))</f>
        <v/>
      </c>
      <c r="BI249" s="359">
        <f>IF($A249="","",IFERROR(AVERAGEIFS(Data!$AF$4:$AF$375,Data!$A$4:$A$375,"&gt;"&amp;($A249-7),Data!$A$4:$A$375,"&lt;="&amp;$A249,Data!$AF$4:$AF$375,"&gt;0"),""))</f>
        <v/>
      </c>
      <c r="BJ249" s="345">
        <f>IF($A249="","",F249+G249+H249+I249+J249+K249+L249+M249+N249-IF(AS249=1,0,J249))</f>
        <v/>
      </c>
      <c r="BK249" s="345">
        <f>IF($A249="","",8+AS249)</f>
        <v/>
      </c>
      <c r="BL249" s="345">
        <f>IF(ISNUMBER(BF249),BF249,NA())</f>
        <v/>
      </c>
      <c r="BM249" s="345">
        <f>IF(ISNUMBER(AF249),AF249,NA())</f>
        <v/>
      </c>
      <c r="BN249" s="345">
        <f>IF(ISNUMBER(BI249),BI249,NA())</f>
        <v/>
      </c>
      <c r="BO249" s="345">
        <f>IF(ISNUMBER(AL249),AL249,NA())</f>
        <v/>
      </c>
      <c r="BP249" s="345">
        <f>IF(ISNUMBER(AM249),AM249,NA())</f>
        <v/>
      </c>
      <c r="BQ249" s="345">
        <f>IF(ISNUMBER(AN249),AN249,NA())</f>
        <v/>
      </c>
    </row>
    <row r="250">
      <c r="A250" s="358">
        <f>IF('May 2027'!AH7="","",'May 2027'!AH7)</f>
        <v/>
      </c>
      <c r="B250" s="345" t="n">
        <v>8</v>
      </c>
      <c r="C250" s="345">
        <f>IF($A250="","",30)</f>
        <v/>
      </c>
      <c r="D250" s="345">
        <f>IF($A250="","",WEEKDAY($A250,2))</f>
        <v/>
      </c>
      <c r="E250" s="345">
        <f>IF($A250="","",UPPER(TRIM('May 2027'!AH8)))</f>
        <v/>
      </c>
      <c r="F250" s="345">
        <f>IF($A250="","",IF(OR('May 2027'!AH10=TRUE,'May 2027'!AH10="x",'May 2027'!AH10="X"),1,0))</f>
        <v/>
      </c>
      <c r="G250" s="345">
        <f>IF($A250="","",IF(OR('May 2027'!AH11=TRUE,'May 2027'!AH11="x",'May 2027'!AH11="X"),1,0))</f>
        <v/>
      </c>
      <c r="H250" s="345">
        <f>IF($A250="","",IF(OR('May 2027'!AH12=TRUE,'May 2027'!AH12="x",'May 2027'!AH12="X"),1,0))</f>
        <v/>
      </c>
      <c r="I250" s="345">
        <f>IF($A250="","",IF(OR('May 2027'!AH13=TRUE,'May 2027'!AH13="x",'May 2027'!AH13="X"),1,0))</f>
        <v/>
      </c>
      <c r="J250" s="345">
        <f>IF($A250="","",IF(OR('May 2027'!AH14=TRUE,'May 2027'!AH14="x",'May 2027'!AH14="X"),1,0))</f>
        <v/>
      </c>
      <c r="K250" s="345">
        <f>IF($A250="","",IF(OR('May 2027'!AH15=TRUE,'May 2027'!AH15="x",'May 2027'!AH15="X"),1,0))</f>
        <v/>
      </c>
      <c r="L250" s="345">
        <f>IF($A250="","",IF(OR('May 2027'!AH16=TRUE,'May 2027'!AH16="x",'May 2027'!AH16="X"),1,0))</f>
        <v/>
      </c>
      <c r="M250" s="345">
        <f>IF($A250="","",IF(OR('May 2027'!AH17=TRUE,'May 2027'!AH17="x",'May 2027'!AH17="X"),1,0))</f>
        <v/>
      </c>
      <c r="N250" s="345">
        <f>IF($A250="","",IF(OR('May 2027'!AH18=TRUE,'May 2027'!AH18="x",'May 2027'!AH18="X"),1,0))</f>
        <v/>
      </c>
      <c r="O250" s="345">
        <f>IF($A250="","",IF(OR('May 2027'!AH20=TRUE,'May 2027'!AH20="x",'May 2027'!AH20="X"),1,0))</f>
        <v/>
      </c>
      <c r="P250" s="345">
        <f>IF($A250="","",IF(OR('May 2027'!AH21=TRUE,'May 2027'!AH21="x",'May 2027'!AH21="X"),1,0))</f>
        <v/>
      </c>
      <c r="Q250" s="345">
        <f>IF($A250="","",IF(OR('May 2027'!AH22=TRUE,'May 2027'!AH22="x",'May 2027'!AH22="X"),1,0))</f>
        <v/>
      </c>
      <c r="R250" s="345">
        <f>IF($A250="","",IF(OR('May 2027'!AH23=TRUE,'May 2027'!AH23="x",'May 2027'!AH23="X"),1,0))</f>
        <v/>
      </c>
      <c r="S250" s="345">
        <f>IF($A250="","",IF(OR('May 2027'!AH24=TRUE,'May 2027'!AH24="x",'May 2027'!AH24="X"),1,0))</f>
        <v/>
      </c>
      <c r="T250" s="345">
        <f>IF($A250="","",IF(OR('May 2027'!AH25=TRUE,'May 2027'!AH25="x",'May 2027'!AH25="X"),1,0))</f>
        <v/>
      </c>
      <c r="U250" s="345">
        <f>IF($A250="","",IF(OR('May 2027'!AH26=TRUE,'May 2027'!AH26="x",'May 2027'!AH26="X"),1,0))</f>
        <v/>
      </c>
      <c r="V250" s="345">
        <f>IF($A250="","",IF(OR('May 2027'!AH27=TRUE,'May 2027'!AH27="x",'May 2027'!AH27="X"),1,0))</f>
        <v/>
      </c>
      <c r="W250" s="345">
        <f>IF($A250="","",IF(OR('May 2027'!AH28=TRUE,'May 2027'!AH28="x",'May 2027'!AH28="X"),1,0))</f>
        <v/>
      </c>
      <c r="X250" s="345">
        <f>IF($A250="","",IF(OR('May 2027'!AH29=TRUE,'May 2027'!AH29="x",'May 2027'!AH29="X"),1,0))</f>
        <v/>
      </c>
      <c r="Y250" s="345">
        <f>IF($A250="","",IF(OR('May 2027'!AH30=TRUE,'May 2027'!AH30="x",'May 2027'!AH30="X"),1,0))</f>
        <v/>
      </c>
      <c r="Z250" s="345">
        <f>IF($A250="","",IF(OR('May 2027'!AH31=TRUE,'May 2027'!AH31="x",'May 2027'!AH31="X"),1,0))</f>
        <v/>
      </c>
      <c r="AA250" s="345">
        <f>IF($A250="","",IF(OR('May 2027'!AH32=TRUE,'May 2027'!AH32="x",'May 2027'!AH32="X"),1,0))</f>
        <v/>
      </c>
      <c r="AB250" s="345">
        <f>IF($A250="","",IF(OR('May 2027'!AH34=TRUE,'May 2027'!AH34="x",'May 2027'!AH34="X"),1,0))</f>
        <v/>
      </c>
      <c r="AC250" s="345">
        <f>IF($A250="","",IF(OR('May 2027'!AH35=TRUE,'May 2027'!AH35="x",'May 2027'!AH35="X"),1,0))</f>
        <v/>
      </c>
      <c r="AD250" s="345">
        <f>IF($A250="","",IF(OR('May 2027'!AH36=TRUE,'May 2027'!AH36="x",'May 2027'!AH36="X"),1,0))</f>
        <v/>
      </c>
      <c r="AE250" s="345">
        <f>IF($A250="","",IF(OR('May 2027'!AH37=TRUE,'May 2027'!AH37="x",'May 2027'!AH37="X"),1,0))</f>
        <v/>
      </c>
      <c r="AF250" s="345">
        <f>IF($A250="","",IF('May 2027'!AH59="","",'May 2027'!AH59))</f>
        <v/>
      </c>
      <c r="AG250" s="345">
        <f>IF($A250="","",IF('May 2027'!AH60="","",'May 2027'!AH60))</f>
        <v/>
      </c>
      <c r="AH250" s="345">
        <f>IF($A250="","",IF('May 2027'!AH61="","",'May 2027'!AH61))</f>
        <v/>
      </c>
      <c r="AI250" s="345">
        <f>IF($A250="","",IF('May 2027'!AH62="","",'May 2027'!AH62))</f>
        <v/>
      </c>
      <c r="AJ250" s="345">
        <f>IF($A250="","",IF('May 2027'!AH63="","",'May 2027'!AH63))</f>
        <v/>
      </c>
      <c r="AK250" s="345">
        <f>IF($A250="","",IF('May 2027'!AH64="","",'May 2027'!AH64))</f>
        <v/>
      </c>
      <c r="AL250" s="345">
        <f>IF($A250="","",IF('May 2027'!AH65="","",'May 2027'!AH65))</f>
        <v/>
      </c>
      <c r="AM250" s="345">
        <f>IF($A250="","",IF('May 2027'!AH66="","",'May 2027'!AH66))</f>
        <v/>
      </c>
      <c r="AN250" s="345">
        <f>IF($A250="","",IF('May 2027'!AH67="","",'May 2027'!AH67))</f>
        <v/>
      </c>
      <c r="AO250" s="345">
        <f>IF($A250="",0,IF(AND($A250&gt;=TrackStart,$A250&lt;=TODAY()),1,0))</f>
        <v/>
      </c>
      <c r="AP250" s="345">
        <f>IF($A250="",0,IF(SUM(F250:AE250)+COUNT(AF250:AN250)&gt;0,1,0))</f>
        <v/>
      </c>
      <c r="AQ250" s="345">
        <f>IF($A250="","",INT(($A250-TrackStart)/7)+1)</f>
        <v/>
      </c>
      <c r="AR250" s="345">
        <f>IF($A250="","",IF(AQ250&lt;=1,Steps1,IF(AQ250=2,Steps2,Steps3)))</f>
        <v/>
      </c>
      <c r="AS250" s="345">
        <f>IF($A250="",0,IF(ISNUMBER(SEARCH(TEXT(D250,"0"),WorkDays&amp;"")),1,0))</f>
        <v/>
      </c>
      <c r="AT250" s="345">
        <f>IF($A250="",0,IF(ISNUMBER(SEARCH(TEXT(D250,"0"),StrDays&amp;"")),1,0))</f>
        <v/>
      </c>
      <c r="AU250" s="345">
        <f>IF($A250="",0,IF(ISNUMBER(AK250),IF(AK250&gt;=SleepMin,1,0),N250))</f>
        <v/>
      </c>
      <c r="AV250" s="345">
        <f>IF($A250="",0,MAX(I250,O250,S250,AC250))</f>
        <v/>
      </c>
      <c r="AW250" s="345">
        <f>IF($A250="",0,IF(ISNUMBER(AH250),IF(AH250&gt;=ProtHit,1,0),0))</f>
        <v/>
      </c>
      <c r="AX250" s="345">
        <f>IF($A250="",0,IF(ISNUMBER(AI250),IF(AI250&gt;=WaterHit,1,0),0))</f>
        <v/>
      </c>
      <c r="AY250" s="345">
        <f>IF($A250="",0,IF(ISNUMBER(AG250),IF(AG250&gt;=AR250,1,0),0))</f>
        <v/>
      </c>
      <c r="AZ250" s="345">
        <f>IF($A250="",0,G250)</f>
        <v/>
      </c>
      <c r="BA250" s="345">
        <f>IF($A250="",0,J250)</f>
        <v/>
      </c>
      <c r="BB250" s="345">
        <f>IF($A250="",0,K250)</f>
        <v/>
      </c>
      <c r="BC250" s="345">
        <f>IF($A250="",0,MAX(L250,AE250))</f>
        <v/>
      </c>
      <c r="BD250" s="344">
        <f>IF($A250="","",(AU250+AV250+AW250+AX250+AY250+AZ250+BB250+BC250+IF(AS250=1,BA250,0))/(8+AS250))</f>
        <v/>
      </c>
      <c r="BE250" s="344">
        <f>IF($A250="","",(IF(ISNUMBER(AI250),IF(AI250&gt;=WaterMVD,1,0),0)+AV250+IF(ISNUMBER(AH250),IF(AH250&gt;=ProtMVD,1,0),0)+MAX(H250,AD250)+AZ250+BB250+AU250)/7)</f>
        <v/>
      </c>
      <c r="BF250" s="344">
        <f>IF(AO250=0,"",IF(E250="S","",IF(AND(AP250=0,$A250=TODAY()),"",IF(E250="M",BE250,BD250))))</f>
        <v/>
      </c>
      <c r="BG250" s="344">
        <f>IF(AO250=0,"",IFERROR(AVERAGEIFS(Data!$BF$4:$BF$375,Data!$A$4:$A$375,"&gt;"&amp;($A250-7),Data!$A$4:$A$375,"&lt;="&amp;$A250),""))</f>
        <v/>
      </c>
      <c r="BH250" s="344">
        <f>IF(AO250=0,"",IFERROR(AVERAGEIFS(Data!$BF$4:$BF$375,Data!$A$4:$A$375,"&gt;"&amp;($A250-30),Data!$A$4:$A$375,"&lt;="&amp;$A250),""))</f>
        <v/>
      </c>
      <c r="BI250" s="359">
        <f>IF($A250="","",IFERROR(AVERAGEIFS(Data!$AF$4:$AF$375,Data!$A$4:$A$375,"&gt;"&amp;($A250-7),Data!$A$4:$A$375,"&lt;="&amp;$A250,Data!$AF$4:$AF$375,"&gt;0"),""))</f>
        <v/>
      </c>
      <c r="BJ250" s="345">
        <f>IF($A250="","",F250+G250+H250+I250+J250+K250+L250+M250+N250-IF(AS250=1,0,J250))</f>
        <v/>
      </c>
      <c r="BK250" s="345">
        <f>IF($A250="","",8+AS250)</f>
        <v/>
      </c>
      <c r="BL250" s="345">
        <f>IF(ISNUMBER(BF250),BF250,NA())</f>
        <v/>
      </c>
      <c r="BM250" s="345">
        <f>IF(ISNUMBER(AF250),AF250,NA())</f>
        <v/>
      </c>
      <c r="BN250" s="345">
        <f>IF(ISNUMBER(BI250),BI250,NA())</f>
        <v/>
      </c>
      <c r="BO250" s="345">
        <f>IF(ISNUMBER(AL250),AL250,NA())</f>
        <v/>
      </c>
      <c r="BP250" s="345">
        <f>IF(ISNUMBER(AM250),AM250,NA())</f>
        <v/>
      </c>
      <c r="BQ250" s="345">
        <f>IF(ISNUMBER(AN250),AN250,NA())</f>
        <v/>
      </c>
    </row>
    <row r="251">
      <c r="A251" s="358">
        <f>IF('May 2027'!AI7="","",'May 2027'!AI7)</f>
        <v/>
      </c>
      <c r="B251" s="345" t="n">
        <v>8</v>
      </c>
      <c r="C251" s="345">
        <f>IF($A251="","",31)</f>
        <v/>
      </c>
      <c r="D251" s="345">
        <f>IF($A251="","",WEEKDAY($A251,2))</f>
        <v/>
      </c>
      <c r="E251" s="345">
        <f>IF($A251="","",UPPER(TRIM('May 2027'!AI8)))</f>
        <v/>
      </c>
      <c r="F251" s="345">
        <f>IF($A251="","",IF(OR('May 2027'!AI10=TRUE,'May 2027'!AI10="x",'May 2027'!AI10="X"),1,0))</f>
        <v/>
      </c>
      <c r="G251" s="345">
        <f>IF($A251="","",IF(OR('May 2027'!AI11=TRUE,'May 2027'!AI11="x",'May 2027'!AI11="X"),1,0))</f>
        <v/>
      </c>
      <c r="H251" s="345">
        <f>IF($A251="","",IF(OR('May 2027'!AI12=TRUE,'May 2027'!AI12="x",'May 2027'!AI12="X"),1,0))</f>
        <v/>
      </c>
      <c r="I251" s="345">
        <f>IF($A251="","",IF(OR('May 2027'!AI13=TRUE,'May 2027'!AI13="x",'May 2027'!AI13="X"),1,0))</f>
        <v/>
      </c>
      <c r="J251" s="345">
        <f>IF($A251="","",IF(OR('May 2027'!AI14=TRUE,'May 2027'!AI14="x",'May 2027'!AI14="X"),1,0))</f>
        <v/>
      </c>
      <c r="K251" s="345">
        <f>IF($A251="","",IF(OR('May 2027'!AI15=TRUE,'May 2027'!AI15="x",'May 2027'!AI15="X"),1,0))</f>
        <v/>
      </c>
      <c r="L251" s="345">
        <f>IF($A251="","",IF(OR('May 2027'!AI16=TRUE,'May 2027'!AI16="x",'May 2027'!AI16="X"),1,0))</f>
        <v/>
      </c>
      <c r="M251" s="345">
        <f>IF($A251="","",IF(OR('May 2027'!AI17=TRUE,'May 2027'!AI17="x",'May 2027'!AI17="X"),1,0))</f>
        <v/>
      </c>
      <c r="N251" s="345">
        <f>IF($A251="","",IF(OR('May 2027'!AI18=TRUE,'May 2027'!AI18="x",'May 2027'!AI18="X"),1,0))</f>
        <v/>
      </c>
      <c r="O251" s="345">
        <f>IF($A251="","",IF(OR('May 2027'!AI20=TRUE,'May 2027'!AI20="x",'May 2027'!AI20="X"),1,0))</f>
        <v/>
      </c>
      <c r="P251" s="345">
        <f>IF($A251="","",IF(OR('May 2027'!AI21=TRUE,'May 2027'!AI21="x",'May 2027'!AI21="X"),1,0))</f>
        <v/>
      </c>
      <c r="Q251" s="345">
        <f>IF($A251="","",IF(OR('May 2027'!AI22=TRUE,'May 2027'!AI22="x",'May 2027'!AI22="X"),1,0))</f>
        <v/>
      </c>
      <c r="R251" s="345">
        <f>IF($A251="","",IF(OR('May 2027'!AI23=TRUE,'May 2027'!AI23="x",'May 2027'!AI23="X"),1,0))</f>
        <v/>
      </c>
      <c r="S251" s="345">
        <f>IF($A251="","",IF(OR('May 2027'!AI24=TRUE,'May 2027'!AI24="x",'May 2027'!AI24="X"),1,0))</f>
        <v/>
      </c>
      <c r="T251" s="345">
        <f>IF($A251="","",IF(OR('May 2027'!AI25=TRUE,'May 2027'!AI25="x",'May 2027'!AI25="X"),1,0))</f>
        <v/>
      </c>
      <c r="U251" s="345">
        <f>IF($A251="","",IF(OR('May 2027'!AI26=TRUE,'May 2027'!AI26="x",'May 2027'!AI26="X"),1,0))</f>
        <v/>
      </c>
      <c r="V251" s="345">
        <f>IF($A251="","",IF(OR('May 2027'!AI27=TRUE,'May 2027'!AI27="x",'May 2027'!AI27="X"),1,0))</f>
        <v/>
      </c>
      <c r="W251" s="345">
        <f>IF($A251="","",IF(OR('May 2027'!AI28=TRUE,'May 2027'!AI28="x",'May 2027'!AI28="X"),1,0))</f>
        <v/>
      </c>
      <c r="X251" s="345">
        <f>IF($A251="","",IF(OR('May 2027'!AI29=TRUE,'May 2027'!AI29="x",'May 2027'!AI29="X"),1,0))</f>
        <v/>
      </c>
      <c r="Y251" s="345">
        <f>IF($A251="","",IF(OR('May 2027'!AI30=TRUE,'May 2027'!AI30="x",'May 2027'!AI30="X"),1,0))</f>
        <v/>
      </c>
      <c r="Z251" s="345">
        <f>IF($A251="","",IF(OR('May 2027'!AI31=TRUE,'May 2027'!AI31="x",'May 2027'!AI31="X"),1,0))</f>
        <v/>
      </c>
      <c r="AA251" s="345">
        <f>IF($A251="","",IF(OR('May 2027'!AI32=TRUE,'May 2027'!AI32="x",'May 2027'!AI32="X"),1,0))</f>
        <v/>
      </c>
      <c r="AB251" s="345">
        <f>IF($A251="","",IF(OR('May 2027'!AI34=TRUE,'May 2027'!AI34="x",'May 2027'!AI34="X"),1,0))</f>
        <v/>
      </c>
      <c r="AC251" s="345">
        <f>IF($A251="","",IF(OR('May 2027'!AI35=TRUE,'May 2027'!AI35="x",'May 2027'!AI35="X"),1,0))</f>
        <v/>
      </c>
      <c r="AD251" s="345">
        <f>IF($A251="","",IF(OR('May 2027'!AI36=TRUE,'May 2027'!AI36="x",'May 2027'!AI36="X"),1,0))</f>
        <v/>
      </c>
      <c r="AE251" s="345">
        <f>IF($A251="","",IF(OR('May 2027'!AI37=TRUE,'May 2027'!AI37="x",'May 2027'!AI37="X"),1,0))</f>
        <v/>
      </c>
      <c r="AF251" s="345">
        <f>IF($A251="","",IF('May 2027'!AI59="","",'May 2027'!AI59))</f>
        <v/>
      </c>
      <c r="AG251" s="345">
        <f>IF($A251="","",IF('May 2027'!AI60="","",'May 2027'!AI60))</f>
        <v/>
      </c>
      <c r="AH251" s="345">
        <f>IF($A251="","",IF('May 2027'!AI61="","",'May 2027'!AI61))</f>
        <v/>
      </c>
      <c r="AI251" s="345">
        <f>IF($A251="","",IF('May 2027'!AI62="","",'May 2027'!AI62))</f>
        <v/>
      </c>
      <c r="AJ251" s="345">
        <f>IF($A251="","",IF('May 2027'!AI63="","",'May 2027'!AI63))</f>
        <v/>
      </c>
      <c r="AK251" s="345">
        <f>IF($A251="","",IF('May 2027'!AI64="","",'May 2027'!AI64))</f>
        <v/>
      </c>
      <c r="AL251" s="345">
        <f>IF($A251="","",IF('May 2027'!AI65="","",'May 2027'!AI65))</f>
        <v/>
      </c>
      <c r="AM251" s="345">
        <f>IF($A251="","",IF('May 2027'!AI66="","",'May 2027'!AI66))</f>
        <v/>
      </c>
      <c r="AN251" s="345">
        <f>IF($A251="","",IF('May 2027'!AI67="","",'May 2027'!AI67))</f>
        <v/>
      </c>
      <c r="AO251" s="345">
        <f>IF($A251="",0,IF(AND($A251&gt;=TrackStart,$A251&lt;=TODAY()),1,0))</f>
        <v/>
      </c>
      <c r="AP251" s="345">
        <f>IF($A251="",0,IF(SUM(F251:AE251)+COUNT(AF251:AN251)&gt;0,1,0))</f>
        <v/>
      </c>
      <c r="AQ251" s="345">
        <f>IF($A251="","",INT(($A251-TrackStart)/7)+1)</f>
        <v/>
      </c>
      <c r="AR251" s="345">
        <f>IF($A251="","",IF(AQ251&lt;=1,Steps1,IF(AQ251=2,Steps2,Steps3)))</f>
        <v/>
      </c>
      <c r="AS251" s="345">
        <f>IF($A251="",0,IF(ISNUMBER(SEARCH(TEXT(D251,"0"),WorkDays&amp;"")),1,0))</f>
        <v/>
      </c>
      <c r="AT251" s="345">
        <f>IF($A251="",0,IF(ISNUMBER(SEARCH(TEXT(D251,"0"),StrDays&amp;"")),1,0))</f>
        <v/>
      </c>
      <c r="AU251" s="345">
        <f>IF($A251="",0,IF(ISNUMBER(AK251),IF(AK251&gt;=SleepMin,1,0),N251))</f>
        <v/>
      </c>
      <c r="AV251" s="345">
        <f>IF($A251="",0,MAX(I251,O251,S251,AC251))</f>
        <v/>
      </c>
      <c r="AW251" s="345">
        <f>IF($A251="",0,IF(ISNUMBER(AH251),IF(AH251&gt;=ProtHit,1,0),0))</f>
        <v/>
      </c>
      <c r="AX251" s="345">
        <f>IF($A251="",0,IF(ISNUMBER(AI251),IF(AI251&gt;=WaterHit,1,0),0))</f>
        <v/>
      </c>
      <c r="AY251" s="345">
        <f>IF($A251="",0,IF(ISNUMBER(AG251),IF(AG251&gt;=AR251,1,0),0))</f>
        <v/>
      </c>
      <c r="AZ251" s="345">
        <f>IF($A251="",0,G251)</f>
        <v/>
      </c>
      <c r="BA251" s="345">
        <f>IF($A251="",0,J251)</f>
        <v/>
      </c>
      <c r="BB251" s="345">
        <f>IF($A251="",0,K251)</f>
        <v/>
      </c>
      <c r="BC251" s="345">
        <f>IF($A251="",0,MAX(L251,AE251))</f>
        <v/>
      </c>
      <c r="BD251" s="344">
        <f>IF($A251="","",(AU251+AV251+AW251+AX251+AY251+AZ251+BB251+BC251+IF(AS251=1,BA251,0))/(8+AS251))</f>
        <v/>
      </c>
      <c r="BE251" s="344">
        <f>IF($A251="","",(IF(ISNUMBER(AI251),IF(AI251&gt;=WaterMVD,1,0),0)+AV251+IF(ISNUMBER(AH251),IF(AH251&gt;=ProtMVD,1,0),0)+MAX(H251,AD251)+AZ251+BB251+AU251)/7)</f>
        <v/>
      </c>
      <c r="BF251" s="344">
        <f>IF(AO251=0,"",IF(E251="S","",IF(AND(AP251=0,$A251=TODAY()),"",IF(E251="M",BE251,BD251))))</f>
        <v/>
      </c>
      <c r="BG251" s="344">
        <f>IF(AO251=0,"",IFERROR(AVERAGEIFS(Data!$BF$4:$BF$375,Data!$A$4:$A$375,"&gt;"&amp;($A251-7),Data!$A$4:$A$375,"&lt;="&amp;$A251),""))</f>
        <v/>
      </c>
      <c r="BH251" s="344">
        <f>IF(AO251=0,"",IFERROR(AVERAGEIFS(Data!$BF$4:$BF$375,Data!$A$4:$A$375,"&gt;"&amp;($A251-30),Data!$A$4:$A$375,"&lt;="&amp;$A251),""))</f>
        <v/>
      </c>
      <c r="BI251" s="359">
        <f>IF($A251="","",IFERROR(AVERAGEIFS(Data!$AF$4:$AF$375,Data!$A$4:$A$375,"&gt;"&amp;($A251-7),Data!$A$4:$A$375,"&lt;="&amp;$A251,Data!$AF$4:$AF$375,"&gt;0"),""))</f>
        <v/>
      </c>
      <c r="BJ251" s="345">
        <f>IF($A251="","",F251+G251+H251+I251+J251+K251+L251+M251+N251-IF(AS251=1,0,J251))</f>
        <v/>
      </c>
      <c r="BK251" s="345">
        <f>IF($A251="","",8+AS251)</f>
        <v/>
      </c>
      <c r="BL251" s="345">
        <f>IF(ISNUMBER(BF251),BF251,NA())</f>
        <v/>
      </c>
      <c r="BM251" s="345">
        <f>IF(ISNUMBER(AF251),AF251,NA())</f>
        <v/>
      </c>
      <c r="BN251" s="345">
        <f>IF(ISNUMBER(BI251),BI251,NA())</f>
        <v/>
      </c>
      <c r="BO251" s="345">
        <f>IF(ISNUMBER(AL251),AL251,NA())</f>
        <v/>
      </c>
      <c r="BP251" s="345">
        <f>IF(ISNUMBER(AM251),AM251,NA())</f>
        <v/>
      </c>
      <c r="BQ251" s="345">
        <f>IF(ISNUMBER(AN251),AN251,NA())</f>
        <v/>
      </c>
    </row>
    <row r="252">
      <c r="A252" s="358">
        <f>IF('Jun 2027'!E7="","",'Jun 2027'!E7)</f>
        <v/>
      </c>
      <c r="B252" s="345" t="n">
        <v>9</v>
      </c>
      <c r="C252" s="345">
        <f>IF($A252="","",1)</f>
        <v/>
      </c>
      <c r="D252" s="345">
        <f>IF($A252="","",WEEKDAY($A252,2))</f>
        <v/>
      </c>
      <c r="E252" s="345">
        <f>IF($A252="","",UPPER(TRIM('Jun 2027'!E8)))</f>
        <v/>
      </c>
      <c r="F252" s="345">
        <f>IF($A252="","",IF(OR('Jun 2027'!E10=TRUE,'Jun 2027'!E10="x",'Jun 2027'!E10="X"),1,0))</f>
        <v/>
      </c>
      <c r="G252" s="345">
        <f>IF($A252="","",IF(OR('Jun 2027'!E11=TRUE,'Jun 2027'!E11="x",'Jun 2027'!E11="X"),1,0))</f>
        <v/>
      </c>
      <c r="H252" s="345">
        <f>IF($A252="","",IF(OR('Jun 2027'!E12=TRUE,'Jun 2027'!E12="x",'Jun 2027'!E12="X"),1,0))</f>
        <v/>
      </c>
      <c r="I252" s="345">
        <f>IF($A252="","",IF(OR('Jun 2027'!E13=TRUE,'Jun 2027'!E13="x",'Jun 2027'!E13="X"),1,0))</f>
        <v/>
      </c>
      <c r="J252" s="345">
        <f>IF($A252="","",IF(OR('Jun 2027'!E14=TRUE,'Jun 2027'!E14="x",'Jun 2027'!E14="X"),1,0))</f>
        <v/>
      </c>
      <c r="K252" s="345">
        <f>IF($A252="","",IF(OR('Jun 2027'!E15=TRUE,'Jun 2027'!E15="x",'Jun 2027'!E15="X"),1,0))</f>
        <v/>
      </c>
      <c r="L252" s="345">
        <f>IF($A252="","",IF(OR('Jun 2027'!E16=TRUE,'Jun 2027'!E16="x",'Jun 2027'!E16="X"),1,0))</f>
        <v/>
      </c>
      <c r="M252" s="345">
        <f>IF($A252="","",IF(OR('Jun 2027'!E17=TRUE,'Jun 2027'!E17="x",'Jun 2027'!E17="X"),1,0))</f>
        <v/>
      </c>
      <c r="N252" s="345">
        <f>IF($A252="","",IF(OR('Jun 2027'!E18=TRUE,'Jun 2027'!E18="x",'Jun 2027'!E18="X"),1,0))</f>
        <v/>
      </c>
      <c r="O252" s="345">
        <f>IF($A252="","",IF(OR('Jun 2027'!E20=TRUE,'Jun 2027'!E20="x",'Jun 2027'!E20="X"),1,0))</f>
        <v/>
      </c>
      <c r="P252" s="345">
        <f>IF($A252="","",IF(OR('Jun 2027'!E21=TRUE,'Jun 2027'!E21="x",'Jun 2027'!E21="X"),1,0))</f>
        <v/>
      </c>
      <c r="Q252" s="345">
        <f>IF($A252="","",IF(OR('Jun 2027'!E22=TRUE,'Jun 2027'!E22="x",'Jun 2027'!E22="X"),1,0))</f>
        <v/>
      </c>
      <c r="R252" s="345">
        <f>IF($A252="","",IF(OR('Jun 2027'!E23=TRUE,'Jun 2027'!E23="x",'Jun 2027'!E23="X"),1,0))</f>
        <v/>
      </c>
      <c r="S252" s="345">
        <f>IF($A252="","",IF(OR('Jun 2027'!E24=TRUE,'Jun 2027'!E24="x",'Jun 2027'!E24="X"),1,0))</f>
        <v/>
      </c>
      <c r="T252" s="345">
        <f>IF($A252="","",IF(OR('Jun 2027'!E25=TRUE,'Jun 2027'!E25="x",'Jun 2027'!E25="X"),1,0))</f>
        <v/>
      </c>
      <c r="U252" s="345">
        <f>IF($A252="","",IF(OR('Jun 2027'!E26=TRUE,'Jun 2027'!E26="x",'Jun 2027'!E26="X"),1,0))</f>
        <v/>
      </c>
      <c r="V252" s="345">
        <f>IF($A252="","",IF(OR('Jun 2027'!E27=TRUE,'Jun 2027'!E27="x",'Jun 2027'!E27="X"),1,0))</f>
        <v/>
      </c>
      <c r="W252" s="345">
        <f>IF($A252="","",IF(OR('Jun 2027'!E28=TRUE,'Jun 2027'!E28="x",'Jun 2027'!E28="X"),1,0))</f>
        <v/>
      </c>
      <c r="X252" s="345">
        <f>IF($A252="","",IF(OR('Jun 2027'!E29=TRUE,'Jun 2027'!E29="x",'Jun 2027'!E29="X"),1,0))</f>
        <v/>
      </c>
      <c r="Y252" s="345">
        <f>IF($A252="","",IF(OR('Jun 2027'!E30=TRUE,'Jun 2027'!E30="x",'Jun 2027'!E30="X"),1,0))</f>
        <v/>
      </c>
      <c r="Z252" s="345">
        <f>IF($A252="","",IF(OR('Jun 2027'!E31=TRUE,'Jun 2027'!E31="x",'Jun 2027'!E31="X"),1,0))</f>
        <v/>
      </c>
      <c r="AA252" s="345">
        <f>IF($A252="","",IF(OR('Jun 2027'!E32=TRUE,'Jun 2027'!E32="x",'Jun 2027'!E32="X"),1,0))</f>
        <v/>
      </c>
      <c r="AB252" s="345">
        <f>IF($A252="","",IF(OR('Jun 2027'!E34=TRUE,'Jun 2027'!E34="x",'Jun 2027'!E34="X"),1,0))</f>
        <v/>
      </c>
      <c r="AC252" s="345">
        <f>IF($A252="","",IF(OR('Jun 2027'!E35=TRUE,'Jun 2027'!E35="x",'Jun 2027'!E35="X"),1,0))</f>
        <v/>
      </c>
      <c r="AD252" s="345">
        <f>IF($A252="","",IF(OR('Jun 2027'!E36=TRUE,'Jun 2027'!E36="x",'Jun 2027'!E36="X"),1,0))</f>
        <v/>
      </c>
      <c r="AE252" s="345">
        <f>IF($A252="","",IF(OR('Jun 2027'!E37=TRUE,'Jun 2027'!E37="x",'Jun 2027'!E37="X"),1,0))</f>
        <v/>
      </c>
      <c r="AF252" s="345">
        <f>IF($A252="","",IF('Jun 2027'!E59="","",'Jun 2027'!E59))</f>
        <v/>
      </c>
      <c r="AG252" s="345">
        <f>IF($A252="","",IF('Jun 2027'!E60="","",'Jun 2027'!E60))</f>
        <v/>
      </c>
      <c r="AH252" s="345">
        <f>IF($A252="","",IF('Jun 2027'!E61="","",'Jun 2027'!E61))</f>
        <v/>
      </c>
      <c r="AI252" s="345">
        <f>IF($A252="","",IF('Jun 2027'!E62="","",'Jun 2027'!E62))</f>
        <v/>
      </c>
      <c r="AJ252" s="345">
        <f>IF($A252="","",IF('Jun 2027'!E63="","",'Jun 2027'!E63))</f>
        <v/>
      </c>
      <c r="AK252" s="345">
        <f>IF($A252="","",IF('Jun 2027'!E64="","",'Jun 2027'!E64))</f>
        <v/>
      </c>
      <c r="AL252" s="345">
        <f>IF($A252="","",IF('Jun 2027'!E65="","",'Jun 2027'!E65))</f>
        <v/>
      </c>
      <c r="AM252" s="345">
        <f>IF($A252="","",IF('Jun 2027'!E66="","",'Jun 2027'!E66))</f>
        <v/>
      </c>
      <c r="AN252" s="345">
        <f>IF($A252="","",IF('Jun 2027'!E67="","",'Jun 2027'!E67))</f>
        <v/>
      </c>
      <c r="AO252" s="345">
        <f>IF($A252="",0,IF(AND($A252&gt;=TrackStart,$A252&lt;=TODAY()),1,0))</f>
        <v/>
      </c>
      <c r="AP252" s="345">
        <f>IF($A252="",0,IF(SUM(F252:AE252)+COUNT(AF252:AN252)&gt;0,1,0))</f>
        <v/>
      </c>
      <c r="AQ252" s="345">
        <f>IF($A252="","",INT(($A252-TrackStart)/7)+1)</f>
        <v/>
      </c>
      <c r="AR252" s="345">
        <f>IF($A252="","",IF(AQ252&lt;=1,Steps1,IF(AQ252=2,Steps2,Steps3)))</f>
        <v/>
      </c>
      <c r="AS252" s="345">
        <f>IF($A252="",0,IF(ISNUMBER(SEARCH(TEXT(D252,"0"),WorkDays&amp;"")),1,0))</f>
        <v/>
      </c>
      <c r="AT252" s="345">
        <f>IF($A252="",0,IF(ISNUMBER(SEARCH(TEXT(D252,"0"),StrDays&amp;"")),1,0))</f>
        <v/>
      </c>
      <c r="AU252" s="345">
        <f>IF($A252="",0,IF(ISNUMBER(AK252),IF(AK252&gt;=SleepMin,1,0),N252))</f>
        <v/>
      </c>
      <c r="AV252" s="345">
        <f>IF($A252="",0,MAX(I252,O252,S252,AC252))</f>
        <v/>
      </c>
      <c r="AW252" s="345">
        <f>IF($A252="",0,IF(ISNUMBER(AH252),IF(AH252&gt;=ProtHit,1,0),0))</f>
        <v/>
      </c>
      <c r="AX252" s="345">
        <f>IF($A252="",0,IF(ISNUMBER(AI252),IF(AI252&gt;=WaterHit,1,0),0))</f>
        <v/>
      </c>
      <c r="AY252" s="345">
        <f>IF($A252="",0,IF(ISNUMBER(AG252),IF(AG252&gt;=AR252,1,0),0))</f>
        <v/>
      </c>
      <c r="AZ252" s="345">
        <f>IF($A252="",0,G252)</f>
        <v/>
      </c>
      <c r="BA252" s="345">
        <f>IF($A252="",0,J252)</f>
        <v/>
      </c>
      <c r="BB252" s="345">
        <f>IF($A252="",0,K252)</f>
        <v/>
      </c>
      <c r="BC252" s="345">
        <f>IF($A252="",0,MAX(L252,AE252))</f>
        <v/>
      </c>
      <c r="BD252" s="344">
        <f>IF($A252="","",(AU252+AV252+AW252+AX252+AY252+AZ252+BB252+BC252+IF(AS252=1,BA252,0))/(8+AS252))</f>
        <v/>
      </c>
      <c r="BE252" s="344">
        <f>IF($A252="","",(IF(ISNUMBER(AI252),IF(AI252&gt;=WaterMVD,1,0),0)+AV252+IF(ISNUMBER(AH252),IF(AH252&gt;=ProtMVD,1,0),0)+MAX(H252,AD252)+AZ252+BB252+AU252)/7)</f>
        <v/>
      </c>
      <c r="BF252" s="344">
        <f>IF(AO252=0,"",IF(E252="S","",IF(AND(AP252=0,$A252=TODAY()),"",IF(E252="M",BE252,BD252))))</f>
        <v/>
      </c>
      <c r="BG252" s="344">
        <f>IF(AO252=0,"",IFERROR(AVERAGEIFS(Data!$BF$4:$BF$375,Data!$A$4:$A$375,"&gt;"&amp;($A252-7),Data!$A$4:$A$375,"&lt;="&amp;$A252),""))</f>
        <v/>
      </c>
      <c r="BH252" s="344">
        <f>IF(AO252=0,"",IFERROR(AVERAGEIFS(Data!$BF$4:$BF$375,Data!$A$4:$A$375,"&gt;"&amp;($A252-30),Data!$A$4:$A$375,"&lt;="&amp;$A252),""))</f>
        <v/>
      </c>
      <c r="BI252" s="359">
        <f>IF($A252="","",IFERROR(AVERAGEIFS(Data!$AF$4:$AF$375,Data!$A$4:$A$375,"&gt;"&amp;($A252-7),Data!$A$4:$A$375,"&lt;="&amp;$A252,Data!$AF$4:$AF$375,"&gt;0"),""))</f>
        <v/>
      </c>
      <c r="BJ252" s="345">
        <f>IF($A252="","",F252+G252+H252+I252+J252+K252+L252+M252+N252-IF(AS252=1,0,J252))</f>
        <v/>
      </c>
      <c r="BK252" s="345">
        <f>IF($A252="","",8+AS252)</f>
        <v/>
      </c>
      <c r="BL252" s="345">
        <f>IF(ISNUMBER(BF252),BF252,NA())</f>
        <v/>
      </c>
      <c r="BM252" s="345">
        <f>IF(ISNUMBER(AF252),AF252,NA())</f>
        <v/>
      </c>
      <c r="BN252" s="345">
        <f>IF(ISNUMBER(BI252),BI252,NA())</f>
        <v/>
      </c>
      <c r="BO252" s="345">
        <f>IF(ISNUMBER(AL252),AL252,NA())</f>
        <v/>
      </c>
      <c r="BP252" s="345">
        <f>IF(ISNUMBER(AM252),AM252,NA())</f>
        <v/>
      </c>
      <c r="BQ252" s="345">
        <f>IF(ISNUMBER(AN252),AN252,NA())</f>
        <v/>
      </c>
    </row>
    <row r="253">
      <c r="A253" s="358">
        <f>IF('Jun 2027'!F7="","",'Jun 2027'!F7)</f>
        <v/>
      </c>
      <c r="B253" s="345" t="n">
        <v>9</v>
      </c>
      <c r="C253" s="345">
        <f>IF($A253="","",2)</f>
        <v/>
      </c>
      <c r="D253" s="345">
        <f>IF($A253="","",WEEKDAY($A253,2))</f>
        <v/>
      </c>
      <c r="E253" s="345">
        <f>IF($A253="","",UPPER(TRIM('Jun 2027'!F8)))</f>
        <v/>
      </c>
      <c r="F253" s="345">
        <f>IF($A253="","",IF(OR('Jun 2027'!F10=TRUE,'Jun 2027'!F10="x",'Jun 2027'!F10="X"),1,0))</f>
        <v/>
      </c>
      <c r="G253" s="345">
        <f>IF($A253="","",IF(OR('Jun 2027'!F11=TRUE,'Jun 2027'!F11="x",'Jun 2027'!F11="X"),1,0))</f>
        <v/>
      </c>
      <c r="H253" s="345">
        <f>IF($A253="","",IF(OR('Jun 2027'!F12=TRUE,'Jun 2027'!F12="x",'Jun 2027'!F12="X"),1,0))</f>
        <v/>
      </c>
      <c r="I253" s="345">
        <f>IF($A253="","",IF(OR('Jun 2027'!F13=TRUE,'Jun 2027'!F13="x",'Jun 2027'!F13="X"),1,0))</f>
        <v/>
      </c>
      <c r="J253" s="345">
        <f>IF($A253="","",IF(OR('Jun 2027'!F14=TRUE,'Jun 2027'!F14="x",'Jun 2027'!F14="X"),1,0))</f>
        <v/>
      </c>
      <c r="K253" s="345">
        <f>IF($A253="","",IF(OR('Jun 2027'!F15=TRUE,'Jun 2027'!F15="x",'Jun 2027'!F15="X"),1,0))</f>
        <v/>
      </c>
      <c r="L253" s="345">
        <f>IF($A253="","",IF(OR('Jun 2027'!F16=TRUE,'Jun 2027'!F16="x",'Jun 2027'!F16="X"),1,0))</f>
        <v/>
      </c>
      <c r="M253" s="345">
        <f>IF($A253="","",IF(OR('Jun 2027'!F17=TRUE,'Jun 2027'!F17="x",'Jun 2027'!F17="X"),1,0))</f>
        <v/>
      </c>
      <c r="N253" s="345">
        <f>IF($A253="","",IF(OR('Jun 2027'!F18=TRUE,'Jun 2027'!F18="x",'Jun 2027'!F18="X"),1,0))</f>
        <v/>
      </c>
      <c r="O253" s="345">
        <f>IF($A253="","",IF(OR('Jun 2027'!F20=TRUE,'Jun 2027'!F20="x",'Jun 2027'!F20="X"),1,0))</f>
        <v/>
      </c>
      <c r="P253" s="345">
        <f>IF($A253="","",IF(OR('Jun 2027'!F21=TRUE,'Jun 2027'!F21="x",'Jun 2027'!F21="X"),1,0))</f>
        <v/>
      </c>
      <c r="Q253" s="345">
        <f>IF($A253="","",IF(OR('Jun 2027'!F22=TRUE,'Jun 2027'!F22="x",'Jun 2027'!F22="X"),1,0))</f>
        <v/>
      </c>
      <c r="R253" s="345">
        <f>IF($A253="","",IF(OR('Jun 2027'!F23=TRUE,'Jun 2027'!F23="x",'Jun 2027'!F23="X"),1,0))</f>
        <v/>
      </c>
      <c r="S253" s="345">
        <f>IF($A253="","",IF(OR('Jun 2027'!F24=TRUE,'Jun 2027'!F24="x",'Jun 2027'!F24="X"),1,0))</f>
        <v/>
      </c>
      <c r="T253" s="345">
        <f>IF($A253="","",IF(OR('Jun 2027'!F25=TRUE,'Jun 2027'!F25="x",'Jun 2027'!F25="X"),1,0))</f>
        <v/>
      </c>
      <c r="U253" s="345">
        <f>IF($A253="","",IF(OR('Jun 2027'!F26=TRUE,'Jun 2027'!F26="x",'Jun 2027'!F26="X"),1,0))</f>
        <v/>
      </c>
      <c r="V253" s="345">
        <f>IF($A253="","",IF(OR('Jun 2027'!F27=TRUE,'Jun 2027'!F27="x",'Jun 2027'!F27="X"),1,0))</f>
        <v/>
      </c>
      <c r="W253" s="345">
        <f>IF($A253="","",IF(OR('Jun 2027'!F28=TRUE,'Jun 2027'!F28="x",'Jun 2027'!F28="X"),1,0))</f>
        <v/>
      </c>
      <c r="X253" s="345">
        <f>IF($A253="","",IF(OR('Jun 2027'!F29=TRUE,'Jun 2027'!F29="x",'Jun 2027'!F29="X"),1,0))</f>
        <v/>
      </c>
      <c r="Y253" s="345">
        <f>IF($A253="","",IF(OR('Jun 2027'!F30=TRUE,'Jun 2027'!F30="x",'Jun 2027'!F30="X"),1,0))</f>
        <v/>
      </c>
      <c r="Z253" s="345">
        <f>IF($A253="","",IF(OR('Jun 2027'!F31=TRUE,'Jun 2027'!F31="x",'Jun 2027'!F31="X"),1,0))</f>
        <v/>
      </c>
      <c r="AA253" s="345">
        <f>IF($A253="","",IF(OR('Jun 2027'!F32=TRUE,'Jun 2027'!F32="x",'Jun 2027'!F32="X"),1,0))</f>
        <v/>
      </c>
      <c r="AB253" s="345">
        <f>IF($A253="","",IF(OR('Jun 2027'!F34=TRUE,'Jun 2027'!F34="x",'Jun 2027'!F34="X"),1,0))</f>
        <v/>
      </c>
      <c r="AC253" s="345">
        <f>IF($A253="","",IF(OR('Jun 2027'!F35=TRUE,'Jun 2027'!F35="x",'Jun 2027'!F35="X"),1,0))</f>
        <v/>
      </c>
      <c r="AD253" s="345">
        <f>IF($A253="","",IF(OR('Jun 2027'!F36=TRUE,'Jun 2027'!F36="x",'Jun 2027'!F36="X"),1,0))</f>
        <v/>
      </c>
      <c r="AE253" s="345">
        <f>IF($A253="","",IF(OR('Jun 2027'!F37=TRUE,'Jun 2027'!F37="x",'Jun 2027'!F37="X"),1,0))</f>
        <v/>
      </c>
      <c r="AF253" s="345">
        <f>IF($A253="","",IF('Jun 2027'!F59="","",'Jun 2027'!F59))</f>
        <v/>
      </c>
      <c r="AG253" s="345">
        <f>IF($A253="","",IF('Jun 2027'!F60="","",'Jun 2027'!F60))</f>
        <v/>
      </c>
      <c r="AH253" s="345">
        <f>IF($A253="","",IF('Jun 2027'!F61="","",'Jun 2027'!F61))</f>
        <v/>
      </c>
      <c r="AI253" s="345">
        <f>IF($A253="","",IF('Jun 2027'!F62="","",'Jun 2027'!F62))</f>
        <v/>
      </c>
      <c r="AJ253" s="345">
        <f>IF($A253="","",IF('Jun 2027'!F63="","",'Jun 2027'!F63))</f>
        <v/>
      </c>
      <c r="AK253" s="345">
        <f>IF($A253="","",IF('Jun 2027'!F64="","",'Jun 2027'!F64))</f>
        <v/>
      </c>
      <c r="AL253" s="345">
        <f>IF($A253="","",IF('Jun 2027'!F65="","",'Jun 2027'!F65))</f>
        <v/>
      </c>
      <c r="AM253" s="345">
        <f>IF($A253="","",IF('Jun 2027'!F66="","",'Jun 2027'!F66))</f>
        <v/>
      </c>
      <c r="AN253" s="345">
        <f>IF($A253="","",IF('Jun 2027'!F67="","",'Jun 2027'!F67))</f>
        <v/>
      </c>
      <c r="AO253" s="345">
        <f>IF($A253="",0,IF(AND($A253&gt;=TrackStart,$A253&lt;=TODAY()),1,0))</f>
        <v/>
      </c>
      <c r="AP253" s="345">
        <f>IF($A253="",0,IF(SUM(F253:AE253)+COUNT(AF253:AN253)&gt;0,1,0))</f>
        <v/>
      </c>
      <c r="AQ253" s="345">
        <f>IF($A253="","",INT(($A253-TrackStart)/7)+1)</f>
        <v/>
      </c>
      <c r="AR253" s="345">
        <f>IF($A253="","",IF(AQ253&lt;=1,Steps1,IF(AQ253=2,Steps2,Steps3)))</f>
        <v/>
      </c>
      <c r="AS253" s="345">
        <f>IF($A253="",0,IF(ISNUMBER(SEARCH(TEXT(D253,"0"),WorkDays&amp;"")),1,0))</f>
        <v/>
      </c>
      <c r="AT253" s="345">
        <f>IF($A253="",0,IF(ISNUMBER(SEARCH(TEXT(D253,"0"),StrDays&amp;"")),1,0))</f>
        <v/>
      </c>
      <c r="AU253" s="345">
        <f>IF($A253="",0,IF(ISNUMBER(AK253),IF(AK253&gt;=SleepMin,1,0),N253))</f>
        <v/>
      </c>
      <c r="AV253" s="345">
        <f>IF($A253="",0,MAX(I253,O253,S253,AC253))</f>
        <v/>
      </c>
      <c r="AW253" s="345">
        <f>IF($A253="",0,IF(ISNUMBER(AH253),IF(AH253&gt;=ProtHit,1,0),0))</f>
        <v/>
      </c>
      <c r="AX253" s="345">
        <f>IF($A253="",0,IF(ISNUMBER(AI253),IF(AI253&gt;=WaterHit,1,0),0))</f>
        <v/>
      </c>
      <c r="AY253" s="345">
        <f>IF($A253="",0,IF(ISNUMBER(AG253),IF(AG253&gt;=AR253,1,0),0))</f>
        <v/>
      </c>
      <c r="AZ253" s="345">
        <f>IF($A253="",0,G253)</f>
        <v/>
      </c>
      <c r="BA253" s="345">
        <f>IF($A253="",0,J253)</f>
        <v/>
      </c>
      <c r="BB253" s="345">
        <f>IF($A253="",0,K253)</f>
        <v/>
      </c>
      <c r="BC253" s="345">
        <f>IF($A253="",0,MAX(L253,AE253))</f>
        <v/>
      </c>
      <c r="BD253" s="344">
        <f>IF($A253="","",(AU253+AV253+AW253+AX253+AY253+AZ253+BB253+BC253+IF(AS253=1,BA253,0))/(8+AS253))</f>
        <v/>
      </c>
      <c r="BE253" s="344">
        <f>IF($A253="","",(IF(ISNUMBER(AI253),IF(AI253&gt;=WaterMVD,1,0),0)+AV253+IF(ISNUMBER(AH253),IF(AH253&gt;=ProtMVD,1,0),0)+MAX(H253,AD253)+AZ253+BB253+AU253)/7)</f>
        <v/>
      </c>
      <c r="BF253" s="344">
        <f>IF(AO253=0,"",IF(E253="S","",IF(AND(AP253=0,$A253=TODAY()),"",IF(E253="M",BE253,BD253))))</f>
        <v/>
      </c>
      <c r="BG253" s="344">
        <f>IF(AO253=0,"",IFERROR(AVERAGEIFS(Data!$BF$4:$BF$375,Data!$A$4:$A$375,"&gt;"&amp;($A253-7),Data!$A$4:$A$375,"&lt;="&amp;$A253),""))</f>
        <v/>
      </c>
      <c r="BH253" s="344">
        <f>IF(AO253=0,"",IFERROR(AVERAGEIFS(Data!$BF$4:$BF$375,Data!$A$4:$A$375,"&gt;"&amp;($A253-30),Data!$A$4:$A$375,"&lt;="&amp;$A253),""))</f>
        <v/>
      </c>
      <c r="BI253" s="359">
        <f>IF($A253="","",IFERROR(AVERAGEIFS(Data!$AF$4:$AF$375,Data!$A$4:$A$375,"&gt;"&amp;($A253-7),Data!$A$4:$A$375,"&lt;="&amp;$A253,Data!$AF$4:$AF$375,"&gt;0"),""))</f>
        <v/>
      </c>
      <c r="BJ253" s="345">
        <f>IF($A253="","",F253+G253+H253+I253+J253+K253+L253+M253+N253-IF(AS253=1,0,J253))</f>
        <v/>
      </c>
      <c r="BK253" s="345">
        <f>IF($A253="","",8+AS253)</f>
        <v/>
      </c>
      <c r="BL253" s="345">
        <f>IF(ISNUMBER(BF253),BF253,NA())</f>
        <v/>
      </c>
      <c r="BM253" s="345">
        <f>IF(ISNUMBER(AF253),AF253,NA())</f>
        <v/>
      </c>
      <c r="BN253" s="345">
        <f>IF(ISNUMBER(BI253),BI253,NA())</f>
        <v/>
      </c>
      <c r="BO253" s="345">
        <f>IF(ISNUMBER(AL253),AL253,NA())</f>
        <v/>
      </c>
      <c r="BP253" s="345">
        <f>IF(ISNUMBER(AM253),AM253,NA())</f>
        <v/>
      </c>
      <c r="BQ253" s="345">
        <f>IF(ISNUMBER(AN253),AN253,NA())</f>
        <v/>
      </c>
    </row>
    <row r="254">
      <c r="A254" s="358">
        <f>IF('Jun 2027'!G7="","",'Jun 2027'!G7)</f>
        <v/>
      </c>
      <c r="B254" s="345" t="n">
        <v>9</v>
      </c>
      <c r="C254" s="345">
        <f>IF($A254="","",3)</f>
        <v/>
      </c>
      <c r="D254" s="345">
        <f>IF($A254="","",WEEKDAY($A254,2))</f>
        <v/>
      </c>
      <c r="E254" s="345">
        <f>IF($A254="","",UPPER(TRIM('Jun 2027'!G8)))</f>
        <v/>
      </c>
      <c r="F254" s="345">
        <f>IF($A254="","",IF(OR('Jun 2027'!G10=TRUE,'Jun 2027'!G10="x",'Jun 2027'!G10="X"),1,0))</f>
        <v/>
      </c>
      <c r="G254" s="345">
        <f>IF($A254="","",IF(OR('Jun 2027'!G11=TRUE,'Jun 2027'!G11="x",'Jun 2027'!G11="X"),1,0))</f>
        <v/>
      </c>
      <c r="H254" s="345">
        <f>IF($A254="","",IF(OR('Jun 2027'!G12=TRUE,'Jun 2027'!G12="x",'Jun 2027'!G12="X"),1,0))</f>
        <v/>
      </c>
      <c r="I254" s="345">
        <f>IF($A254="","",IF(OR('Jun 2027'!G13=TRUE,'Jun 2027'!G13="x",'Jun 2027'!G13="X"),1,0))</f>
        <v/>
      </c>
      <c r="J254" s="345">
        <f>IF($A254="","",IF(OR('Jun 2027'!G14=TRUE,'Jun 2027'!G14="x",'Jun 2027'!G14="X"),1,0))</f>
        <v/>
      </c>
      <c r="K254" s="345">
        <f>IF($A254="","",IF(OR('Jun 2027'!G15=TRUE,'Jun 2027'!G15="x",'Jun 2027'!G15="X"),1,0))</f>
        <v/>
      </c>
      <c r="L254" s="345">
        <f>IF($A254="","",IF(OR('Jun 2027'!G16=TRUE,'Jun 2027'!G16="x",'Jun 2027'!G16="X"),1,0))</f>
        <v/>
      </c>
      <c r="M254" s="345">
        <f>IF($A254="","",IF(OR('Jun 2027'!G17=TRUE,'Jun 2027'!G17="x",'Jun 2027'!G17="X"),1,0))</f>
        <v/>
      </c>
      <c r="N254" s="345">
        <f>IF($A254="","",IF(OR('Jun 2027'!G18=TRUE,'Jun 2027'!G18="x",'Jun 2027'!G18="X"),1,0))</f>
        <v/>
      </c>
      <c r="O254" s="345">
        <f>IF($A254="","",IF(OR('Jun 2027'!G20=TRUE,'Jun 2027'!G20="x",'Jun 2027'!G20="X"),1,0))</f>
        <v/>
      </c>
      <c r="P254" s="345">
        <f>IF($A254="","",IF(OR('Jun 2027'!G21=TRUE,'Jun 2027'!G21="x",'Jun 2027'!G21="X"),1,0))</f>
        <v/>
      </c>
      <c r="Q254" s="345">
        <f>IF($A254="","",IF(OR('Jun 2027'!G22=TRUE,'Jun 2027'!G22="x",'Jun 2027'!G22="X"),1,0))</f>
        <v/>
      </c>
      <c r="R254" s="345">
        <f>IF($A254="","",IF(OR('Jun 2027'!G23=TRUE,'Jun 2027'!G23="x",'Jun 2027'!G23="X"),1,0))</f>
        <v/>
      </c>
      <c r="S254" s="345">
        <f>IF($A254="","",IF(OR('Jun 2027'!G24=TRUE,'Jun 2027'!G24="x",'Jun 2027'!G24="X"),1,0))</f>
        <v/>
      </c>
      <c r="T254" s="345">
        <f>IF($A254="","",IF(OR('Jun 2027'!G25=TRUE,'Jun 2027'!G25="x",'Jun 2027'!G25="X"),1,0))</f>
        <v/>
      </c>
      <c r="U254" s="345">
        <f>IF($A254="","",IF(OR('Jun 2027'!G26=TRUE,'Jun 2027'!G26="x",'Jun 2027'!G26="X"),1,0))</f>
        <v/>
      </c>
      <c r="V254" s="345">
        <f>IF($A254="","",IF(OR('Jun 2027'!G27=TRUE,'Jun 2027'!G27="x",'Jun 2027'!G27="X"),1,0))</f>
        <v/>
      </c>
      <c r="W254" s="345">
        <f>IF($A254="","",IF(OR('Jun 2027'!G28=TRUE,'Jun 2027'!G28="x",'Jun 2027'!G28="X"),1,0))</f>
        <v/>
      </c>
      <c r="X254" s="345">
        <f>IF($A254="","",IF(OR('Jun 2027'!G29=TRUE,'Jun 2027'!G29="x",'Jun 2027'!G29="X"),1,0))</f>
        <v/>
      </c>
      <c r="Y254" s="345">
        <f>IF($A254="","",IF(OR('Jun 2027'!G30=TRUE,'Jun 2027'!G30="x",'Jun 2027'!G30="X"),1,0))</f>
        <v/>
      </c>
      <c r="Z254" s="345">
        <f>IF($A254="","",IF(OR('Jun 2027'!G31=TRUE,'Jun 2027'!G31="x",'Jun 2027'!G31="X"),1,0))</f>
        <v/>
      </c>
      <c r="AA254" s="345">
        <f>IF($A254="","",IF(OR('Jun 2027'!G32=TRUE,'Jun 2027'!G32="x",'Jun 2027'!G32="X"),1,0))</f>
        <v/>
      </c>
      <c r="AB254" s="345">
        <f>IF($A254="","",IF(OR('Jun 2027'!G34=TRUE,'Jun 2027'!G34="x",'Jun 2027'!G34="X"),1,0))</f>
        <v/>
      </c>
      <c r="AC254" s="345">
        <f>IF($A254="","",IF(OR('Jun 2027'!G35=TRUE,'Jun 2027'!G35="x",'Jun 2027'!G35="X"),1,0))</f>
        <v/>
      </c>
      <c r="AD254" s="345">
        <f>IF($A254="","",IF(OR('Jun 2027'!G36=TRUE,'Jun 2027'!G36="x",'Jun 2027'!G36="X"),1,0))</f>
        <v/>
      </c>
      <c r="AE254" s="345">
        <f>IF($A254="","",IF(OR('Jun 2027'!G37=TRUE,'Jun 2027'!G37="x",'Jun 2027'!G37="X"),1,0))</f>
        <v/>
      </c>
      <c r="AF254" s="345">
        <f>IF($A254="","",IF('Jun 2027'!G59="","",'Jun 2027'!G59))</f>
        <v/>
      </c>
      <c r="AG254" s="345">
        <f>IF($A254="","",IF('Jun 2027'!G60="","",'Jun 2027'!G60))</f>
        <v/>
      </c>
      <c r="AH254" s="345">
        <f>IF($A254="","",IF('Jun 2027'!G61="","",'Jun 2027'!G61))</f>
        <v/>
      </c>
      <c r="AI254" s="345">
        <f>IF($A254="","",IF('Jun 2027'!G62="","",'Jun 2027'!G62))</f>
        <v/>
      </c>
      <c r="AJ254" s="345">
        <f>IF($A254="","",IF('Jun 2027'!G63="","",'Jun 2027'!G63))</f>
        <v/>
      </c>
      <c r="AK254" s="345">
        <f>IF($A254="","",IF('Jun 2027'!G64="","",'Jun 2027'!G64))</f>
        <v/>
      </c>
      <c r="AL254" s="345">
        <f>IF($A254="","",IF('Jun 2027'!G65="","",'Jun 2027'!G65))</f>
        <v/>
      </c>
      <c r="AM254" s="345">
        <f>IF($A254="","",IF('Jun 2027'!G66="","",'Jun 2027'!G66))</f>
        <v/>
      </c>
      <c r="AN254" s="345">
        <f>IF($A254="","",IF('Jun 2027'!G67="","",'Jun 2027'!G67))</f>
        <v/>
      </c>
      <c r="AO254" s="345">
        <f>IF($A254="",0,IF(AND($A254&gt;=TrackStart,$A254&lt;=TODAY()),1,0))</f>
        <v/>
      </c>
      <c r="AP254" s="345">
        <f>IF($A254="",0,IF(SUM(F254:AE254)+COUNT(AF254:AN254)&gt;0,1,0))</f>
        <v/>
      </c>
      <c r="AQ254" s="345">
        <f>IF($A254="","",INT(($A254-TrackStart)/7)+1)</f>
        <v/>
      </c>
      <c r="AR254" s="345">
        <f>IF($A254="","",IF(AQ254&lt;=1,Steps1,IF(AQ254=2,Steps2,Steps3)))</f>
        <v/>
      </c>
      <c r="AS254" s="345">
        <f>IF($A254="",0,IF(ISNUMBER(SEARCH(TEXT(D254,"0"),WorkDays&amp;"")),1,0))</f>
        <v/>
      </c>
      <c r="AT254" s="345">
        <f>IF($A254="",0,IF(ISNUMBER(SEARCH(TEXT(D254,"0"),StrDays&amp;"")),1,0))</f>
        <v/>
      </c>
      <c r="AU254" s="345">
        <f>IF($A254="",0,IF(ISNUMBER(AK254),IF(AK254&gt;=SleepMin,1,0),N254))</f>
        <v/>
      </c>
      <c r="AV254" s="345">
        <f>IF($A254="",0,MAX(I254,O254,S254,AC254))</f>
        <v/>
      </c>
      <c r="AW254" s="345">
        <f>IF($A254="",0,IF(ISNUMBER(AH254),IF(AH254&gt;=ProtHit,1,0),0))</f>
        <v/>
      </c>
      <c r="AX254" s="345">
        <f>IF($A254="",0,IF(ISNUMBER(AI254),IF(AI254&gt;=WaterHit,1,0),0))</f>
        <v/>
      </c>
      <c r="AY254" s="345">
        <f>IF($A254="",0,IF(ISNUMBER(AG254),IF(AG254&gt;=AR254,1,0),0))</f>
        <v/>
      </c>
      <c r="AZ254" s="345">
        <f>IF($A254="",0,G254)</f>
        <v/>
      </c>
      <c r="BA254" s="345">
        <f>IF($A254="",0,J254)</f>
        <v/>
      </c>
      <c r="BB254" s="345">
        <f>IF($A254="",0,K254)</f>
        <v/>
      </c>
      <c r="BC254" s="345">
        <f>IF($A254="",0,MAX(L254,AE254))</f>
        <v/>
      </c>
      <c r="BD254" s="344">
        <f>IF($A254="","",(AU254+AV254+AW254+AX254+AY254+AZ254+BB254+BC254+IF(AS254=1,BA254,0))/(8+AS254))</f>
        <v/>
      </c>
      <c r="BE254" s="344">
        <f>IF($A254="","",(IF(ISNUMBER(AI254),IF(AI254&gt;=WaterMVD,1,0),0)+AV254+IF(ISNUMBER(AH254),IF(AH254&gt;=ProtMVD,1,0),0)+MAX(H254,AD254)+AZ254+BB254+AU254)/7)</f>
        <v/>
      </c>
      <c r="BF254" s="344">
        <f>IF(AO254=0,"",IF(E254="S","",IF(AND(AP254=0,$A254=TODAY()),"",IF(E254="M",BE254,BD254))))</f>
        <v/>
      </c>
      <c r="BG254" s="344">
        <f>IF(AO254=0,"",IFERROR(AVERAGEIFS(Data!$BF$4:$BF$375,Data!$A$4:$A$375,"&gt;"&amp;($A254-7),Data!$A$4:$A$375,"&lt;="&amp;$A254),""))</f>
        <v/>
      </c>
      <c r="BH254" s="344">
        <f>IF(AO254=0,"",IFERROR(AVERAGEIFS(Data!$BF$4:$BF$375,Data!$A$4:$A$375,"&gt;"&amp;($A254-30),Data!$A$4:$A$375,"&lt;="&amp;$A254),""))</f>
        <v/>
      </c>
      <c r="BI254" s="359">
        <f>IF($A254="","",IFERROR(AVERAGEIFS(Data!$AF$4:$AF$375,Data!$A$4:$A$375,"&gt;"&amp;($A254-7),Data!$A$4:$A$375,"&lt;="&amp;$A254,Data!$AF$4:$AF$375,"&gt;0"),""))</f>
        <v/>
      </c>
      <c r="BJ254" s="345">
        <f>IF($A254="","",F254+G254+H254+I254+J254+K254+L254+M254+N254-IF(AS254=1,0,J254))</f>
        <v/>
      </c>
      <c r="BK254" s="345">
        <f>IF($A254="","",8+AS254)</f>
        <v/>
      </c>
      <c r="BL254" s="345">
        <f>IF(ISNUMBER(BF254),BF254,NA())</f>
        <v/>
      </c>
      <c r="BM254" s="345">
        <f>IF(ISNUMBER(AF254),AF254,NA())</f>
        <v/>
      </c>
      <c r="BN254" s="345">
        <f>IF(ISNUMBER(BI254),BI254,NA())</f>
        <v/>
      </c>
      <c r="BO254" s="345">
        <f>IF(ISNUMBER(AL254),AL254,NA())</f>
        <v/>
      </c>
      <c r="BP254" s="345">
        <f>IF(ISNUMBER(AM254),AM254,NA())</f>
        <v/>
      </c>
      <c r="BQ254" s="345">
        <f>IF(ISNUMBER(AN254),AN254,NA())</f>
        <v/>
      </c>
    </row>
    <row r="255">
      <c r="A255" s="358">
        <f>IF('Jun 2027'!H7="","",'Jun 2027'!H7)</f>
        <v/>
      </c>
      <c r="B255" s="345" t="n">
        <v>9</v>
      </c>
      <c r="C255" s="345">
        <f>IF($A255="","",4)</f>
        <v/>
      </c>
      <c r="D255" s="345">
        <f>IF($A255="","",WEEKDAY($A255,2))</f>
        <v/>
      </c>
      <c r="E255" s="345">
        <f>IF($A255="","",UPPER(TRIM('Jun 2027'!H8)))</f>
        <v/>
      </c>
      <c r="F255" s="345">
        <f>IF($A255="","",IF(OR('Jun 2027'!H10=TRUE,'Jun 2027'!H10="x",'Jun 2027'!H10="X"),1,0))</f>
        <v/>
      </c>
      <c r="G255" s="345">
        <f>IF($A255="","",IF(OR('Jun 2027'!H11=TRUE,'Jun 2027'!H11="x",'Jun 2027'!H11="X"),1,0))</f>
        <v/>
      </c>
      <c r="H255" s="345">
        <f>IF($A255="","",IF(OR('Jun 2027'!H12=TRUE,'Jun 2027'!H12="x",'Jun 2027'!H12="X"),1,0))</f>
        <v/>
      </c>
      <c r="I255" s="345">
        <f>IF($A255="","",IF(OR('Jun 2027'!H13=TRUE,'Jun 2027'!H13="x",'Jun 2027'!H13="X"),1,0))</f>
        <v/>
      </c>
      <c r="J255" s="345">
        <f>IF($A255="","",IF(OR('Jun 2027'!H14=TRUE,'Jun 2027'!H14="x",'Jun 2027'!H14="X"),1,0))</f>
        <v/>
      </c>
      <c r="K255" s="345">
        <f>IF($A255="","",IF(OR('Jun 2027'!H15=TRUE,'Jun 2027'!H15="x",'Jun 2027'!H15="X"),1,0))</f>
        <v/>
      </c>
      <c r="L255" s="345">
        <f>IF($A255="","",IF(OR('Jun 2027'!H16=TRUE,'Jun 2027'!H16="x",'Jun 2027'!H16="X"),1,0))</f>
        <v/>
      </c>
      <c r="M255" s="345">
        <f>IF($A255="","",IF(OR('Jun 2027'!H17=TRUE,'Jun 2027'!H17="x",'Jun 2027'!H17="X"),1,0))</f>
        <v/>
      </c>
      <c r="N255" s="345">
        <f>IF($A255="","",IF(OR('Jun 2027'!H18=TRUE,'Jun 2027'!H18="x",'Jun 2027'!H18="X"),1,0))</f>
        <v/>
      </c>
      <c r="O255" s="345">
        <f>IF($A255="","",IF(OR('Jun 2027'!H20=TRUE,'Jun 2027'!H20="x",'Jun 2027'!H20="X"),1,0))</f>
        <v/>
      </c>
      <c r="P255" s="345">
        <f>IF($A255="","",IF(OR('Jun 2027'!H21=TRUE,'Jun 2027'!H21="x",'Jun 2027'!H21="X"),1,0))</f>
        <v/>
      </c>
      <c r="Q255" s="345">
        <f>IF($A255="","",IF(OR('Jun 2027'!H22=TRUE,'Jun 2027'!H22="x",'Jun 2027'!H22="X"),1,0))</f>
        <v/>
      </c>
      <c r="R255" s="345">
        <f>IF($A255="","",IF(OR('Jun 2027'!H23=TRUE,'Jun 2027'!H23="x",'Jun 2027'!H23="X"),1,0))</f>
        <v/>
      </c>
      <c r="S255" s="345">
        <f>IF($A255="","",IF(OR('Jun 2027'!H24=TRUE,'Jun 2027'!H24="x",'Jun 2027'!H24="X"),1,0))</f>
        <v/>
      </c>
      <c r="T255" s="345">
        <f>IF($A255="","",IF(OR('Jun 2027'!H25=TRUE,'Jun 2027'!H25="x",'Jun 2027'!H25="X"),1,0))</f>
        <v/>
      </c>
      <c r="U255" s="345">
        <f>IF($A255="","",IF(OR('Jun 2027'!H26=TRUE,'Jun 2027'!H26="x",'Jun 2027'!H26="X"),1,0))</f>
        <v/>
      </c>
      <c r="V255" s="345">
        <f>IF($A255="","",IF(OR('Jun 2027'!H27=TRUE,'Jun 2027'!H27="x",'Jun 2027'!H27="X"),1,0))</f>
        <v/>
      </c>
      <c r="W255" s="345">
        <f>IF($A255="","",IF(OR('Jun 2027'!H28=TRUE,'Jun 2027'!H28="x",'Jun 2027'!H28="X"),1,0))</f>
        <v/>
      </c>
      <c r="X255" s="345">
        <f>IF($A255="","",IF(OR('Jun 2027'!H29=TRUE,'Jun 2027'!H29="x",'Jun 2027'!H29="X"),1,0))</f>
        <v/>
      </c>
      <c r="Y255" s="345">
        <f>IF($A255="","",IF(OR('Jun 2027'!H30=TRUE,'Jun 2027'!H30="x",'Jun 2027'!H30="X"),1,0))</f>
        <v/>
      </c>
      <c r="Z255" s="345">
        <f>IF($A255="","",IF(OR('Jun 2027'!H31=TRUE,'Jun 2027'!H31="x",'Jun 2027'!H31="X"),1,0))</f>
        <v/>
      </c>
      <c r="AA255" s="345">
        <f>IF($A255="","",IF(OR('Jun 2027'!H32=TRUE,'Jun 2027'!H32="x",'Jun 2027'!H32="X"),1,0))</f>
        <v/>
      </c>
      <c r="AB255" s="345">
        <f>IF($A255="","",IF(OR('Jun 2027'!H34=TRUE,'Jun 2027'!H34="x",'Jun 2027'!H34="X"),1,0))</f>
        <v/>
      </c>
      <c r="AC255" s="345">
        <f>IF($A255="","",IF(OR('Jun 2027'!H35=TRUE,'Jun 2027'!H35="x",'Jun 2027'!H35="X"),1,0))</f>
        <v/>
      </c>
      <c r="AD255" s="345">
        <f>IF($A255="","",IF(OR('Jun 2027'!H36=TRUE,'Jun 2027'!H36="x",'Jun 2027'!H36="X"),1,0))</f>
        <v/>
      </c>
      <c r="AE255" s="345">
        <f>IF($A255="","",IF(OR('Jun 2027'!H37=TRUE,'Jun 2027'!H37="x",'Jun 2027'!H37="X"),1,0))</f>
        <v/>
      </c>
      <c r="AF255" s="345">
        <f>IF($A255="","",IF('Jun 2027'!H59="","",'Jun 2027'!H59))</f>
        <v/>
      </c>
      <c r="AG255" s="345">
        <f>IF($A255="","",IF('Jun 2027'!H60="","",'Jun 2027'!H60))</f>
        <v/>
      </c>
      <c r="AH255" s="345">
        <f>IF($A255="","",IF('Jun 2027'!H61="","",'Jun 2027'!H61))</f>
        <v/>
      </c>
      <c r="AI255" s="345">
        <f>IF($A255="","",IF('Jun 2027'!H62="","",'Jun 2027'!H62))</f>
        <v/>
      </c>
      <c r="AJ255" s="345">
        <f>IF($A255="","",IF('Jun 2027'!H63="","",'Jun 2027'!H63))</f>
        <v/>
      </c>
      <c r="AK255" s="345">
        <f>IF($A255="","",IF('Jun 2027'!H64="","",'Jun 2027'!H64))</f>
        <v/>
      </c>
      <c r="AL255" s="345">
        <f>IF($A255="","",IF('Jun 2027'!H65="","",'Jun 2027'!H65))</f>
        <v/>
      </c>
      <c r="AM255" s="345">
        <f>IF($A255="","",IF('Jun 2027'!H66="","",'Jun 2027'!H66))</f>
        <v/>
      </c>
      <c r="AN255" s="345">
        <f>IF($A255="","",IF('Jun 2027'!H67="","",'Jun 2027'!H67))</f>
        <v/>
      </c>
      <c r="AO255" s="345">
        <f>IF($A255="",0,IF(AND($A255&gt;=TrackStart,$A255&lt;=TODAY()),1,0))</f>
        <v/>
      </c>
      <c r="AP255" s="345">
        <f>IF($A255="",0,IF(SUM(F255:AE255)+COUNT(AF255:AN255)&gt;0,1,0))</f>
        <v/>
      </c>
      <c r="AQ255" s="345">
        <f>IF($A255="","",INT(($A255-TrackStart)/7)+1)</f>
        <v/>
      </c>
      <c r="AR255" s="345">
        <f>IF($A255="","",IF(AQ255&lt;=1,Steps1,IF(AQ255=2,Steps2,Steps3)))</f>
        <v/>
      </c>
      <c r="AS255" s="345">
        <f>IF($A255="",0,IF(ISNUMBER(SEARCH(TEXT(D255,"0"),WorkDays&amp;"")),1,0))</f>
        <v/>
      </c>
      <c r="AT255" s="345">
        <f>IF($A255="",0,IF(ISNUMBER(SEARCH(TEXT(D255,"0"),StrDays&amp;"")),1,0))</f>
        <v/>
      </c>
      <c r="AU255" s="345">
        <f>IF($A255="",0,IF(ISNUMBER(AK255),IF(AK255&gt;=SleepMin,1,0),N255))</f>
        <v/>
      </c>
      <c r="AV255" s="345">
        <f>IF($A255="",0,MAX(I255,O255,S255,AC255))</f>
        <v/>
      </c>
      <c r="AW255" s="345">
        <f>IF($A255="",0,IF(ISNUMBER(AH255),IF(AH255&gt;=ProtHit,1,0),0))</f>
        <v/>
      </c>
      <c r="AX255" s="345">
        <f>IF($A255="",0,IF(ISNUMBER(AI255),IF(AI255&gt;=WaterHit,1,0),0))</f>
        <v/>
      </c>
      <c r="AY255" s="345">
        <f>IF($A255="",0,IF(ISNUMBER(AG255),IF(AG255&gt;=AR255,1,0),0))</f>
        <v/>
      </c>
      <c r="AZ255" s="345">
        <f>IF($A255="",0,G255)</f>
        <v/>
      </c>
      <c r="BA255" s="345">
        <f>IF($A255="",0,J255)</f>
        <v/>
      </c>
      <c r="BB255" s="345">
        <f>IF($A255="",0,K255)</f>
        <v/>
      </c>
      <c r="BC255" s="345">
        <f>IF($A255="",0,MAX(L255,AE255))</f>
        <v/>
      </c>
      <c r="BD255" s="344">
        <f>IF($A255="","",(AU255+AV255+AW255+AX255+AY255+AZ255+BB255+BC255+IF(AS255=1,BA255,0))/(8+AS255))</f>
        <v/>
      </c>
      <c r="BE255" s="344">
        <f>IF($A255="","",(IF(ISNUMBER(AI255),IF(AI255&gt;=WaterMVD,1,0),0)+AV255+IF(ISNUMBER(AH255),IF(AH255&gt;=ProtMVD,1,0),0)+MAX(H255,AD255)+AZ255+BB255+AU255)/7)</f>
        <v/>
      </c>
      <c r="BF255" s="344">
        <f>IF(AO255=0,"",IF(E255="S","",IF(AND(AP255=0,$A255=TODAY()),"",IF(E255="M",BE255,BD255))))</f>
        <v/>
      </c>
      <c r="BG255" s="344">
        <f>IF(AO255=0,"",IFERROR(AVERAGEIFS(Data!$BF$4:$BF$375,Data!$A$4:$A$375,"&gt;"&amp;($A255-7),Data!$A$4:$A$375,"&lt;="&amp;$A255),""))</f>
        <v/>
      </c>
      <c r="BH255" s="344">
        <f>IF(AO255=0,"",IFERROR(AVERAGEIFS(Data!$BF$4:$BF$375,Data!$A$4:$A$375,"&gt;"&amp;($A255-30),Data!$A$4:$A$375,"&lt;="&amp;$A255),""))</f>
        <v/>
      </c>
      <c r="BI255" s="359">
        <f>IF($A255="","",IFERROR(AVERAGEIFS(Data!$AF$4:$AF$375,Data!$A$4:$A$375,"&gt;"&amp;($A255-7),Data!$A$4:$A$375,"&lt;="&amp;$A255,Data!$AF$4:$AF$375,"&gt;0"),""))</f>
        <v/>
      </c>
      <c r="BJ255" s="345">
        <f>IF($A255="","",F255+G255+H255+I255+J255+K255+L255+M255+N255-IF(AS255=1,0,J255))</f>
        <v/>
      </c>
      <c r="BK255" s="345">
        <f>IF($A255="","",8+AS255)</f>
        <v/>
      </c>
      <c r="BL255" s="345">
        <f>IF(ISNUMBER(BF255),BF255,NA())</f>
        <v/>
      </c>
      <c r="BM255" s="345">
        <f>IF(ISNUMBER(AF255),AF255,NA())</f>
        <v/>
      </c>
      <c r="BN255" s="345">
        <f>IF(ISNUMBER(BI255),BI255,NA())</f>
        <v/>
      </c>
      <c r="BO255" s="345">
        <f>IF(ISNUMBER(AL255),AL255,NA())</f>
        <v/>
      </c>
      <c r="BP255" s="345">
        <f>IF(ISNUMBER(AM255),AM255,NA())</f>
        <v/>
      </c>
      <c r="BQ255" s="345">
        <f>IF(ISNUMBER(AN255),AN255,NA())</f>
        <v/>
      </c>
    </row>
    <row r="256">
      <c r="A256" s="358">
        <f>IF('Jun 2027'!I7="","",'Jun 2027'!I7)</f>
        <v/>
      </c>
      <c r="B256" s="345" t="n">
        <v>9</v>
      </c>
      <c r="C256" s="345">
        <f>IF($A256="","",5)</f>
        <v/>
      </c>
      <c r="D256" s="345">
        <f>IF($A256="","",WEEKDAY($A256,2))</f>
        <v/>
      </c>
      <c r="E256" s="345">
        <f>IF($A256="","",UPPER(TRIM('Jun 2027'!I8)))</f>
        <v/>
      </c>
      <c r="F256" s="345">
        <f>IF($A256="","",IF(OR('Jun 2027'!I10=TRUE,'Jun 2027'!I10="x",'Jun 2027'!I10="X"),1,0))</f>
        <v/>
      </c>
      <c r="G256" s="345">
        <f>IF($A256="","",IF(OR('Jun 2027'!I11=TRUE,'Jun 2027'!I11="x",'Jun 2027'!I11="X"),1,0))</f>
        <v/>
      </c>
      <c r="H256" s="345">
        <f>IF($A256="","",IF(OR('Jun 2027'!I12=TRUE,'Jun 2027'!I12="x",'Jun 2027'!I12="X"),1,0))</f>
        <v/>
      </c>
      <c r="I256" s="345">
        <f>IF($A256="","",IF(OR('Jun 2027'!I13=TRUE,'Jun 2027'!I13="x",'Jun 2027'!I13="X"),1,0))</f>
        <v/>
      </c>
      <c r="J256" s="345">
        <f>IF($A256="","",IF(OR('Jun 2027'!I14=TRUE,'Jun 2027'!I14="x",'Jun 2027'!I14="X"),1,0))</f>
        <v/>
      </c>
      <c r="K256" s="345">
        <f>IF($A256="","",IF(OR('Jun 2027'!I15=TRUE,'Jun 2027'!I15="x",'Jun 2027'!I15="X"),1,0))</f>
        <v/>
      </c>
      <c r="L256" s="345">
        <f>IF($A256="","",IF(OR('Jun 2027'!I16=TRUE,'Jun 2027'!I16="x",'Jun 2027'!I16="X"),1,0))</f>
        <v/>
      </c>
      <c r="M256" s="345">
        <f>IF($A256="","",IF(OR('Jun 2027'!I17=TRUE,'Jun 2027'!I17="x",'Jun 2027'!I17="X"),1,0))</f>
        <v/>
      </c>
      <c r="N256" s="345">
        <f>IF($A256="","",IF(OR('Jun 2027'!I18=TRUE,'Jun 2027'!I18="x",'Jun 2027'!I18="X"),1,0))</f>
        <v/>
      </c>
      <c r="O256" s="345">
        <f>IF($A256="","",IF(OR('Jun 2027'!I20=TRUE,'Jun 2027'!I20="x",'Jun 2027'!I20="X"),1,0))</f>
        <v/>
      </c>
      <c r="P256" s="345">
        <f>IF($A256="","",IF(OR('Jun 2027'!I21=TRUE,'Jun 2027'!I21="x",'Jun 2027'!I21="X"),1,0))</f>
        <v/>
      </c>
      <c r="Q256" s="345">
        <f>IF($A256="","",IF(OR('Jun 2027'!I22=TRUE,'Jun 2027'!I22="x",'Jun 2027'!I22="X"),1,0))</f>
        <v/>
      </c>
      <c r="R256" s="345">
        <f>IF($A256="","",IF(OR('Jun 2027'!I23=TRUE,'Jun 2027'!I23="x",'Jun 2027'!I23="X"),1,0))</f>
        <v/>
      </c>
      <c r="S256" s="345">
        <f>IF($A256="","",IF(OR('Jun 2027'!I24=TRUE,'Jun 2027'!I24="x",'Jun 2027'!I24="X"),1,0))</f>
        <v/>
      </c>
      <c r="T256" s="345">
        <f>IF($A256="","",IF(OR('Jun 2027'!I25=TRUE,'Jun 2027'!I25="x",'Jun 2027'!I25="X"),1,0))</f>
        <v/>
      </c>
      <c r="U256" s="345">
        <f>IF($A256="","",IF(OR('Jun 2027'!I26=TRUE,'Jun 2027'!I26="x",'Jun 2027'!I26="X"),1,0))</f>
        <v/>
      </c>
      <c r="V256" s="345">
        <f>IF($A256="","",IF(OR('Jun 2027'!I27=TRUE,'Jun 2027'!I27="x",'Jun 2027'!I27="X"),1,0))</f>
        <v/>
      </c>
      <c r="W256" s="345">
        <f>IF($A256="","",IF(OR('Jun 2027'!I28=TRUE,'Jun 2027'!I28="x",'Jun 2027'!I28="X"),1,0))</f>
        <v/>
      </c>
      <c r="X256" s="345">
        <f>IF($A256="","",IF(OR('Jun 2027'!I29=TRUE,'Jun 2027'!I29="x",'Jun 2027'!I29="X"),1,0))</f>
        <v/>
      </c>
      <c r="Y256" s="345">
        <f>IF($A256="","",IF(OR('Jun 2027'!I30=TRUE,'Jun 2027'!I30="x",'Jun 2027'!I30="X"),1,0))</f>
        <v/>
      </c>
      <c r="Z256" s="345">
        <f>IF($A256="","",IF(OR('Jun 2027'!I31=TRUE,'Jun 2027'!I31="x",'Jun 2027'!I31="X"),1,0))</f>
        <v/>
      </c>
      <c r="AA256" s="345">
        <f>IF($A256="","",IF(OR('Jun 2027'!I32=TRUE,'Jun 2027'!I32="x",'Jun 2027'!I32="X"),1,0))</f>
        <v/>
      </c>
      <c r="AB256" s="345">
        <f>IF($A256="","",IF(OR('Jun 2027'!I34=TRUE,'Jun 2027'!I34="x",'Jun 2027'!I34="X"),1,0))</f>
        <v/>
      </c>
      <c r="AC256" s="345">
        <f>IF($A256="","",IF(OR('Jun 2027'!I35=TRUE,'Jun 2027'!I35="x",'Jun 2027'!I35="X"),1,0))</f>
        <v/>
      </c>
      <c r="AD256" s="345">
        <f>IF($A256="","",IF(OR('Jun 2027'!I36=TRUE,'Jun 2027'!I36="x",'Jun 2027'!I36="X"),1,0))</f>
        <v/>
      </c>
      <c r="AE256" s="345">
        <f>IF($A256="","",IF(OR('Jun 2027'!I37=TRUE,'Jun 2027'!I37="x",'Jun 2027'!I37="X"),1,0))</f>
        <v/>
      </c>
      <c r="AF256" s="345">
        <f>IF($A256="","",IF('Jun 2027'!I59="","",'Jun 2027'!I59))</f>
        <v/>
      </c>
      <c r="AG256" s="345">
        <f>IF($A256="","",IF('Jun 2027'!I60="","",'Jun 2027'!I60))</f>
        <v/>
      </c>
      <c r="AH256" s="345">
        <f>IF($A256="","",IF('Jun 2027'!I61="","",'Jun 2027'!I61))</f>
        <v/>
      </c>
      <c r="AI256" s="345">
        <f>IF($A256="","",IF('Jun 2027'!I62="","",'Jun 2027'!I62))</f>
        <v/>
      </c>
      <c r="AJ256" s="345">
        <f>IF($A256="","",IF('Jun 2027'!I63="","",'Jun 2027'!I63))</f>
        <v/>
      </c>
      <c r="AK256" s="345">
        <f>IF($A256="","",IF('Jun 2027'!I64="","",'Jun 2027'!I64))</f>
        <v/>
      </c>
      <c r="AL256" s="345">
        <f>IF($A256="","",IF('Jun 2027'!I65="","",'Jun 2027'!I65))</f>
        <v/>
      </c>
      <c r="AM256" s="345">
        <f>IF($A256="","",IF('Jun 2027'!I66="","",'Jun 2027'!I66))</f>
        <v/>
      </c>
      <c r="AN256" s="345">
        <f>IF($A256="","",IF('Jun 2027'!I67="","",'Jun 2027'!I67))</f>
        <v/>
      </c>
      <c r="AO256" s="345">
        <f>IF($A256="",0,IF(AND($A256&gt;=TrackStart,$A256&lt;=TODAY()),1,0))</f>
        <v/>
      </c>
      <c r="AP256" s="345">
        <f>IF($A256="",0,IF(SUM(F256:AE256)+COUNT(AF256:AN256)&gt;0,1,0))</f>
        <v/>
      </c>
      <c r="AQ256" s="345">
        <f>IF($A256="","",INT(($A256-TrackStart)/7)+1)</f>
        <v/>
      </c>
      <c r="AR256" s="345">
        <f>IF($A256="","",IF(AQ256&lt;=1,Steps1,IF(AQ256=2,Steps2,Steps3)))</f>
        <v/>
      </c>
      <c r="AS256" s="345">
        <f>IF($A256="",0,IF(ISNUMBER(SEARCH(TEXT(D256,"0"),WorkDays&amp;"")),1,0))</f>
        <v/>
      </c>
      <c r="AT256" s="345">
        <f>IF($A256="",0,IF(ISNUMBER(SEARCH(TEXT(D256,"0"),StrDays&amp;"")),1,0))</f>
        <v/>
      </c>
      <c r="AU256" s="345">
        <f>IF($A256="",0,IF(ISNUMBER(AK256),IF(AK256&gt;=SleepMin,1,0),N256))</f>
        <v/>
      </c>
      <c r="AV256" s="345">
        <f>IF($A256="",0,MAX(I256,O256,S256,AC256))</f>
        <v/>
      </c>
      <c r="AW256" s="345">
        <f>IF($A256="",0,IF(ISNUMBER(AH256),IF(AH256&gt;=ProtHit,1,0),0))</f>
        <v/>
      </c>
      <c r="AX256" s="345">
        <f>IF($A256="",0,IF(ISNUMBER(AI256),IF(AI256&gt;=WaterHit,1,0),0))</f>
        <v/>
      </c>
      <c r="AY256" s="345">
        <f>IF($A256="",0,IF(ISNUMBER(AG256),IF(AG256&gt;=AR256,1,0),0))</f>
        <v/>
      </c>
      <c r="AZ256" s="345">
        <f>IF($A256="",0,G256)</f>
        <v/>
      </c>
      <c r="BA256" s="345">
        <f>IF($A256="",0,J256)</f>
        <v/>
      </c>
      <c r="BB256" s="345">
        <f>IF($A256="",0,K256)</f>
        <v/>
      </c>
      <c r="BC256" s="345">
        <f>IF($A256="",0,MAX(L256,AE256))</f>
        <v/>
      </c>
      <c r="BD256" s="344">
        <f>IF($A256="","",(AU256+AV256+AW256+AX256+AY256+AZ256+BB256+BC256+IF(AS256=1,BA256,0))/(8+AS256))</f>
        <v/>
      </c>
      <c r="BE256" s="344">
        <f>IF($A256="","",(IF(ISNUMBER(AI256),IF(AI256&gt;=WaterMVD,1,0),0)+AV256+IF(ISNUMBER(AH256),IF(AH256&gt;=ProtMVD,1,0),0)+MAX(H256,AD256)+AZ256+BB256+AU256)/7)</f>
        <v/>
      </c>
      <c r="BF256" s="344">
        <f>IF(AO256=0,"",IF(E256="S","",IF(AND(AP256=0,$A256=TODAY()),"",IF(E256="M",BE256,BD256))))</f>
        <v/>
      </c>
      <c r="BG256" s="344">
        <f>IF(AO256=0,"",IFERROR(AVERAGEIFS(Data!$BF$4:$BF$375,Data!$A$4:$A$375,"&gt;"&amp;($A256-7),Data!$A$4:$A$375,"&lt;="&amp;$A256),""))</f>
        <v/>
      </c>
      <c r="BH256" s="344">
        <f>IF(AO256=0,"",IFERROR(AVERAGEIFS(Data!$BF$4:$BF$375,Data!$A$4:$A$375,"&gt;"&amp;($A256-30),Data!$A$4:$A$375,"&lt;="&amp;$A256),""))</f>
        <v/>
      </c>
      <c r="BI256" s="359">
        <f>IF($A256="","",IFERROR(AVERAGEIFS(Data!$AF$4:$AF$375,Data!$A$4:$A$375,"&gt;"&amp;($A256-7),Data!$A$4:$A$375,"&lt;="&amp;$A256,Data!$AF$4:$AF$375,"&gt;0"),""))</f>
        <v/>
      </c>
      <c r="BJ256" s="345">
        <f>IF($A256="","",F256+G256+H256+I256+J256+K256+L256+M256+N256-IF(AS256=1,0,J256))</f>
        <v/>
      </c>
      <c r="BK256" s="345">
        <f>IF($A256="","",8+AS256)</f>
        <v/>
      </c>
      <c r="BL256" s="345">
        <f>IF(ISNUMBER(BF256),BF256,NA())</f>
        <v/>
      </c>
      <c r="BM256" s="345">
        <f>IF(ISNUMBER(AF256),AF256,NA())</f>
        <v/>
      </c>
      <c r="BN256" s="345">
        <f>IF(ISNUMBER(BI256),BI256,NA())</f>
        <v/>
      </c>
      <c r="BO256" s="345">
        <f>IF(ISNUMBER(AL256),AL256,NA())</f>
        <v/>
      </c>
      <c r="BP256" s="345">
        <f>IF(ISNUMBER(AM256),AM256,NA())</f>
        <v/>
      </c>
      <c r="BQ256" s="345">
        <f>IF(ISNUMBER(AN256),AN256,NA())</f>
        <v/>
      </c>
    </row>
    <row r="257">
      <c r="A257" s="358">
        <f>IF('Jun 2027'!J7="","",'Jun 2027'!J7)</f>
        <v/>
      </c>
      <c r="B257" s="345" t="n">
        <v>9</v>
      </c>
      <c r="C257" s="345">
        <f>IF($A257="","",6)</f>
        <v/>
      </c>
      <c r="D257" s="345">
        <f>IF($A257="","",WEEKDAY($A257,2))</f>
        <v/>
      </c>
      <c r="E257" s="345">
        <f>IF($A257="","",UPPER(TRIM('Jun 2027'!J8)))</f>
        <v/>
      </c>
      <c r="F257" s="345">
        <f>IF($A257="","",IF(OR('Jun 2027'!J10=TRUE,'Jun 2027'!J10="x",'Jun 2027'!J10="X"),1,0))</f>
        <v/>
      </c>
      <c r="G257" s="345">
        <f>IF($A257="","",IF(OR('Jun 2027'!J11=TRUE,'Jun 2027'!J11="x",'Jun 2027'!J11="X"),1,0))</f>
        <v/>
      </c>
      <c r="H257" s="345">
        <f>IF($A257="","",IF(OR('Jun 2027'!J12=TRUE,'Jun 2027'!J12="x",'Jun 2027'!J12="X"),1,0))</f>
        <v/>
      </c>
      <c r="I257" s="345">
        <f>IF($A257="","",IF(OR('Jun 2027'!J13=TRUE,'Jun 2027'!J13="x",'Jun 2027'!J13="X"),1,0))</f>
        <v/>
      </c>
      <c r="J257" s="345">
        <f>IF($A257="","",IF(OR('Jun 2027'!J14=TRUE,'Jun 2027'!J14="x",'Jun 2027'!J14="X"),1,0))</f>
        <v/>
      </c>
      <c r="K257" s="345">
        <f>IF($A257="","",IF(OR('Jun 2027'!J15=TRUE,'Jun 2027'!J15="x",'Jun 2027'!J15="X"),1,0))</f>
        <v/>
      </c>
      <c r="L257" s="345">
        <f>IF($A257="","",IF(OR('Jun 2027'!J16=TRUE,'Jun 2027'!J16="x",'Jun 2027'!J16="X"),1,0))</f>
        <v/>
      </c>
      <c r="M257" s="345">
        <f>IF($A257="","",IF(OR('Jun 2027'!J17=TRUE,'Jun 2027'!J17="x",'Jun 2027'!J17="X"),1,0))</f>
        <v/>
      </c>
      <c r="N257" s="345">
        <f>IF($A257="","",IF(OR('Jun 2027'!J18=TRUE,'Jun 2027'!J18="x",'Jun 2027'!J18="X"),1,0))</f>
        <v/>
      </c>
      <c r="O257" s="345">
        <f>IF($A257="","",IF(OR('Jun 2027'!J20=TRUE,'Jun 2027'!J20="x",'Jun 2027'!J20="X"),1,0))</f>
        <v/>
      </c>
      <c r="P257" s="345">
        <f>IF($A257="","",IF(OR('Jun 2027'!J21=TRUE,'Jun 2027'!J21="x",'Jun 2027'!J21="X"),1,0))</f>
        <v/>
      </c>
      <c r="Q257" s="345">
        <f>IF($A257="","",IF(OR('Jun 2027'!J22=TRUE,'Jun 2027'!J22="x",'Jun 2027'!J22="X"),1,0))</f>
        <v/>
      </c>
      <c r="R257" s="345">
        <f>IF($A257="","",IF(OR('Jun 2027'!J23=TRUE,'Jun 2027'!J23="x",'Jun 2027'!J23="X"),1,0))</f>
        <v/>
      </c>
      <c r="S257" s="345">
        <f>IF($A257="","",IF(OR('Jun 2027'!J24=TRUE,'Jun 2027'!J24="x",'Jun 2027'!J24="X"),1,0))</f>
        <v/>
      </c>
      <c r="T257" s="345">
        <f>IF($A257="","",IF(OR('Jun 2027'!J25=TRUE,'Jun 2027'!J25="x",'Jun 2027'!J25="X"),1,0))</f>
        <v/>
      </c>
      <c r="U257" s="345">
        <f>IF($A257="","",IF(OR('Jun 2027'!J26=TRUE,'Jun 2027'!J26="x",'Jun 2027'!J26="X"),1,0))</f>
        <v/>
      </c>
      <c r="V257" s="345">
        <f>IF($A257="","",IF(OR('Jun 2027'!J27=TRUE,'Jun 2027'!J27="x",'Jun 2027'!J27="X"),1,0))</f>
        <v/>
      </c>
      <c r="W257" s="345">
        <f>IF($A257="","",IF(OR('Jun 2027'!J28=TRUE,'Jun 2027'!J28="x",'Jun 2027'!J28="X"),1,0))</f>
        <v/>
      </c>
      <c r="X257" s="345">
        <f>IF($A257="","",IF(OR('Jun 2027'!J29=TRUE,'Jun 2027'!J29="x",'Jun 2027'!J29="X"),1,0))</f>
        <v/>
      </c>
      <c r="Y257" s="345">
        <f>IF($A257="","",IF(OR('Jun 2027'!J30=TRUE,'Jun 2027'!J30="x",'Jun 2027'!J30="X"),1,0))</f>
        <v/>
      </c>
      <c r="Z257" s="345">
        <f>IF($A257="","",IF(OR('Jun 2027'!J31=TRUE,'Jun 2027'!J31="x",'Jun 2027'!J31="X"),1,0))</f>
        <v/>
      </c>
      <c r="AA257" s="345">
        <f>IF($A257="","",IF(OR('Jun 2027'!J32=TRUE,'Jun 2027'!J32="x",'Jun 2027'!J32="X"),1,0))</f>
        <v/>
      </c>
      <c r="AB257" s="345">
        <f>IF($A257="","",IF(OR('Jun 2027'!J34=TRUE,'Jun 2027'!J34="x",'Jun 2027'!J34="X"),1,0))</f>
        <v/>
      </c>
      <c r="AC257" s="345">
        <f>IF($A257="","",IF(OR('Jun 2027'!J35=TRUE,'Jun 2027'!J35="x",'Jun 2027'!J35="X"),1,0))</f>
        <v/>
      </c>
      <c r="AD257" s="345">
        <f>IF($A257="","",IF(OR('Jun 2027'!J36=TRUE,'Jun 2027'!J36="x",'Jun 2027'!J36="X"),1,0))</f>
        <v/>
      </c>
      <c r="AE257" s="345">
        <f>IF($A257="","",IF(OR('Jun 2027'!J37=TRUE,'Jun 2027'!J37="x",'Jun 2027'!J37="X"),1,0))</f>
        <v/>
      </c>
      <c r="AF257" s="345">
        <f>IF($A257="","",IF('Jun 2027'!J59="","",'Jun 2027'!J59))</f>
        <v/>
      </c>
      <c r="AG257" s="345">
        <f>IF($A257="","",IF('Jun 2027'!J60="","",'Jun 2027'!J60))</f>
        <v/>
      </c>
      <c r="AH257" s="345">
        <f>IF($A257="","",IF('Jun 2027'!J61="","",'Jun 2027'!J61))</f>
        <v/>
      </c>
      <c r="AI257" s="345">
        <f>IF($A257="","",IF('Jun 2027'!J62="","",'Jun 2027'!J62))</f>
        <v/>
      </c>
      <c r="AJ257" s="345">
        <f>IF($A257="","",IF('Jun 2027'!J63="","",'Jun 2027'!J63))</f>
        <v/>
      </c>
      <c r="AK257" s="345">
        <f>IF($A257="","",IF('Jun 2027'!J64="","",'Jun 2027'!J64))</f>
        <v/>
      </c>
      <c r="AL257" s="345">
        <f>IF($A257="","",IF('Jun 2027'!J65="","",'Jun 2027'!J65))</f>
        <v/>
      </c>
      <c r="AM257" s="345">
        <f>IF($A257="","",IF('Jun 2027'!J66="","",'Jun 2027'!J66))</f>
        <v/>
      </c>
      <c r="AN257" s="345">
        <f>IF($A257="","",IF('Jun 2027'!J67="","",'Jun 2027'!J67))</f>
        <v/>
      </c>
      <c r="AO257" s="345">
        <f>IF($A257="",0,IF(AND($A257&gt;=TrackStart,$A257&lt;=TODAY()),1,0))</f>
        <v/>
      </c>
      <c r="AP257" s="345">
        <f>IF($A257="",0,IF(SUM(F257:AE257)+COUNT(AF257:AN257)&gt;0,1,0))</f>
        <v/>
      </c>
      <c r="AQ257" s="345">
        <f>IF($A257="","",INT(($A257-TrackStart)/7)+1)</f>
        <v/>
      </c>
      <c r="AR257" s="345">
        <f>IF($A257="","",IF(AQ257&lt;=1,Steps1,IF(AQ257=2,Steps2,Steps3)))</f>
        <v/>
      </c>
      <c r="AS257" s="345">
        <f>IF($A257="",0,IF(ISNUMBER(SEARCH(TEXT(D257,"0"),WorkDays&amp;"")),1,0))</f>
        <v/>
      </c>
      <c r="AT257" s="345">
        <f>IF($A257="",0,IF(ISNUMBER(SEARCH(TEXT(D257,"0"),StrDays&amp;"")),1,0))</f>
        <v/>
      </c>
      <c r="AU257" s="345">
        <f>IF($A257="",0,IF(ISNUMBER(AK257),IF(AK257&gt;=SleepMin,1,0),N257))</f>
        <v/>
      </c>
      <c r="AV257" s="345">
        <f>IF($A257="",0,MAX(I257,O257,S257,AC257))</f>
        <v/>
      </c>
      <c r="AW257" s="345">
        <f>IF($A257="",0,IF(ISNUMBER(AH257),IF(AH257&gt;=ProtHit,1,0),0))</f>
        <v/>
      </c>
      <c r="AX257" s="345">
        <f>IF($A257="",0,IF(ISNUMBER(AI257),IF(AI257&gt;=WaterHit,1,0),0))</f>
        <v/>
      </c>
      <c r="AY257" s="345">
        <f>IF($A257="",0,IF(ISNUMBER(AG257),IF(AG257&gt;=AR257,1,0),0))</f>
        <v/>
      </c>
      <c r="AZ257" s="345">
        <f>IF($A257="",0,G257)</f>
        <v/>
      </c>
      <c r="BA257" s="345">
        <f>IF($A257="",0,J257)</f>
        <v/>
      </c>
      <c r="BB257" s="345">
        <f>IF($A257="",0,K257)</f>
        <v/>
      </c>
      <c r="BC257" s="345">
        <f>IF($A257="",0,MAX(L257,AE257))</f>
        <v/>
      </c>
      <c r="BD257" s="344">
        <f>IF($A257="","",(AU257+AV257+AW257+AX257+AY257+AZ257+BB257+BC257+IF(AS257=1,BA257,0))/(8+AS257))</f>
        <v/>
      </c>
      <c r="BE257" s="344">
        <f>IF($A257="","",(IF(ISNUMBER(AI257),IF(AI257&gt;=WaterMVD,1,0),0)+AV257+IF(ISNUMBER(AH257),IF(AH257&gt;=ProtMVD,1,0),0)+MAX(H257,AD257)+AZ257+BB257+AU257)/7)</f>
        <v/>
      </c>
      <c r="BF257" s="344">
        <f>IF(AO257=0,"",IF(E257="S","",IF(AND(AP257=0,$A257=TODAY()),"",IF(E257="M",BE257,BD257))))</f>
        <v/>
      </c>
      <c r="BG257" s="344">
        <f>IF(AO257=0,"",IFERROR(AVERAGEIFS(Data!$BF$4:$BF$375,Data!$A$4:$A$375,"&gt;"&amp;($A257-7),Data!$A$4:$A$375,"&lt;="&amp;$A257),""))</f>
        <v/>
      </c>
      <c r="BH257" s="344">
        <f>IF(AO257=0,"",IFERROR(AVERAGEIFS(Data!$BF$4:$BF$375,Data!$A$4:$A$375,"&gt;"&amp;($A257-30),Data!$A$4:$A$375,"&lt;="&amp;$A257),""))</f>
        <v/>
      </c>
      <c r="BI257" s="359">
        <f>IF($A257="","",IFERROR(AVERAGEIFS(Data!$AF$4:$AF$375,Data!$A$4:$A$375,"&gt;"&amp;($A257-7),Data!$A$4:$A$375,"&lt;="&amp;$A257,Data!$AF$4:$AF$375,"&gt;0"),""))</f>
        <v/>
      </c>
      <c r="BJ257" s="345">
        <f>IF($A257="","",F257+G257+H257+I257+J257+K257+L257+M257+N257-IF(AS257=1,0,J257))</f>
        <v/>
      </c>
      <c r="BK257" s="345">
        <f>IF($A257="","",8+AS257)</f>
        <v/>
      </c>
      <c r="BL257" s="345">
        <f>IF(ISNUMBER(BF257),BF257,NA())</f>
        <v/>
      </c>
      <c r="BM257" s="345">
        <f>IF(ISNUMBER(AF257),AF257,NA())</f>
        <v/>
      </c>
      <c r="BN257" s="345">
        <f>IF(ISNUMBER(BI257),BI257,NA())</f>
        <v/>
      </c>
      <c r="BO257" s="345">
        <f>IF(ISNUMBER(AL257),AL257,NA())</f>
        <v/>
      </c>
      <c r="BP257" s="345">
        <f>IF(ISNUMBER(AM257),AM257,NA())</f>
        <v/>
      </c>
      <c r="BQ257" s="345">
        <f>IF(ISNUMBER(AN257),AN257,NA())</f>
        <v/>
      </c>
    </row>
    <row r="258">
      <c r="A258" s="358">
        <f>IF('Jun 2027'!K7="","",'Jun 2027'!K7)</f>
        <v/>
      </c>
      <c r="B258" s="345" t="n">
        <v>9</v>
      </c>
      <c r="C258" s="345">
        <f>IF($A258="","",7)</f>
        <v/>
      </c>
      <c r="D258" s="345">
        <f>IF($A258="","",WEEKDAY($A258,2))</f>
        <v/>
      </c>
      <c r="E258" s="345">
        <f>IF($A258="","",UPPER(TRIM('Jun 2027'!K8)))</f>
        <v/>
      </c>
      <c r="F258" s="345">
        <f>IF($A258="","",IF(OR('Jun 2027'!K10=TRUE,'Jun 2027'!K10="x",'Jun 2027'!K10="X"),1,0))</f>
        <v/>
      </c>
      <c r="G258" s="345">
        <f>IF($A258="","",IF(OR('Jun 2027'!K11=TRUE,'Jun 2027'!K11="x",'Jun 2027'!K11="X"),1,0))</f>
        <v/>
      </c>
      <c r="H258" s="345">
        <f>IF($A258="","",IF(OR('Jun 2027'!K12=TRUE,'Jun 2027'!K12="x",'Jun 2027'!K12="X"),1,0))</f>
        <v/>
      </c>
      <c r="I258" s="345">
        <f>IF($A258="","",IF(OR('Jun 2027'!K13=TRUE,'Jun 2027'!K13="x",'Jun 2027'!K13="X"),1,0))</f>
        <v/>
      </c>
      <c r="J258" s="345">
        <f>IF($A258="","",IF(OR('Jun 2027'!K14=TRUE,'Jun 2027'!K14="x",'Jun 2027'!K14="X"),1,0))</f>
        <v/>
      </c>
      <c r="K258" s="345">
        <f>IF($A258="","",IF(OR('Jun 2027'!K15=TRUE,'Jun 2027'!K15="x",'Jun 2027'!K15="X"),1,0))</f>
        <v/>
      </c>
      <c r="L258" s="345">
        <f>IF($A258="","",IF(OR('Jun 2027'!K16=TRUE,'Jun 2027'!K16="x",'Jun 2027'!K16="X"),1,0))</f>
        <v/>
      </c>
      <c r="M258" s="345">
        <f>IF($A258="","",IF(OR('Jun 2027'!K17=TRUE,'Jun 2027'!K17="x",'Jun 2027'!K17="X"),1,0))</f>
        <v/>
      </c>
      <c r="N258" s="345">
        <f>IF($A258="","",IF(OR('Jun 2027'!K18=TRUE,'Jun 2027'!K18="x",'Jun 2027'!K18="X"),1,0))</f>
        <v/>
      </c>
      <c r="O258" s="345">
        <f>IF($A258="","",IF(OR('Jun 2027'!K20=TRUE,'Jun 2027'!K20="x",'Jun 2027'!K20="X"),1,0))</f>
        <v/>
      </c>
      <c r="P258" s="345">
        <f>IF($A258="","",IF(OR('Jun 2027'!K21=TRUE,'Jun 2027'!K21="x",'Jun 2027'!K21="X"),1,0))</f>
        <v/>
      </c>
      <c r="Q258" s="345">
        <f>IF($A258="","",IF(OR('Jun 2027'!K22=TRUE,'Jun 2027'!K22="x",'Jun 2027'!K22="X"),1,0))</f>
        <v/>
      </c>
      <c r="R258" s="345">
        <f>IF($A258="","",IF(OR('Jun 2027'!K23=TRUE,'Jun 2027'!K23="x",'Jun 2027'!K23="X"),1,0))</f>
        <v/>
      </c>
      <c r="S258" s="345">
        <f>IF($A258="","",IF(OR('Jun 2027'!K24=TRUE,'Jun 2027'!K24="x",'Jun 2027'!K24="X"),1,0))</f>
        <v/>
      </c>
      <c r="T258" s="345">
        <f>IF($A258="","",IF(OR('Jun 2027'!K25=TRUE,'Jun 2027'!K25="x",'Jun 2027'!K25="X"),1,0))</f>
        <v/>
      </c>
      <c r="U258" s="345">
        <f>IF($A258="","",IF(OR('Jun 2027'!K26=TRUE,'Jun 2027'!K26="x",'Jun 2027'!K26="X"),1,0))</f>
        <v/>
      </c>
      <c r="V258" s="345">
        <f>IF($A258="","",IF(OR('Jun 2027'!K27=TRUE,'Jun 2027'!K27="x",'Jun 2027'!K27="X"),1,0))</f>
        <v/>
      </c>
      <c r="W258" s="345">
        <f>IF($A258="","",IF(OR('Jun 2027'!K28=TRUE,'Jun 2027'!K28="x",'Jun 2027'!K28="X"),1,0))</f>
        <v/>
      </c>
      <c r="X258" s="345">
        <f>IF($A258="","",IF(OR('Jun 2027'!K29=TRUE,'Jun 2027'!K29="x",'Jun 2027'!K29="X"),1,0))</f>
        <v/>
      </c>
      <c r="Y258" s="345">
        <f>IF($A258="","",IF(OR('Jun 2027'!K30=TRUE,'Jun 2027'!K30="x",'Jun 2027'!K30="X"),1,0))</f>
        <v/>
      </c>
      <c r="Z258" s="345">
        <f>IF($A258="","",IF(OR('Jun 2027'!K31=TRUE,'Jun 2027'!K31="x",'Jun 2027'!K31="X"),1,0))</f>
        <v/>
      </c>
      <c r="AA258" s="345">
        <f>IF($A258="","",IF(OR('Jun 2027'!K32=TRUE,'Jun 2027'!K32="x",'Jun 2027'!K32="X"),1,0))</f>
        <v/>
      </c>
      <c r="AB258" s="345">
        <f>IF($A258="","",IF(OR('Jun 2027'!K34=TRUE,'Jun 2027'!K34="x",'Jun 2027'!K34="X"),1,0))</f>
        <v/>
      </c>
      <c r="AC258" s="345">
        <f>IF($A258="","",IF(OR('Jun 2027'!K35=TRUE,'Jun 2027'!K35="x",'Jun 2027'!K35="X"),1,0))</f>
        <v/>
      </c>
      <c r="AD258" s="345">
        <f>IF($A258="","",IF(OR('Jun 2027'!K36=TRUE,'Jun 2027'!K36="x",'Jun 2027'!K36="X"),1,0))</f>
        <v/>
      </c>
      <c r="AE258" s="345">
        <f>IF($A258="","",IF(OR('Jun 2027'!K37=TRUE,'Jun 2027'!K37="x",'Jun 2027'!K37="X"),1,0))</f>
        <v/>
      </c>
      <c r="AF258" s="345">
        <f>IF($A258="","",IF('Jun 2027'!K59="","",'Jun 2027'!K59))</f>
        <v/>
      </c>
      <c r="AG258" s="345">
        <f>IF($A258="","",IF('Jun 2027'!K60="","",'Jun 2027'!K60))</f>
        <v/>
      </c>
      <c r="AH258" s="345">
        <f>IF($A258="","",IF('Jun 2027'!K61="","",'Jun 2027'!K61))</f>
        <v/>
      </c>
      <c r="AI258" s="345">
        <f>IF($A258="","",IF('Jun 2027'!K62="","",'Jun 2027'!K62))</f>
        <v/>
      </c>
      <c r="AJ258" s="345">
        <f>IF($A258="","",IF('Jun 2027'!K63="","",'Jun 2027'!K63))</f>
        <v/>
      </c>
      <c r="AK258" s="345">
        <f>IF($A258="","",IF('Jun 2027'!K64="","",'Jun 2027'!K64))</f>
        <v/>
      </c>
      <c r="AL258" s="345">
        <f>IF($A258="","",IF('Jun 2027'!K65="","",'Jun 2027'!K65))</f>
        <v/>
      </c>
      <c r="AM258" s="345">
        <f>IF($A258="","",IF('Jun 2027'!K66="","",'Jun 2027'!K66))</f>
        <v/>
      </c>
      <c r="AN258" s="345">
        <f>IF($A258="","",IF('Jun 2027'!K67="","",'Jun 2027'!K67))</f>
        <v/>
      </c>
      <c r="AO258" s="345">
        <f>IF($A258="",0,IF(AND($A258&gt;=TrackStart,$A258&lt;=TODAY()),1,0))</f>
        <v/>
      </c>
      <c r="AP258" s="345">
        <f>IF($A258="",0,IF(SUM(F258:AE258)+COUNT(AF258:AN258)&gt;0,1,0))</f>
        <v/>
      </c>
      <c r="AQ258" s="345">
        <f>IF($A258="","",INT(($A258-TrackStart)/7)+1)</f>
        <v/>
      </c>
      <c r="AR258" s="345">
        <f>IF($A258="","",IF(AQ258&lt;=1,Steps1,IF(AQ258=2,Steps2,Steps3)))</f>
        <v/>
      </c>
      <c r="AS258" s="345">
        <f>IF($A258="",0,IF(ISNUMBER(SEARCH(TEXT(D258,"0"),WorkDays&amp;"")),1,0))</f>
        <v/>
      </c>
      <c r="AT258" s="345">
        <f>IF($A258="",0,IF(ISNUMBER(SEARCH(TEXT(D258,"0"),StrDays&amp;"")),1,0))</f>
        <v/>
      </c>
      <c r="AU258" s="345">
        <f>IF($A258="",0,IF(ISNUMBER(AK258),IF(AK258&gt;=SleepMin,1,0),N258))</f>
        <v/>
      </c>
      <c r="AV258" s="345">
        <f>IF($A258="",0,MAX(I258,O258,S258,AC258))</f>
        <v/>
      </c>
      <c r="AW258" s="345">
        <f>IF($A258="",0,IF(ISNUMBER(AH258),IF(AH258&gt;=ProtHit,1,0),0))</f>
        <v/>
      </c>
      <c r="AX258" s="345">
        <f>IF($A258="",0,IF(ISNUMBER(AI258),IF(AI258&gt;=WaterHit,1,0),0))</f>
        <v/>
      </c>
      <c r="AY258" s="345">
        <f>IF($A258="",0,IF(ISNUMBER(AG258),IF(AG258&gt;=AR258,1,0),0))</f>
        <v/>
      </c>
      <c r="AZ258" s="345">
        <f>IF($A258="",0,G258)</f>
        <v/>
      </c>
      <c r="BA258" s="345">
        <f>IF($A258="",0,J258)</f>
        <v/>
      </c>
      <c r="BB258" s="345">
        <f>IF($A258="",0,K258)</f>
        <v/>
      </c>
      <c r="BC258" s="345">
        <f>IF($A258="",0,MAX(L258,AE258))</f>
        <v/>
      </c>
      <c r="BD258" s="344">
        <f>IF($A258="","",(AU258+AV258+AW258+AX258+AY258+AZ258+BB258+BC258+IF(AS258=1,BA258,0))/(8+AS258))</f>
        <v/>
      </c>
      <c r="BE258" s="344">
        <f>IF($A258="","",(IF(ISNUMBER(AI258),IF(AI258&gt;=WaterMVD,1,0),0)+AV258+IF(ISNUMBER(AH258),IF(AH258&gt;=ProtMVD,1,0),0)+MAX(H258,AD258)+AZ258+BB258+AU258)/7)</f>
        <v/>
      </c>
      <c r="BF258" s="344">
        <f>IF(AO258=0,"",IF(E258="S","",IF(AND(AP258=0,$A258=TODAY()),"",IF(E258="M",BE258,BD258))))</f>
        <v/>
      </c>
      <c r="BG258" s="344">
        <f>IF(AO258=0,"",IFERROR(AVERAGEIFS(Data!$BF$4:$BF$375,Data!$A$4:$A$375,"&gt;"&amp;($A258-7),Data!$A$4:$A$375,"&lt;="&amp;$A258),""))</f>
        <v/>
      </c>
      <c r="BH258" s="344">
        <f>IF(AO258=0,"",IFERROR(AVERAGEIFS(Data!$BF$4:$BF$375,Data!$A$4:$A$375,"&gt;"&amp;($A258-30),Data!$A$4:$A$375,"&lt;="&amp;$A258),""))</f>
        <v/>
      </c>
      <c r="BI258" s="359">
        <f>IF($A258="","",IFERROR(AVERAGEIFS(Data!$AF$4:$AF$375,Data!$A$4:$A$375,"&gt;"&amp;($A258-7),Data!$A$4:$A$375,"&lt;="&amp;$A258,Data!$AF$4:$AF$375,"&gt;0"),""))</f>
        <v/>
      </c>
      <c r="BJ258" s="345">
        <f>IF($A258="","",F258+G258+H258+I258+J258+K258+L258+M258+N258-IF(AS258=1,0,J258))</f>
        <v/>
      </c>
      <c r="BK258" s="345">
        <f>IF($A258="","",8+AS258)</f>
        <v/>
      </c>
      <c r="BL258" s="345">
        <f>IF(ISNUMBER(BF258),BF258,NA())</f>
        <v/>
      </c>
      <c r="BM258" s="345">
        <f>IF(ISNUMBER(AF258),AF258,NA())</f>
        <v/>
      </c>
      <c r="BN258" s="345">
        <f>IF(ISNUMBER(BI258),BI258,NA())</f>
        <v/>
      </c>
      <c r="BO258" s="345">
        <f>IF(ISNUMBER(AL258),AL258,NA())</f>
        <v/>
      </c>
      <c r="BP258" s="345">
        <f>IF(ISNUMBER(AM258),AM258,NA())</f>
        <v/>
      </c>
      <c r="BQ258" s="345">
        <f>IF(ISNUMBER(AN258),AN258,NA())</f>
        <v/>
      </c>
    </row>
    <row r="259">
      <c r="A259" s="358">
        <f>IF('Jun 2027'!L7="","",'Jun 2027'!L7)</f>
        <v/>
      </c>
      <c r="B259" s="345" t="n">
        <v>9</v>
      </c>
      <c r="C259" s="345">
        <f>IF($A259="","",8)</f>
        <v/>
      </c>
      <c r="D259" s="345">
        <f>IF($A259="","",WEEKDAY($A259,2))</f>
        <v/>
      </c>
      <c r="E259" s="345">
        <f>IF($A259="","",UPPER(TRIM('Jun 2027'!L8)))</f>
        <v/>
      </c>
      <c r="F259" s="345">
        <f>IF($A259="","",IF(OR('Jun 2027'!L10=TRUE,'Jun 2027'!L10="x",'Jun 2027'!L10="X"),1,0))</f>
        <v/>
      </c>
      <c r="G259" s="345">
        <f>IF($A259="","",IF(OR('Jun 2027'!L11=TRUE,'Jun 2027'!L11="x",'Jun 2027'!L11="X"),1,0))</f>
        <v/>
      </c>
      <c r="H259" s="345">
        <f>IF($A259="","",IF(OR('Jun 2027'!L12=TRUE,'Jun 2027'!L12="x",'Jun 2027'!L12="X"),1,0))</f>
        <v/>
      </c>
      <c r="I259" s="345">
        <f>IF($A259="","",IF(OR('Jun 2027'!L13=TRUE,'Jun 2027'!L13="x",'Jun 2027'!L13="X"),1,0))</f>
        <v/>
      </c>
      <c r="J259" s="345">
        <f>IF($A259="","",IF(OR('Jun 2027'!L14=TRUE,'Jun 2027'!L14="x",'Jun 2027'!L14="X"),1,0))</f>
        <v/>
      </c>
      <c r="K259" s="345">
        <f>IF($A259="","",IF(OR('Jun 2027'!L15=TRUE,'Jun 2027'!L15="x",'Jun 2027'!L15="X"),1,0))</f>
        <v/>
      </c>
      <c r="L259" s="345">
        <f>IF($A259="","",IF(OR('Jun 2027'!L16=TRUE,'Jun 2027'!L16="x",'Jun 2027'!L16="X"),1,0))</f>
        <v/>
      </c>
      <c r="M259" s="345">
        <f>IF($A259="","",IF(OR('Jun 2027'!L17=TRUE,'Jun 2027'!L17="x",'Jun 2027'!L17="X"),1,0))</f>
        <v/>
      </c>
      <c r="N259" s="345">
        <f>IF($A259="","",IF(OR('Jun 2027'!L18=TRUE,'Jun 2027'!L18="x",'Jun 2027'!L18="X"),1,0))</f>
        <v/>
      </c>
      <c r="O259" s="345">
        <f>IF($A259="","",IF(OR('Jun 2027'!L20=TRUE,'Jun 2027'!L20="x",'Jun 2027'!L20="X"),1,0))</f>
        <v/>
      </c>
      <c r="P259" s="345">
        <f>IF($A259="","",IF(OR('Jun 2027'!L21=TRUE,'Jun 2027'!L21="x",'Jun 2027'!L21="X"),1,0))</f>
        <v/>
      </c>
      <c r="Q259" s="345">
        <f>IF($A259="","",IF(OR('Jun 2027'!L22=TRUE,'Jun 2027'!L22="x",'Jun 2027'!L22="X"),1,0))</f>
        <v/>
      </c>
      <c r="R259" s="345">
        <f>IF($A259="","",IF(OR('Jun 2027'!L23=TRUE,'Jun 2027'!L23="x",'Jun 2027'!L23="X"),1,0))</f>
        <v/>
      </c>
      <c r="S259" s="345">
        <f>IF($A259="","",IF(OR('Jun 2027'!L24=TRUE,'Jun 2027'!L24="x",'Jun 2027'!L24="X"),1,0))</f>
        <v/>
      </c>
      <c r="T259" s="345">
        <f>IF($A259="","",IF(OR('Jun 2027'!L25=TRUE,'Jun 2027'!L25="x",'Jun 2027'!L25="X"),1,0))</f>
        <v/>
      </c>
      <c r="U259" s="345">
        <f>IF($A259="","",IF(OR('Jun 2027'!L26=TRUE,'Jun 2027'!L26="x",'Jun 2027'!L26="X"),1,0))</f>
        <v/>
      </c>
      <c r="V259" s="345">
        <f>IF($A259="","",IF(OR('Jun 2027'!L27=TRUE,'Jun 2027'!L27="x",'Jun 2027'!L27="X"),1,0))</f>
        <v/>
      </c>
      <c r="W259" s="345">
        <f>IF($A259="","",IF(OR('Jun 2027'!L28=TRUE,'Jun 2027'!L28="x",'Jun 2027'!L28="X"),1,0))</f>
        <v/>
      </c>
      <c r="X259" s="345">
        <f>IF($A259="","",IF(OR('Jun 2027'!L29=TRUE,'Jun 2027'!L29="x",'Jun 2027'!L29="X"),1,0))</f>
        <v/>
      </c>
      <c r="Y259" s="345">
        <f>IF($A259="","",IF(OR('Jun 2027'!L30=TRUE,'Jun 2027'!L30="x",'Jun 2027'!L30="X"),1,0))</f>
        <v/>
      </c>
      <c r="Z259" s="345">
        <f>IF($A259="","",IF(OR('Jun 2027'!L31=TRUE,'Jun 2027'!L31="x",'Jun 2027'!L31="X"),1,0))</f>
        <v/>
      </c>
      <c r="AA259" s="345">
        <f>IF($A259="","",IF(OR('Jun 2027'!L32=TRUE,'Jun 2027'!L32="x",'Jun 2027'!L32="X"),1,0))</f>
        <v/>
      </c>
      <c r="AB259" s="345">
        <f>IF($A259="","",IF(OR('Jun 2027'!L34=TRUE,'Jun 2027'!L34="x",'Jun 2027'!L34="X"),1,0))</f>
        <v/>
      </c>
      <c r="AC259" s="345">
        <f>IF($A259="","",IF(OR('Jun 2027'!L35=TRUE,'Jun 2027'!L35="x",'Jun 2027'!L35="X"),1,0))</f>
        <v/>
      </c>
      <c r="AD259" s="345">
        <f>IF($A259="","",IF(OR('Jun 2027'!L36=TRUE,'Jun 2027'!L36="x",'Jun 2027'!L36="X"),1,0))</f>
        <v/>
      </c>
      <c r="AE259" s="345">
        <f>IF($A259="","",IF(OR('Jun 2027'!L37=TRUE,'Jun 2027'!L37="x",'Jun 2027'!L37="X"),1,0))</f>
        <v/>
      </c>
      <c r="AF259" s="345">
        <f>IF($A259="","",IF('Jun 2027'!L59="","",'Jun 2027'!L59))</f>
        <v/>
      </c>
      <c r="AG259" s="345">
        <f>IF($A259="","",IF('Jun 2027'!L60="","",'Jun 2027'!L60))</f>
        <v/>
      </c>
      <c r="AH259" s="345">
        <f>IF($A259="","",IF('Jun 2027'!L61="","",'Jun 2027'!L61))</f>
        <v/>
      </c>
      <c r="AI259" s="345">
        <f>IF($A259="","",IF('Jun 2027'!L62="","",'Jun 2027'!L62))</f>
        <v/>
      </c>
      <c r="AJ259" s="345">
        <f>IF($A259="","",IF('Jun 2027'!L63="","",'Jun 2027'!L63))</f>
        <v/>
      </c>
      <c r="AK259" s="345">
        <f>IF($A259="","",IF('Jun 2027'!L64="","",'Jun 2027'!L64))</f>
        <v/>
      </c>
      <c r="AL259" s="345">
        <f>IF($A259="","",IF('Jun 2027'!L65="","",'Jun 2027'!L65))</f>
        <v/>
      </c>
      <c r="AM259" s="345">
        <f>IF($A259="","",IF('Jun 2027'!L66="","",'Jun 2027'!L66))</f>
        <v/>
      </c>
      <c r="AN259" s="345">
        <f>IF($A259="","",IF('Jun 2027'!L67="","",'Jun 2027'!L67))</f>
        <v/>
      </c>
      <c r="AO259" s="345">
        <f>IF($A259="",0,IF(AND($A259&gt;=TrackStart,$A259&lt;=TODAY()),1,0))</f>
        <v/>
      </c>
      <c r="AP259" s="345">
        <f>IF($A259="",0,IF(SUM(F259:AE259)+COUNT(AF259:AN259)&gt;0,1,0))</f>
        <v/>
      </c>
      <c r="AQ259" s="345">
        <f>IF($A259="","",INT(($A259-TrackStart)/7)+1)</f>
        <v/>
      </c>
      <c r="AR259" s="345">
        <f>IF($A259="","",IF(AQ259&lt;=1,Steps1,IF(AQ259=2,Steps2,Steps3)))</f>
        <v/>
      </c>
      <c r="AS259" s="345">
        <f>IF($A259="",0,IF(ISNUMBER(SEARCH(TEXT(D259,"0"),WorkDays&amp;"")),1,0))</f>
        <v/>
      </c>
      <c r="AT259" s="345">
        <f>IF($A259="",0,IF(ISNUMBER(SEARCH(TEXT(D259,"0"),StrDays&amp;"")),1,0))</f>
        <v/>
      </c>
      <c r="AU259" s="345">
        <f>IF($A259="",0,IF(ISNUMBER(AK259),IF(AK259&gt;=SleepMin,1,0),N259))</f>
        <v/>
      </c>
      <c r="AV259" s="345">
        <f>IF($A259="",0,MAX(I259,O259,S259,AC259))</f>
        <v/>
      </c>
      <c r="AW259" s="345">
        <f>IF($A259="",0,IF(ISNUMBER(AH259),IF(AH259&gt;=ProtHit,1,0),0))</f>
        <v/>
      </c>
      <c r="AX259" s="345">
        <f>IF($A259="",0,IF(ISNUMBER(AI259),IF(AI259&gt;=WaterHit,1,0),0))</f>
        <v/>
      </c>
      <c r="AY259" s="345">
        <f>IF($A259="",0,IF(ISNUMBER(AG259),IF(AG259&gt;=AR259,1,0),0))</f>
        <v/>
      </c>
      <c r="AZ259" s="345">
        <f>IF($A259="",0,G259)</f>
        <v/>
      </c>
      <c r="BA259" s="345">
        <f>IF($A259="",0,J259)</f>
        <v/>
      </c>
      <c r="BB259" s="345">
        <f>IF($A259="",0,K259)</f>
        <v/>
      </c>
      <c r="BC259" s="345">
        <f>IF($A259="",0,MAX(L259,AE259))</f>
        <v/>
      </c>
      <c r="BD259" s="344">
        <f>IF($A259="","",(AU259+AV259+AW259+AX259+AY259+AZ259+BB259+BC259+IF(AS259=1,BA259,0))/(8+AS259))</f>
        <v/>
      </c>
      <c r="BE259" s="344">
        <f>IF($A259="","",(IF(ISNUMBER(AI259),IF(AI259&gt;=WaterMVD,1,0),0)+AV259+IF(ISNUMBER(AH259),IF(AH259&gt;=ProtMVD,1,0),0)+MAX(H259,AD259)+AZ259+BB259+AU259)/7)</f>
        <v/>
      </c>
      <c r="BF259" s="344">
        <f>IF(AO259=0,"",IF(E259="S","",IF(AND(AP259=0,$A259=TODAY()),"",IF(E259="M",BE259,BD259))))</f>
        <v/>
      </c>
      <c r="BG259" s="344">
        <f>IF(AO259=0,"",IFERROR(AVERAGEIFS(Data!$BF$4:$BF$375,Data!$A$4:$A$375,"&gt;"&amp;($A259-7),Data!$A$4:$A$375,"&lt;="&amp;$A259),""))</f>
        <v/>
      </c>
      <c r="BH259" s="344">
        <f>IF(AO259=0,"",IFERROR(AVERAGEIFS(Data!$BF$4:$BF$375,Data!$A$4:$A$375,"&gt;"&amp;($A259-30),Data!$A$4:$A$375,"&lt;="&amp;$A259),""))</f>
        <v/>
      </c>
      <c r="BI259" s="359">
        <f>IF($A259="","",IFERROR(AVERAGEIFS(Data!$AF$4:$AF$375,Data!$A$4:$A$375,"&gt;"&amp;($A259-7),Data!$A$4:$A$375,"&lt;="&amp;$A259,Data!$AF$4:$AF$375,"&gt;0"),""))</f>
        <v/>
      </c>
      <c r="BJ259" s="345">
        <f>IF($A259="","",F259+G259+H259+I259+J259+K259+L259+M259+N259-IF(AS259=1,0,J259))</f>
        <v/>
      </c>
      <c r="BK259" s="345">
        <f>IF($A259="","",8+AS259)</f>
        <v/>
      </c>
      <c r="BL259" s="345">
        <f>IF(ISNUMBER(BF259),BF259,NA())</f>
        <v/>
      </c>
      <c r="BM259" s="345">
        <f>IF(ISNUMBER(AF259),AF259,NA())</f>
        <v/>
      </c>
      <c r="BN259" s="345">
        <f>IF(ISNUMBER(BI259),BI259,NA())</f>
        <v/>
      </c>
      <c r="BO259" s="345">
        <f>IF(ISNUMBER(AL259),AL259,NA())</f>
        <v/>
      </c>
      <c r="BP259" s="345">
        <f>IF(ISNUMBER(AM259),AM259,NA())</f>
        <v/>
      </c>
      <c r="BQ259" s="345">
        <f>IF(ISNUMBER(AN259),AN259,NA())</f>
        <v/>
      </c>
    </row>
    <row r="260">
      <c r="A260" s="358">
        <f>IF('Jun 2027'!M7="","",'Jun 2027'!M7)</f>
        <v/>
      </c>
      <c r="B260" s="345" t="n">
        <v>9</v>
      </c>
      <c r="C260" s="345">
        <f>IF($A260="","",9)</f>
        <v/>
      </c>
      <c r="D260" s="345">
        <f>IF($A260="","",WEEKDAY($A260,2))</f>
        <v/>
      </c>
      <c r="E260" s="345">
        <f>IF($A260="","",UPPER(TRIM('Jun 2027'!M8)))</f>
        <v/>
      </c>
      <c r="F260" s="345">
        <f>IF($A260="","",IF(OR('Jun 2027'!M10=TRUE,'Jun 2027'!M10="x",'Jun 2027'!M10="X"),1,0))</f>
        <v/>
      </c>
      <c r="G260" s="345">
        <f>IF($A260="","",IF(OR('Jun 2027'!M11=TRUE,'Jun 2027'!M11="x",'Jun 2027'!M11="X"),1,0))</f>
        <v/>
      </c>
      <c r="H260" s="345">
        <f>IF($A260="","",IF(OR('Jun 2027'!M12=TRUE,'Jun 2027'!M12="x",'Jun 2027'!M12="X"),1,0))</f>
        <v/>
      </c>
      <c r="I260" s="345">
        <f>IF($A260="","",IF(OR('Jun 2027'!M13=TRUE,'Jun 2027'!M13="x",'Jun 2027'!M13="X"),1,0))</f>
        <v/>
      </c>
      <c r="J260" s="345">
        <f>IF($A260="","",IF(OR('Jun 2027'!M14=TRUE,'Jun 2027'!M14="x",'Jun 2027'!M14="X"),1,0))</f>
        <v/>
      </c>
      <c r="K260" s="345">
        <f>IF($A260="","",IF(OR('Jun 2027'!M15=TRUE,'Jun 2027'!M15="x",'Jun 2027'!M15="X"),1,0))</f>
        <v/>
      </c>
      <c r="L260" s="345">
        <f>IF($A260="","",IF(OR('Jun 2027'!M16=TRUE,'Jun 2027'!M16="x",'Jun 2027'!M16="X"),1,0))</f>
        <v/>
      </c>
      <c r="M260" s="345">
        <f>IF($A260="","",IF(OR('Jun 2027'!M17=TRUE,'Jun 2027'!M17="x",'Jun 2027'!M17="X"),1,0))</f>
        <v/>
      </c>
      <c r="N260" s="345">
        <f>IF($A260="","",IF(OR('Jun 2027'!M18=TRUE,'Jun 2027'!M18="x",'Jun 2027'!M18="X"),1,0))</f>
        <v/>
      </c>
      <c r="O260" s="345">
        <f>IF($A260="","",IF(OR('Jun 2027'!M20=TRUE,'Jun 2027'!M20="x",'Jun 2027'!M20="X"),1,0))</f>
        <v/>
      </c>
      <c r="P260" s="345">
        <f>IF($A260="","",IF(OR('Jun 2027'!M21=TRUE,'Jun 2027'!M21="x",'Jun 2027'!M21="X"),1,0))</f>
        <v/>
      </c>
      <c r="Q260" s="345">
        <f>IF($A260="","",IF(OR('Jun 2027'!M22=TRUE,'Jun 2027'!M22="x",'Jun 2027'!M22="X"),1,0))</f>
        <v/>
      </c>
      <c r="R260" s="345">
        <f>IF($A260="","",IF(OR('Jun 2027'!M23=TRUE,'Jun 2027'!M23="x",'Jun 2027'!M23="X"),1,0))</f>
        <v/>
      </c>
      <c r="S260" s="345">
        <f>IF($A260="","",IF(OR('Jun 2027'!M24=TRUE,'Jun 2027'!M24="x",'Jun 2027'!M24="X"),1,0))</f>
        <v/>
      </c>
      <c r="T260" s="345">
        <f>IF($A260="","",IF(OR('Jun 2027'!M25=TRUE,'Jun 2027'!M25="x",'Jun 2027'!M25="X"),1,0))</f>
        <v/>
      </c>
      <c r="U260" s="345">
        <f>IF($A260="","",IF(OR('Jun 2027'!M26=TRUE,'Jun 2027'!M26="x",'Jun 2027'!M26="X"),1,0))</f>
        <v/>
      </c>
      <c r="V260" s="345">
        <f>IF($A260="","",IF(OR('Jun 2027'!M27=TRUE,'Jun 2027'!M27="x",'Jun 2027'!M27="X"),1,0))</f>
        <v/>
      </c>
      <c r="W260" s="345">
        <f>IF($A260="","",IF(OR('Jun 2027'!M28=TRUE,'Jun 2027'!M28="x",'Jun 2027'!M28="X"),1,0))</f>
        <v/>
      </c>
      <c r="X260" s="345">
        <f>IF($A260="","",IF(OR('Jun 2027'!M29=TRUE,'Jun 2027'!M29="x",'Jun 2027'!M29="X"),1,0))</f>
        <v/>
      </c>
      <c r="Y260" s="345">
        <f>IF($A260="","",IF(OR('Jun 2027'!M30=TRUE,'Jun 2027'!M30="x",'Jun 2027'!M30="X"),1,0))</f>
        <v/>
      </c>
      <c r="Z260" s="345">
        <f>IF($A260="","",IF(OR('Jun 2027'!M31=TRUE,'Jun 2027'!M31="x",'Jun 2027'!M31="X"),1,0))</f>
        <v/>
      </c>
      <c r="AA260" s="345">
        <f>IF($A260="","",IF(OR('Jun 2027'!M32=TRUE,'Jun 2027'!M32="x",'Jun 2027'!M32="X"),1,0))</f>
        <v/>
      </c>
      <c r="AB260" s="345">
        <f>IF($A260="","",IF(OR('Jun 2027'!M34=TRUE,'Jun 2027'!M34="x",'Jun 2027'!M34="X"),1,0))</f>
        <v/>
      </c>
      <c r="AC260" s="345">
        <f>IF($A260="","",IF(OR('Jun 2027'!M35=TRUE,'Jun 2027'!M35="x",'Jun 2027'!M35="X"),1,0))</f>
        <v/>
      </c>
      <c r="AD260" s="345">
        <f>IF($A260="","",IF(OR('Jun 2027'!M36=TRUE,'Jun 2027'!M36="x",'Jun 2027'!M36="X"),1,0))</f>
        <v/>
      </c>
      <c r="AE260" s="345">
        <f>IF($A260="","",IF(OR('Jun 2027'!M37=TRUE,'Jun 2027'!M37="x",'Jun 2027'!M37="X"),1,0))</f>
        <v/>
      </c>
      <c r="AF260" s="345">
        <f>IF($A260="","",IF('Jun 2027'!M59="","",'Jun 2027'!M59))</f>
        <v/>
      </c>
      <c r="AG260" s="345">
        <f>IF($A260="","",IF('Jun 2027'!M60="","",'Jun 2027'!M60))</f>
        <v/>
      </c>
      <c r="AH260" s="345">
        <f>IF($A260="","",IF('Jun 2027'!M61="","",'Jun 2027'!M61))</f>
        <v/>
      </c>
      <c r="AI260" s="345">
        <f>IF($A260="","",IF('Jun 2027'!M62="","",'Jun 2027'!M62))</f>
        <v/>
      </c>
      <c r="AJ260" s="345">
        <f>IF($A260="","",IF('Jun 2027'!M63="","",'Jun 2027'!M63))</f>
        <v/>
      </c>
      <c r="AK260" s="345">
        <f>IF($A260="","",IF('Jun 2027'!M64="","",'Jun 2027'!M64))</f>
        <v/>
      </c>
      <c r="AL260" s="345">
        <f>IF($A260="","",IF('Jun 2027'!M65="","",'Jun 2027'!M65))</f>
        <v/>
      </c>
      <c r="AM260" s="345">
        <f>IF($A260="","",IF('Jun 2027'!M66="","",'Jun 2027'!M66))</f>
        <v/>
      </c>
      <c r="AN260" s="345">
        <f>IF($A260="","",IF('Jun 2027'!M67="","",'Jun 2027'!M67))</f>
        <v/>
      </c>
      <c r="AO260" s="345">
        <f>IF($A260="",0,IF(AND($A260&gt;=TrackStart,$A260&lt;=TODAY()),1,0))</f>
        <v/>
      </c>
      <c r="AP260" s="345">
        <f>IF($A260="",0,IF(SUM(F260:AE260)+COUNT(AF260:AN260)&gt;0,1,0))</f>
        <v/>
      </c>
      <c r="AQ260" s="345">
        <f>IF($A260="","",INT(($A260-TrackStart)/7)+1)</f>
        <v/>
      </c>
      <c r="AR260" s="345">
        <f>IF($A260="","",IF(AQ260&lt;=1,Steps1,IF(AQ260=2,Steps2,Steps3)))</f>
        <v/>
      </c>
      <c r="AS260" s="345">
        <f>IF($A260="",0,IF(ISNUMBER(SEARCH(TEXT(D260,"0"),WorkDays&amp;"")),1,0))</f>
        <v/>
      </c>
      <c r="AT260" s="345">
        <f>IF($A260="",0,IF(ISNUMBER(SEARCH(TEXT(D260,"0"),StrDays&amp;"")),1,0))</f>
        <v/>
      </c>
      <c r="AU260" s="345">
        <f>IF($A260="",0,IF(ISNUMBER(AK260),IF(AK260&gt;=SleepMin,1,0),N260))</f>
        <v/>
      </c>
      <c r="AV260" s="345">
        <f>IF($A260="",0,MAX(I260,O260,S260,AC260))</f>
        <v/>
      </c>
      <c r="AW260" s="345">
        <f>IF($A260="",0,IF(ISNUMBER(AH260),IF(AH260&gt;=ProtHit,1,0),0))</f>
        <v/>
      </c>
      <c r="AX260" s="345">
        <f>IF($A260="",0,IF(ISNUMBER(AI260),IF(AI260&gt;=WaterHit,1,0),0))</f>
        <v/>
      </c>
      <c r="AY260" s="345">
        <f>IF($A260="",0,IF(ISNUMBER(AG260),IF(AG260&gt;=AR260,1,0),0))</f>
        <v/>
      </c>
      <c r="AZ260" s="345">
        <f>IF($A260="",0,G260)</f>
        <v/>
      </c>
      <c r="BA260" s="345">
        <f>IF($A260="",0,J260)</f>
        <v/>
      </c>
      <c r="BB260" s="345">
        <f>IF($A260="",0,K260)</f>
        <v/>
      </c>
      <c r="BC260" s="345">
        <f>IF($A260="",0,MAX(L260,AE260))</f>
        <v/>
      </c>
      <c r="BD260" s="344">
        <f>IF($A260="","",(AU260+AV260+AW260+AX260+AY260+AZ260+BB260+BC260+IF(AS260=1,BA260,0))/(8+AS260))</f>
        <v/>
      </c>
      <c r="BE260" s="344">
        <f>IF($A260="","",(IF(ISNUMBER(AI260),IF(AI260&gt;=WaterMVD,1,0),0)+AV260+IF(ISNUMBER(AH260),IF(AH260&gt;=ProtMVD,1,0),0)+MAX(H260,AD260)+AZ260+BB260+AU260)/7)</f>
        <v/>
      </c>
      <c r="BF260" s="344">
        <f>IF(AO260=0,"",IF(E260="S","",IF(AND(AP260=0,$A260=TODAY()),"",IF(E260="M",BE260,BD260))))</f>
        <v/>
      </c>
      <c r="BG260" s="344">
        <f>IF(AO260=0,"",IFERROR(AVERAGEIFS(Data!$BF$4:$BF$375,Data!$A$4:$A$375,"&gt;"&amp;($A260-7),Data!$A$4:$A$375,"&lt;="&amp;$A260),""))</f>
        <v/>
      </c>
      <c r="BH260" s="344">
        <f>IF(AO260=0,"",IFERROR(AVERAGEIFS(Data!$BF$4:$BF$375,Data!$A$4:$A$375,"&gt;"&amp;($A260-30),Data!$A$4:$A$375,"&lt;="&amp;$A260),""))</f>
        <v/>
      </c>
      <c r="BI260" s="359">
        <f>IF($A260="","",IFERROR(AVERAGEIFS(Data!$AF$4:$AF$375,Data!$A$4:$A$375,"&gt;"&amp;($A260-7),Data!$A$4:$A$375,"&lt;="&amp;$A260,Data!$AF$4:$AF$375,"&gt;0"),""))</f>
        <v/>
      </c>
      <c r="BJ260" s="345">
        <f>IF($A260="","",F260+G260+H260+I260+J260+K260+L260+M260+N260-IF(AS260=1,0,J260))</f>
        <v/>
      </c>
      <c r="BK260" s="345">
        <f>IF($A260="","",8+AS260)</f>
        <v/>
      </c>
      <c r="BL260" s="345">
        <f>IF(ISNUMBER(BF260),BF260,NA())</f>
        <v/>
      </c>
      <c r="BM260" s="345">
        <f>IF(ISNUMBER(AF260),AF260,NA())</f>
        <v/>
      </c>
      <c r="BN260" s="345">
        <f>IF(ISNUMBER(BI260),BI260,NA())</f>
        <v/>
      </c>
      <c r="BO260" s="345">
        <f>IF(ISNUMBER(AL260),AL260,NA())</f>
        <v/>
      </c>
      <c r="BP260" s="345">
        <f>IF(ISNUMBER(AM260),AM260,NA())</f>
        <v/>
      </c>
      <c r="BQ260" s="345">
        <f>IF(ISNUMBER(AN260),AN260,NA())</f>
        <v/>
      </c>
    </row>
    <row r="261">
      <c r="A261" s="358">
        <f>IF('Jun 2027'!N7="","",'Jun 2027'!N7)</f>
        <v/>
      </c>
      <c r="B261" s="345" t="n">
        <v>9</v>
      </c>
      <c r="C261" s="345">
        <f>IF($A261="","",10)</f>
        <v/>
      </c>
      <c r="D261" s="345">
        <f>IF($A261="","",WEEKDAY($A261,2))</f>
        <v/>
      </c>
      <c r="E261" s="345">
        <f>IF($A261="","",UPPER(TRIM('Jun 2027'!N8)))</f>
        <v/>
      </c>
      <c r="F261" s="345">
        <f>IF($A261="","",IF(OR('Jun 2027'!N10=TRUE,'Jun 2027'!N10="x",'Jun 2027'!N10="X"),1,0))</f>
        <v/>
      </c>
      <c r="G261" s="345">
        <f>IF($A261="","",IF(OR('Jun 2027'!N11=TRUE,'Jun 2027'!N11="x",'Jun 2027'!N11="X"),1,0))</f>
        <v/>
      </c>
      <c r="H261" s="345">
        <f>IF($A261="","",IF(OR('Jun 2027'!N12=TRUE,'Jun 2027'!N12="x",'Jun 2027'!N12="X"),1,0))</f>
        <v/>
      </c>
      <c r="I261" s="345">
        <f>IF($A261="","",IF(OR('Jun 2027'!N13=TRUE,'Jun 2027'!N13="x",'Jun 2027'!N13="X"),1,0))</f>
        <v/>
      </c>
      <c r="J261" s="345">
        <f>IF($A261="","",IF(OR('Jun 2027'!N14=TRUE,'Jun 2027'!N14="x",'Jun 2027'!N14="X"),1,0))</f>
        <v/>
      </c>
      <c r="K261" s="345">
        <f>IF($A261="","",IF(OR('Jun 2027'!N15=TRUE,'Jun 2027'!N15="x",'Jun 2027'!N15="X"),1,0))</f>
        <v/>
      </c>
      <c r="L261" s="345">
        <f>IF($A261="","",IF(OR('Jun 2027'!N16=TRUE,'Jun 2027'!N16="x",'Jun 2027'!N16="X"),1,0))</f>
        <v/>
      </c>
      <c r="M261" s="345">
        <f>IF($A261="","",IF(OR('Jun 2027'!N17=TRUE,'Jun 2027'!N17="x",'Jun 2027'!N17="X"),1,0))</f>
        <v/>
      </c>
      <c r="N261" s="345">
        <f>IF($A261="","",IF(OR('Jun 2027'!N18=TRUE,'Jun 2027'!N18="x",'Jun 2027'!N18="X"),1,0))</f>
        <v/>
      </c>
      <c r="O261" s="345">
        <f>IF($A261="","",IF(OR('Jun 2027'!N20=TRUE,'Jun 2027'!N20="x",'Jun 2027'!N20="X"),1,0))</f>
        <v/>
      </c>
      <c r="P261" s="345">
        <f>IF($A261="","",IF(OR('Jun 2027'!N21=TRUE,'Jun 2027'!N21="x",'Jun 2027'!N21="X"),1,0))</f>
        <v/>
      </c>
      <c r="Q261" s="345">
        <f>IF($A261="","",IF(OR('Jun 2027'!N22=TRUE,'Jun 2027'!N22="x",'Jun 2027'!N22="X"),1,0))</f>
        <v/>
      </c>
      <c r="R261" s="345">
        <f>IF($A261="","",IF(OR('Jun 2027'!N23=TRUE,'Jun 2027'!N23="x",'Jun 2027'!N23="X"),1,0))</f>
        <v/>
      </c>
      <c r="S261" s="345">
        <f>IF($A261="","",IF(OR('Jun 2027'!N24=TRUE,'Jun 2027'!N24="x",'Jun 2027'!N24="X"),1,0))</f>
        <v/>
      </c>
      <c r="T261" s="345">
        <f>IF($A261="","",IF(OR('Jun 2027'!N25=TRUE,'Jun 2027'!N25="x",'Jun 2027'!N25="X"),1,0))</f>
        <v/>
      </c>
      <c r="U261" s="345">
        <f>IF($A261="","",IF(OR('Jun 2027'!N26=TRUE,'Jun 2027'!N26="x",'Jun 2027'!N26="X"),1,0))</f>
        <v/>
      </c>
      <c r="V261" s="345">
        <f>IF($A261="","",IF(OR('Jun 2027'!N27=TRUE,'Jun 2027'!N27="x",'Jun 2027'!N27="X"),1,0))</f>
        <v/>
      </c>
      <c r="W261" s="345">
        <f>IF($A261="","",IF(OR('Jun 2027'!N28=TRUE,'Jun 2027'!N28="x",'Jun 2027'!N28="X"),1,0))</f>
        <v/>
      </c>
      <c r="X261" s="345">
        <f>IF($A261="","",IF(OR('Jun 2027'!N29=TRUE,'Jun 2027'!N29="x",'Jun 2027'!N29="X"),1,0))</f>
        <v/>
      </c>
      <c r="Y261" s="345">
        <f>IF($A261="","",IF(OR('Jun 2027'!N30=TRUE,'Jun 2027'!N30="x",'Jun 2027'!N30="X"),1,0))</f>
        <v/>
      </c>
      <c r="Z261" s="345">
        <f>IF($A261="","",IF(OR('Jun 2027'!N31=TRUE,'Jun 2027'!N31="x",'Jun 2027'!N31="X"),1,0))</f>
        <v/>
      </c>
      <c r="AA261" s="345">
        <f>IF($A261="","",IF(OR('Jun 2027'!N32=TRUE,'Jun 2027'!N32="x",'Jun 2027'!N32="X"),1,0))</f>
        <v/>
      </c>
      <c r="AB261" s="345">
        <f>IF($A261="","",IF(OR('Jun 2027'!N34=TRUE,'Jun 2027'!N34="x",'Jun 2027'!N34="X"),1,0))</f>
        <v/>
      </c>
      <c r="AC261" s="345">
        <f>IF($A261="","",IF(OR('Jun 2027'!N35=TRUE,'Jun 2027'!N35="x",'Jun 2027'!N35="X"),1,0))</f>
        <v/>
      </c>
      <c r="AD261" s="345">
        <f>IF($A261="","",IF(OR('Jun 2027'!N36=TRUE,'Jun 2027'!N36="x",'Jun 2027'!N36="X"),1,0))</f>
        <v/>
      </c>
      <c r="AE261" s="345">
        <f>IF($A261="","",IF(OR('Jun 2027'!N37=TRUE,'Jun 2027'!N37="x",'Jun 2027'!N37="X"),1,0))</f>
        <v/>
      </c>
      <c r="AF261" s="345">
        <f>IF($A261="","",IF('Jun 2027'!N59="","",'Jun 2027'!N59))</f>
        <v/>
      </c>
      <c r="AG261" s="345">
        <f>IF($A261="","",IF('Jun 2027'!N60="","",'Jun 2027'!N60))</f>
        <v/>
      </c>
      <c r="AH261" s="345">
        <f>IF($A261="","",IF('Jun 2027'!N61="","",'Jun 2027'!N61))</f>
        <v/>
      </c>
      <c r="AI261" s="345">
        <f>IF($A261="","",IF('Jun 2027'!N62="","",'Jun 2027'!N62))</f>
        <v/>
      </c>
      <c r="AJ261" s="345">
        <f>IF($A261="","",IF('Jun 2027'!N63="","",'Jun 2027'!N63))</f>
        <v/>
      </c>
      <c r="AK261" s="345">
        <f>IF($A261="","",IF('Jun 2027'!N64="","",'Jun 2027'!N64))</f>
        <v/>
      </c>
      <c r="AL261" s="345">
        <f>IF($A261="","",IF('Jun 2027'!N65="","",'Jun 2027'!N65))</f>
        <v/>
      </c>
      <c r="AM261" s="345">
        <f>IF($A261="","",IF('Jun 2027'!N66="","",'Jun 2027'!N66))</f>
        <v/>
      </c>
      <c r="AN261" s="345">
        <f>IF($A261="","",IF('Jun 2027'!N67="","",'Jun 2027'!N67))</f>
        <v/>
      </c>
      <c r="AO261" s="345">
        <f>IF($A261="",0,IF(AND($A261&gt;=TrackStart,$A261&lt;=TODAY()),1,0))</f>
        <v/>
      </c>
      <c r="AP261" s="345">
        <f>IF($A261="",0,IF(SUM(F261:AE261)+COUNT(AF261:AN261)&gt;0,1,0))</f>
        <v/>
      </c>
      <c r="AQ261" s="345">
        <f>IF($A261="","",INT(($A261-TrackStart)/7)+1)</f>
        <v/>
      </c>
      <c r="AR261" s="345">
        <f>IF($A261="","",IF(AQ261&lt;=1,Steps1,IF(AQ261=2,Steps2,Steps3)))</f>
        <v/>
      </c>
      <c r="AS261" s="345">
        <f>IF($A261="",0,IF(ISNUMBER(SEARCH(TEXT(D261,"0"),WorkDays&amp;"")),1,0))</f>
        <v/>
      </c>
      <c r="AT261" s="345">
        <f>IF($A261="",0,IF(ISNUMBER(SEARCH(TEXT(D261,"0"),StrDays&amp;"")),1,0))</f>
        <v/>
      </c>
      <c r="AU261" s="345">
        <f>IF($A261="",0,IF(ISNUMBER(AK261),IF(AK261&gt;=SleepMin,1,0),N261))</f>
        <v/>
      </c>
      <c r="AV261" s="345">
        <f>IF($A261="",0,MAX(I261,O261,S261,AC261))</f>
        <v/>
      </c>
      <c r="AW261" s="345">
        <f>IF($A261="",0,IF(ISNUMBER(AH261),IF(AH261&gt;=ProtHit,1,0),0))</f>
        <v/>
      </c>
      <c r="AX261" s="345">
        <f>IF($A261="",0,IF(ISNUMBER(AI261),IF(AI261&gt;=WaterHit,1,0),0))</f>
        <v/>
      </c>
      <c r="AY261" s="345">
        <f>IF($A261="",0,IF(ISNUMBER(AG261),IF(AG261&gt;=AR261,1,0),0))</f>
        <v/>
      </c>
      <c r="AZ261" s="345">
        <f>IF($A261="",0,G261)</f>
        <v/>
      </c>
      <c r="BA261" s="345">
        <f>IF($A261="",0,J261)</f>
        <v/>
      </c>
      <c r="BB261" s="345">
        <f>IF($A261="",0,K261)</f>
        <v/>
      </c>
      <c r="BC261" s="345">
        <f>IF($A261="",0,MAX(L261,AE261))</f>
        <v/>
      </c>
      <c r="BD261" s="344">
        <f>IF($A261="","",(AU261+AV261+AW261+AX261+AY261+AZ261+BB261+BC261+IF(AS261=1,BA261,0))/(8+AS261))</f>
        <v/>
      </c>
      <c r="BE261" s="344">
        <f>IF($A261="","",(IF(ISNUMBER(AI261),IF(AI261&gt;=WaterMVD,1,0),0)+AV261+IF(ISNUMBER(AH261),IF(AH261&gt;=ProtMVD,1,0),0)+MAX(H261,AD261)+AZ261+BB261+AU261)/7)</f>
        <v/>
      </c>
      <c r="BF261" s="344">
        <f>IF(AO261=0,"",IF(E261="S","",IF(AND(AP261=0,$A261=TODAY()),"",IF(E261="M",BE261,BD261))))</f>
        <v/>
      </c>
      <c r="BG261" s="344">
        <f>IF(AO261=0,"",IFERROR(AVERAGEIFS(Data!$BF$4:$BF$375,Data!$A$4:$A$375,"&gt;"&amp;($A261-7),Data!$A$4:$A$375,"&lt;="&amp;$A261),""))</f>
        <v/>
      </c>
      <c r="BH261" s="344">
        <f>IF(AO261=0,"",IFERROR(AVERAGEIFS(Data!$BF$4:$BF$375,Data!$A$4:$A$375,"&gt;"&amp;($A261-30),Data!$A$4:$A$375,"&lt;="&amp;$A261),""))</f>
        <v/>
      </c>
      <c r="BI261" s="359">
        <f>IF($A261="","",IFERROR(AVERAGEIFS(Data!$AF$4:$AF$375,Data!$A$4:$A$375,"&gt;"&amp;($A261-7),Data!$A$4:$A$375,"&lt;="&amp;$A261,Data!$AF$4:$AF$375,"&gt;0"),""))</f>
        <v/>
      </c>
      <c r="BJ261" s="345">
        <f>IF($A261="","",F261+G261+H261+I261+J261+K261+L261+M261+N261-IF(AS261=1,0,J261))</f>
        <v/>
      </c>
      <c r="BK261" s="345">
        <f>IF($A261="","",8+AS261)</f>
        <v/>
      </c>
      <c r="BL261" s="345">
        <f>IF(ISNUMBER(BF261),BF261,NA())</f>
        <v/>
      </c>
      <c r="BM261" s="345">
        <f>IF(ISNUMBER(AF261),AF261,NA())</f>
        <v/>
      </c>
      <c r="BN261" s="345">
        <f>IF(ISNUMBER(BI261),BI261,NA())</f>
        <v/>
      </c>
      <c r="BO261" s="345">
        <f>IF(ISNUMBER(AL261),AL261,NA())</f>
        <v/>
      </c>
      <c r="BP261" s="345">
        <f>IF(ISNUMBER(AM261),AM261,NA())</f>
        <v/>
      </c>
      <c r="BQ261" s="345">
        <f>IF(ISNUMBER(AN261),AN261,NA())</f>
        <v/>
      </c>
    </row>
    <row r="262">
      <c r="A262" s="358">
        <f>IF('Jun 2027'!O7="","",'Jun 2027'!O7)</f>
        <v/>
      </c>
      <c r="B262" s="345" t="n">
        <v>9</v>
      </c>
      <c r="C262" s="345">
        <f>IF($A262="","",11)</f>
        <v/>
      </c>
      <c r="D262" s="345">
        <f>IF($A262="","",WEEKDAY($A262,2))</f>
        <v/>
      </c>
      <c r="E262" s="345">
        <f>IF($A262="","",UPPER(TRIM('Jun 2027'!O8)))</f>
        <v/>
      </c>
      <c r="F262" s="345">
        <f>IF($A262="","",IF(OR('Jun 2027'!O10=TRUE,'Jun 2027'!O10="x",'Jun 2027'!O10="X"),1,0))</f>
        <v/>
      </c>
      <c r="G262" s="345">
        <f>IF($A262="","",IF(OR('Jun 2027'!O11=TRUE,'Jun 2027'!O11="x",'Jun 2027'!O11="X"),1,0))</f>
        <v/>
      </c>
      <c r="H262" s="345">
        <f>IF($A262="","",IF(OR('Jun 2027'!O12=TRUE,'Jun 2027'!O12="x",'Jun 2027'!O12="X"),1,0))</f>
        <v/>
      </c>
      <c r="I262" s="345">
        <f>IF($A262="","",IF(OR('Jun 2027'!O13=TRUE,'Jun 2027'!O13="x",'Jun 2027'!O13="X"),1,0))</f>
        <v/>
      </c>
      <c r="J262" s="345">
        <f>IF($A262="","",IF(OR('Jun 2027'!O14=TRUE,'Jun 2027'!O14="x",'Jun 2027'!O14="X"),1,0))</f>
        <v/>
      </c>
      <c r="K262" s="345">
        <f>IF($A262="","",IF(OR('Jun 2027'!O15=TRUE,'Jun 2027'!O15="x",'Jun 2027'!O15="X"),1,0))</f>
        <v/>
      </c>
      <c r="L262" s="345">
        <f>IF($A262="","",IF(OR('Jun 2027'!O16=TRUE,'Jun 2027'!O16="x",'Jun 2027'!O16="X"),1,0))</f>
        <v/>
      </c>
      <c r="M262" s="345">
        <f>IF($A262="","",IF(OR('Jun 2027'!O17=TRUE,'Jun 2027'!O17="x",'Jun 2027'!O17="X"),1,0))</f>
        <v/>
      </c>
      <c r="N262" s="345">
        <f>IF($A262="","",IF(OR('Jun 2027'!O18=TRUE,'Jun 2027'!O18="x",'Jun 2027'!O18="X"),1,0))</f>
        <v/>
      </c>
      <c r="O262" s="345">
        <f>IF($A262="","",IF(OR('Jun 2027'!O20=TRUE,'Jun 2027'!O20="x",'Jun 2027'!O20="X"),1,0))</f>
        <v/>
      </c>
      <c r="P262" s="345">
        <f>IF($A262="","",IF(OR('Jun 2027'!O21=TRUE,'Jun 2027'!O21="x",'Jun 2027'!O21="X"),1,0))</f>
        <v/>
      </c>
      <c r="Q262" s="345">
        <f>IF($A262="","",IF(OR('Jun 2027'!O22=TRUE,'Jun 2027'!O22="x",'Jun 2027'!O22="X"),1,0))</f>
        <v/>
      </c>
      <c r="R262" s="345">
        <f>IF($A262="","",IF(OR('Jun 2027'!O23=TRUE,'Jun 2027'!O23="x",'Jun 2027'!O23="X"),1,0))</f>
        <v/>
      </c>
      <c r="S262" s="345">
        <f>IF($A262="","",IF(OR('Jun 2027'!O24=TRUE,'Jun 2027'!O24="x",'Jun 2027'!O24="X"),1,0))</f>
        <v/>
      </c>
      <c r="T262" s="345">
        <f>IF($A262="","",IF(OR('Jun 2027'!O25=TRUE,'Jun 2027'!O25="x",'Jun 2027'!O25="X"),1,0))</f>
        <v/>
      </c>
      <c r="U262" s="345">
        <f>IF($A262="","",IF(OR('Jun 2027'!O26=TRUE,'Jun 2027'!O26="x",'Jun 2027'!O26="X"),1,0))</f>
        <v/>
      </c>
      <c r="V262" s="345">
        <f>IF($A262="","",IF(OR('Jun 2027'!O27=TRUE,'Jun 2027'!O27="x",'Jun 2027'!O27="X"),1,0))</f>
        <v/>
      </c>
      <c r="W262" s="345">
        <f>IF($A262="","",IF(OR('Jun 2027'!O28=TRUE,'Jun 2027'!O28="x",'Jun 2027'!O28="X"),1,0))</f>
        <v/>
      </c>
      <c r="X262" s="345">
        <f>IF($A262="","",IF(OR('Jun 2027'!O29=TRUE,'Jun 2027'!O29="x",'Jun 2027'!O29="X"),1,0))</f>
        <v/>
      </c>
      <c r="Y262" s="345">
        <f>IF($A262="","",IF(OR('Jun 2027'!O30=TRUE,'Jun 2027'!O30="x",'Jun 2027'!O30="X"),1,0))</f>
        <v/>
      </c>
      <c r="Z262" s="345">
        <f>IF($A262="","",IF(OR('Jun 2027'!O31=TRUE,'Jun 2027'!O31="x",'Jun 2027'!O31="X"),1,0))</f>
        <v/>
      </c>
      <c r="AA262" s="345">
        <f>IF($A262="","",IF(OR('Jun 2027'!O32=TRUE,'Jun 2027'!O32="x",'Jun 2027'!O32="X"),1,0))</f>
        <v/>
      </c>
      <c r="AB262" s="345">
        <f>IF($A262="","",IF(OR('Jun 2027'!O34=TRUE,'Jun 2027'!O34="x",'Jun 2027'!O34="X"),1,0))</f>
        <v/>
      </c>
      <c r="AC262" s="345">
        <f>IF($A262="","",IF(OR('Jun 2027'!O35=TRUE,'Jun 2027'!O35="x",'Jun 2027'!O35="X"),1,0))</f>
        <v/>
      </c>
      <c r="AD262" s="345">
        <f>IF($A262="","",IF(OR('Jun 2027'!O36=TRUE,'Jun 2027'!O36="x",'Jun 2027'!O36="X"),1,0))</f>
        <v/>
      </c>
      <c r="AE262" s="345">
        <f>IF($A262="","",IF(OR('Jun 2027'!O37=TRUE,'Jun 2027'!O37="x",'Jun 2027'!O37="X"),1,0))</f>
        <v/>
      </c>
      <c r="AF262" s="345">
        <f>IF($A262="","",IF('Jun 2027'!O59="","",'Jun 2027'!O59))</f>
        <v/>
      </c>
      <c r="AG262" s="345">
        <f>IF($A262="","",IF('Jun 2027'!O60="","",'Jun 2027'!O60))</f>
        <v/>
      </c>
      <c r="AH262" s="345">
        <f>IF($A262="","",IF('Jun 2027'!O61="","",'Jun 2027'!O61))</f>
        <v/>
      </c>
      <c r="AI262" s="345">
        <f>IF($A262="","",IF('Jun 2027'!O62="","",'Jun 2027'!O62))</f>
        <v/>
      </c>
      <c r="AJ262" s="345">
        <f>IF($A262="","",IF('Jun 2027'!O63="","",'Jun 2027'!O63))</f>
        <v/>
      </c>
      <c r="AK262" s="345">
        <f>IF($A262="","",IF('Jun 2027'!O64="","",'Jun 2027'!O64))</f>
        <v/>
      </c>
      <c r="AL262" s="345">
        <f>IF($A262="","",IF('Jun 2027'!O65="","",'Jun 2027'!O65))</f>
        <v/>
      </c>
      <c r="AM262" s="345">
        <f>IF($A262="","",IF('Jun 2027'!O66="","",'Jun 2027'!O66))</f>
        <v/>
      </c>
      <c r="AN262" s="345">
        <f>IF($A262="","",IF('Jun 2027'!O67="","",'Jun 2027'!O67))</f>
        <v/>
      </c>
      <c r="AO262" s="345">
        <f>IF($A262="",0,IF(AND($A262&gt;=TrackStart,$A262&lt;=TODAY()),1,0))</f>
        <v/>
      </c>
      <c r="AP262" s="345">
        <f>IF($A262="",0,IF(SUM(F262:AE262)+COUNT(AF262:AN262)&gt;0,1,0))</f>
        <v/>
      </c>
      <c r="AQ262" s="345">
        <f>IF($A262="","",INT(($A262-TrackStart)/7)+1)</f>
        <v/>
      </c>
      <c r="AR262" s="345">
        <f>IF($A262="","",IF(AQ262&lt;=1,Steps1,IF(AQ262=2,Steps2,Steps3)))</f>
        <v/>
      </c>
      <c r="AS262" s="345">
        <f>IF($A262="",0,IF(ISNUMBER(SEARCH(TEXT(D262,"0"),WorkDays&amp;"")),1,0))</f>
        <v/>
      </c>
      <c r="AT262" s="345">
        <f>IF($A262="",0,IF(ISNUMBER(SEARCH(TEXT(D262,"0"),StrDays&amp;"")),1,0))</f>
        <v/>
      </c>
      <c r="AU262" s="345">
        <f>IF($A262="",0,IF(ISNUMBER(AK262),IF(AK262&gt;=SleepMin,1,0),N262))</f>
        <v/>
      </c>
      <c r="AV262" s="345">
        <f>IF($A262="",0,MAX(I262,O262,S262,AC262))</f>
        <v/>
      </c>
      <c r="AW262" s="345">
        <f>IF($A262="",0,IF(ISNUMBER(AH262),IF(AH262&gt;=ProtHit,1,0),0))</f>
        <v/>
      </c>
      <c r="AX262" s="345">
        <f>IF($A262="",0,IF(ISNUMBER(AI262),IF(AI262&gt;=WaterHit,1,0),0))</f>
        <v/>
      </c>
      <c r="AY262" s="345">
        <f>IF($A262="",0,IF(ISNUMBER(AG262),IF(AG262&gt;=AR262,1,0),0))</f>
        <v/>
      </c>
      <c r="AZ262" s="345">
        <f>IF($A262="",0,G262)</f>
        <v/>
      </c>
      <c r="BA262" s="345">
        <f>IF($A262="",0,J262)</f>
        <v/>
      </c>
      <c r="BB262" s="345">
        <f>IF($A262="",0,K262)</f>
        <v/>
      </c>
      <c r="BC262" s="345">
        <f>IF($A262="",0,MAX(L262,AE262))</f>
        <v/>
      </c>
      <c r="BD262" s="344">
        <f>IF($A262="","",(AU262+AV262+AW262+AX262+AY262+AZ262+BB262+BC262+IF(AS262=1,BA262,0))/(8+AS262))</f>
        <v/>
      </c>
      <c r="BE262" s="344">
        <f>IF($A262="","",(IF(ISNUMBER(AI262),IF(AI262&gt;=WaterMVD,1,0),0)+AV262+IF(ISNUMBER(AH262),IF(AH262&gt;=ProtMVD,1,0),0)+MAX(H262,AD262)+AZ262+BB262+AU262)/7)</f>
        <v/>
      </c>
      <c r="BF262" s="344">
        <f>IF(AO262=0,"",IF(E262="S","",IF(AND(AP262=0,$A262=TODAY()),"",IF(E262="M",BE262,BD262))))</f>
        <v/>
      </c>
      <c r="BG262" s="344">
        <f>IF(AO262=0,"",IFERROR(AVERAGEIFS(Data!$BF$4:$BF$375,Data!$A$4:$A$375,"&gt;"&amp;($A262-7),Data!$A$4:$A$375,"&lt;="&amp;$A262),""))</f>
        <v/>
      </c>
      <c r="BH262" s="344">
        <f>IF(AO262=0,"",IFERROR(AVERAGEIFS(Data!$BF$4:$BF$375,Data!$A$4:$A$375,"&gt;"&amp;($A262-30),Data!$A$4:$A$375,"&lt;="&amp;$A262),""))</f>
        <v/>
      </c>
      <c r="BI262" s="359">
        <f>IF($A262="","",IFERROR(AVERAGEIFS(Data!$AF$4:$AF$375,Data!$A$4:$A$375,"&gt;"&amp;($A262-7),Data!$A$4:$A$375,"&lt;="&amp;$A262,Data!$AF$4:$AF$375,"&gt;0"),""))</f>
        <v/>
      </c>
      <c r="BJ262" s="345">
        <f>IF($A262="","",F262+G262+H262+I262+J262+K262+L262+M262+N262-IF(AS262=1,0,J262))</f>
        <v/>
      </c>
      <c r="BK262" s="345">
        <f>IF($A262="","",8+AS262)</f>
        <v/>
      </c>
      <c r="BL262" s="345">
        <f>IF(ISNUMBER(BF262),BF262,NA())</f>
        <v/>
      </c>
      <c r="BM262" s="345">
        <f>IF(ISNUMBER(AF262),AF262,NA())</f>
        <v/>
      </c>
      <c r="BN262" s="345">
        <f>IF(ISNUMBER(BI262),BI262,NA())</f>
        <v/>
      </c>
      <c r="BO262" s="345">
        <f>IF(ISNUMBER(AL262),AL262,NA())</f>
        <v/>
      </c>
      <c r="BP262" s="345">
        <f>IF(ISNUMBER(AM262),AM262,NA())</f>
        <v/>
      </c>
      <c r="BQ262" s="345">
        <f>IF(ISNUMBER(AN262),AN262,NA())</f>
        <v/>
      </c>
    </row>
    <row r="263">
      <c r="A263" s="358">
        <f>IF('Jun 2027'!P7="","",'Jun 2027'!P7)</f>
        <v/>
      </c>
      <c r="B263" s="345" t="n">
        <v>9</v>
      </c>
      <c r="C263" s="345">
        <f>IF($A263="","",12)</f>
        <v/>
      </c>
      <c r="D263" s="345">
        <f>IF($A263="","",WEEKDAY($A263,2))</f>
        <v/>
      </c>
      <c r="E263" s="345">
        <f>IF($A263="","",UPPER(TRIM('Jun 2027'!P8)))</f>
        <v/>
      </c>
      <c r="F263" s="345">
        <f>IF($A263="","",IF(OR('Jun 2027'!P10=TRUE,'Jun 2027'!P10="x",'Jun 2027'!P10="X"),1,0))</f>
        <v/>
      </c>
      <c r="G263" s="345">
        <f>IF($A263="","",IF(OR('Jun 2027'!P11=TRUE,'Jun 2027'!P11="x",'Jun 2027'!P11="X"),1,0))</f>
        <v/>
      </c>
      <c r="H263" s="345">
        <f>IF($A263="","",IF(OR('Jun 2027'!P12=TRUE,'Jun 2027'!P12="x",'Jun 2027'!P12="X"),1,0))</f>
        <v/>
      </c>
      <c r="I263" s="345">
        <f>IF($A263="","",IF(OR('Jun 2027'!P13=TRUE,'Jun 2027'!P13="x",'Jun 2027'!P13="X"),1,0))</f>
        <v/>
      </c>
      <c r="J263" s="345">
        <f>IF($A263="","",IF(OR('Jun 2027'!P14=TRUE,'Jun 2027'!P14="x",'Jun 2027'!P14="X"),1,0))</f>
        <v/>
      </c>
      <c r="K263" s="345">
        <f>IF($A263="","",IF(OR('Jun 2027'!P15=TRUE,'Jun 2027'!P15="x",'Jun 2027'!P15="X"),1,0))</f>
        <v/>
      </c>
      <c r="L263" s="345">
        <f>IF($A263="","",IF(OR('Jun 2027'!P16=TRUE,'Jun 2027'!P16="x",'Jun 2027'!P16="X"),1,0))</f>
        <v/>
      </c>
      <c r="M263" s="345">
        <f>IF($A263="","",IF(OR('Jun 2027'!P17=TRUE,'Jun 2027'!P17="x",'Jun 2027'!P17="X"),1,0))</f>
        <v/>
      </c>
      <c r="N263" s="345">
        <f>IF($A263="","",IF(OR('Jun 2027'!P18=TRUE,'Jun 2027'!P18="x",'Jun 2027'!P18="X"),1,0))</f>
        <v/>
      </c>
      <c r="O263" s="345">
        <f>IF($A263="","",IF(OR('Jun 2027'!P20=TRUE,'Jun 2027'!P20="x",'Jun 2027'!P20="X"),1,0))</f>
        <v/>
      </c>
      <c r="P263" s="345">
        <f>IF($A263="","",IF(OR('Jun 2027'!P21=TRUE,'Jun 2027'!P21="x",'Jun 2027'!P21="X"),1,0))</f>
        <v/>
      </c>
      <c r="Q263" s="345">
        <f>IF($A263="","",IF(OR('Jun 2027'!P22=TRUE,'Jun 2027'!P22="x",'Jun 2027'!P22="X"),1,0))</f>
        <v/>
      </c>
      <c r="R263" s="345">
        <f>IF($A263="","",IF(OR('Jun 2027'!P23=TRUE,'Jun 2027'!P23="x",'Jun 2027'!P23="X"),1,0))</f>
        <v/>
      </c>
      <c r="S263" s="345">
        <f>IF($A263="","",IF(OR('Jun 2027'!P24=TRUE,'Jun 2027'!P24="x",'Jun 2027'!P24="X"),1,0))</f>
        <v/>
      </c>
      <c r="T263" s="345">
        <f>IF($A263="","",IF(OR('Jun 2027'!P25=TRUE,'Jun 2027'!P25="x",'Jun 2027'!P25="X"),1,0))</f>
        <v/>
      </c>
      <c r="U263" s="345">
        <f>IF($A263="","",IF(OR('Jun 2027'!P26=TRUE,'Jun 2027'!P26="x",'Jun 2027'!P26="X"),1,0))</f>
        <v/>
      </c>
      <c r="V263" s="345">
        <f>IF($A263="","",IF(OR('Jun 2027'!P27=TRUE,'Jun 2027'!P27="x",'Jun 2027'!P27="X"),1,0))</f>
        <v/>
      </c>
      <c r="W263" s="345">
        <f>IF($A263="","",IF(OR('Jun 2027'!P28=TRUE,'Jun 2027'!P28="x",'Jun 2027'!P28="X"),1,0))</f>
        <v/>
      </c>
      <c r="X263" s="345">
        <f>IF($A263="","",IF(OR('Jun 2027'!P29=TRUE,'Jun 2027'!P29="x",'Jun 2027'!P29="X"),1,0))</f>
        <v/>
      </c>
      <c r="Y263" s="345">
        <f>IF($A263="","",IF(OR('Jun 2027'!P30=TRUE,'Jun 2027'!P30="x",'Jun 2027'!P30="X"),1,0))</f>
        <v/>
      </c>
      <c r="Z263" s="345">
        <f>IF($A263="","",IF(OR('Jun 2027'!P31=TRUE,'Jun 2027'!P31="x",'Jun 2027'!P31="X"),1,0))</f>
        <v/>
      </c>
      <c r="AA263" s="345">
        <f>IF($A263="","",IF(OR('Jun 2027'!P32=TRUE,'Jun 2027'!P32="x",'Jun 2027'!P32="X"),1,0))</f>
        <v/>
      </c>
      <c r="AB263" s="345">
        <f>IF($A263="","",IF(OR('Jun 2027'!P34=TRUE,'Jun 2027'!P34="x",'Jun 2027'!P34="X"),1,0))</f>
        <v/>
      </c>
      <c r="AC263" s="345">
        <f>IF($A263="","",IF(OR('Jun 2027'!P35=TRUE,'Jun 2027'!P35="x",'Jun 2027'!P35="X"),1,0))</f>
        <v/>
      </c>
      <c r="AD263" s="345">
        <f>IF($A263="","",IF(OR('Jun 2027'!P36=TRUE,'Jun 2027'!P36="x",'Jun 2027'!P36="X"),1,0))</f>
        <v/>
      </c>
      <c r="AE263" s="345">
        <f>IF($A263="","",IF(OR('Jun 2027'!P37=TRUE,'Jun 2027'!P37="x",'Jun 2027'!P37="X"),1,0))</f>
        <v/>
      </c>
      <c r="AF263" s="345">
        <f>IF($A263="","",IF('Jun 2027'!P59="","",'Jun 2027'!P59))</f>
        <v/>
      </c>
      <c r="AG263" s="345">
        <f>IF($A263="","",IF('Jun 2027'!P60="","",'Jun 2027'!P60))</f>
        <v/>
      </c>
      <c r="AH263" s="345">
        <f>IF($A263="","",IF('Jun 2027'!P61="","",'Jun 2027'!P61))</f>
        <v/>
      </c>
      <c r="AI263" s="345">
        <f>IF($A263="","",IF('Jun 2027'!P62="","",'Jun 2027'!P62))</f>
        <v/>
      </c>
      <c r="AJ263" s="345">
        <f>IF($A263="","",IF('Jun 2027'!P63="","",'Jun 2027'!P63))</f>
        <v/>
      </c>
      <c r="AK263" s="345">
        <f>IF($A263="","",IF('Jun 2027'!P64="","",'Jun 2027'!P64))</f>
        <v/>
      </c>
      <c r="AL263" s="345">
        <f>IF($A263="","",IF('Jun 2027'!P65="","",'Jun 2027'!P65))</f>
        <v/>
      </c>
      <c r="AM263" s="345">
        <f>IF($A263="","",IF('Jun 2027'!P66="","",'Jun 2027'!P66))</f>
        <v/>
      </c>
      <c r="AN263" s="345">
        <f>IF($A263="","",IF('Jun 2027'!P67="","",'Jun 2027'!P67))</f>
        <v/>
      </c>
      <c r="AO263" s="345">
        <f>IF($A263="",0,IF(AND($A263&gt;=TrackStart,$A263&lt;=TODAY()),1,0))</f>
        <v/>
      </c>
      <c r="AP263" s="345">
        <f>IF($A263="",0,IF(SUM(F263:AE263)+COUNT(AF263:AN263)&gt;0,1,0))</f>
        <v/>
      </c>
      <c r="AQ263" s="345">
        <f>IF($A263="","",INT(($A263-TrackStart)/7)+1)</f>
        <v/>
      </c>
      <c r="AR263" s="345">
        <f>IF($A263="","",IF(AQ263&lt;=1,Steps1,IF(AQ263=2,Steps2,Steps3)))</f>
        <v/>
      </c>
      <c r="AS263" s="345">
        <f>IF($A263="",0,IF(ISNUMBER(SEARCH(TEXT(D263,"0"),WorkDays&amp;"")),1,0))</f>
        <v/>
      </c>
      <c r="AT263" s="345">
        <f>IF($A263="",0,IF(ISNUMBER(SEARCH(TEXT(D263,"0"),StrDays&amp;"")),1,0))</f>
        <v/>
      </c>
      <c r="AU263" s="345">
        <f>IF($A263="",0,IF(ISNUMBER(AK263),IF(AK263&gt;=SleepMin,1,0),N263))</f>
        <v/>
      </c>
      <c r="AV263" s="345">
        <f>IF($A263="",0,MAX(I263,O263,S263,AC263))</f>
        <v/>
      </c>
      <c r="AW263" s="345">
        <f>IF($A263="",0,IF(ISNUMBER(AH263),IF(AH263&gt;=ProtHit,1,0),0))</f>
        <v/>
      </c>
      <c r="AX263" s="345">
        <f>IF($A263="",0,IF(ISNUMBER(AI263),IF(AI263&gt;=WaterHit,1,0),0))</f>
        <v/>
      </c>
      <c r="AY263" s="345">
        <f>IF($A263="",0,IF(ISNUMBER(AG263),IF(AG263&gt;=AR263,1,0),0))</f>
        <v/>
      </c>
      <c r="AZ263" s="345">
        <f>IF($A263="",0,G263)</f>
        <v/>
      </c>
      <c r="BA263" s="345">
        <f>IF($A263="",0,J263)</f>
        <v/>
      </c>
      <c r="BB263" s="345">
        <f>IF($A263="",0,K263)</f>
        <v/>
      </c>
      <c r="BC263" s="345">
        <f>IF($A263="",0,MAX(L263,AE263))</f>
        <v/>
      </c>
      <c r="BD263" s="344">
        <f>IF($A263="","",(AU263+AV263+AW263+AX263+AY263+AZ263+BB263+BC263+IF(AS263=1,BA263,0))/(8+AS263))</f>
        <v/>
      </c>
      <c r="BE263" s="344">
        <f>IF($A263="","",(IF(ISNUMBER(AI263),IF(AI263&gt;=WaterMVD,1,0),0)+AV263+IF(ISNUMBER(AH263),IF(AH263&gt;=ProtMVD,1,0),0)+MAX(H263,AD263)+AZ263+BB263+AU263)/7)</f>
        <v/>
      </c>
      <c r="BF263" s="344">
        <f>IF(AO263=0,"",IF(E263="S","",IF(AND(AP263=0,$A263=TODAY()),"",IF(E263="M",BE263,BD263))))</f>
        <v/>
      </c>
      <c r="BG263" s="344">
        <f>IF(AO263=0,"",IFERROR(AVERAGEIFS(Data!$BF$4:$BF$375,Data!$A$4:$A$375,"&gt;"&amp;($A263-7),Data!$A$4:$A$375,"&lt;="&amp;$A263),""))</f>
        <v/>
      </c>
      <c r="BH263" s="344">
        <f>IF(AO263=0,"",IFERROR(AVERAGEIFS(Data!$BF$4:$BF$375,Data!$A$4:$A$375,"&gt;"&amp;($A263-30),Data!$A$4:$A$375,"&lt;="&amp;$A263),""))</f>
        <v/>
      </c>
      <c r="BI263" s="359">
        <f>IF($A263="","",IFERROR(AVERAGEIFS(Data!$AF$4:$AF$375,Data!$A$4:$A$375,"&gt;"&amp;($A263-7),Data!$A$4:$A$375,"&lt;="&amp;$A263,Data!$AF$4:$AF$375,"&gt;0"),""))</f>
        <v/>
      </c>
      <c r="BJ263" s="345">
        <f>IF($A263="","",F263+G263+H263+I263+J263+K263+L263+M263+N263-IF(AS263=1,0,J263))</f>
        <v/>
      </c>
      <c r="BK263" s="345">
        <f>IF($A263="","",8+AS263)</f>
        <v/>
      </c>
      <c r="BL263" s="345">
        <f>IF(ISNUMBER(BF263),BF263,NA())</f>
        <v/>
      </c>
      <c r="BM263" s="345">
        <f>IF(ISNUMBER(AF263),AF263,NA())</f>
        <v/>
      </c>
      <c r="BN263" s="345">
        <f>IF(ISNUMBER(BI263),BI263,NA())</f>
        <v/>
      </c>
      <c r="BO263" s="345">
        <f>IF(ISNUMBER(AL263),AL263,NA())</f>
        <v/>
      </c>
      <c r="BP263" s="345">
        <f>IF(ISNUMBER(AM263),AM263,NA())</f>
        <v/>
      </c>
      <c r="BQ263" s="345">
        <f>IF(ISNUMBER(AN263),AN263,NA())</f>
        <v/>
      </c>
    </row>
    <row r="264">
      <c r="A264" s="358">
        <f>IF('Jun 2027'!Q7="","",'Jun 2027'!Q7)</f>
        <v/>
      </c>
      <c r="B264" s="345" t="n">
        <v>9</v>
      </c>
      <c r="C264" s="345">
        <f>IF($A264="","",13)</f>
        <v/>
      </c>
      <c r="D264" s="345">
        <f>IF($A264="","",WEEKDAY($A264,2))</f>
        <v/>
      </c>
      <c r="E264" s="345">
        <f>IF($A264="","",UPPER(TRIM('Jun 2027'!Q8)))</f>
        <v/>
      </c>
      <c r="F264" s="345">
        <f>IF($A264="","",IF(OR('Jun 2027'!Q10=TRUE,'Jun 2027'!Q10="x",'Jun 2027'!Q10="X"),1,0))</f>
        <v/>
      </c>
      <c r="G264" s="345">
        <f>IF($A264="","",IF(OR('Jun 2027'!Q11=TRUE,'Jun 2027'!Q11="x",'Jun 2027'!Q11="X"),1,0))</f>
        <v/>
      </c>
      <c r="H264" s="345">
        <f>IF($A264="","",IF(OR('Jun 2027'!Q12=TRUE,'Jun 2027'!Q12="x",'Jun 2027'!Q12="X"),1,0))</f>
        <v/>
      </c>
      <c r="I264" s="345">
        <f>IF($A264="","",IF(OR('Jun 2027'!Q13=TRUE,'Jun 2027'!Q13="x",'Jun 2027'!Q13="X"),1,0))</f>
        <v/>
      </c>
      <c r="J264" s="345">
        <f>IF($A264="","",IF(OR('Jun 2027'!Q14=TRUE,'Jun 2027'!Q14="x",'Jun 2027'!Q14="X"),1,0))</f>
        <v/>
      </c>
      <c r="K264" s="345">
        <f>IF($A264="","",IF(OR('Jun 2027'!Q15=TRUE,'Jun 2027'!Q15="x",'Jun 2027'!Q15="X"),1,0))</f>
        <v/>
      </c>
      <c r="L264" s="345">
        <f>IF($A264="","",IF(OR('Jun 2027'!Q16=TRUE,'Jun 2027'!Q16="x",'Jun 2027'!Q16="X"),1,0))</f>
        <v/>
      </c>
      <c r="M264" s="345">
        <f>IF($A264="","",IF(OR('Jun 2027'!Q17=TRUE,'Jun 2027'!Q17="x",'Jun 2027'!Q17="X"),1,0))</f>
        <v/>
      </c>
      <c r="N264" s="345">
        <f>IF($A264="","",IF(OR('Jun 2027'!Q18=TRUE,'Jun 2027'!Q18="x",'Jun 2027'!Q18="X"),1,0))</f>
        <v/>
      </c>
      <c r="O264" s="345">
        <f>IF($A264="","",IF(OR('Jun 2027'!Q20=TRUE,'Jun 2027'!Q20="x",'Jun 2027'!Q20="X"),1,0))</f>
        <v/>
      </c>
      <c r="P264" s="345">
        <f>IF($A264="","",IF(OR('Jun 2027'!Q21=TRUE,'Jun 2027'!Q21="x",'Jun 2027'!Q21="X"),1,0))</f>
        <v/>
      </c>
      <c r="Q264" s="345">
        <f>IF($A264="","",IF(OR('Jun 2027'!Q22=TRUE,'Jun 2027'!Q22="x",'Jun 2027'!Q22="X"),1,0))</f>
        <v/>
      </c>
      <c r="R264" s="345">
        <f>IF($A264="","",IF(OR('Jun 2027'!Q23=TRUE,'Jun 2027'!Q23="x",'Jun 2027'!Q23="X"),1,0))</f>
        <v/>
      </c>
      <c r="S264" s="345">
        <f>IF($A264="","",IF(OR('Jun 2027'!Q24=TRUE,'Jun 2027'!Q24="x",'Jun 2027'!Q24="X"),1,0))</f>
        <v/>
      </c>
      <c r="T264" s="345">
        <f>IF($A264="","",IF(OR('Jun 2027'!Q25=TRUE,'Jun 2027'!Q25="x",'Jun 2027'!Q25="X"),1,0))</f>
        <v/>
      </c>
      <c r="U264" s="345">
        <f>IF($A264="","",IF(OR('Jun 2027'!Q26=TRUE,'Jun 2027'!Q26="x",'Jun 2027'!Q26="X"),1,0))</f>
        <v/>
      </c>
      <c r="V264" s="345">
        <f>IF($A264="","",IF(OR('Jun 2027'!Q27=TRUE,'Jun 2027'!Q27="x",'Jun 2027'!Q27="X"),1,0))</f>
        <v/>
      </c>
      <c r="W264" s="345">
        <f>IF($A264="","",IF(OR('Jun 2027'!Q28=TRUE,'Jun 2027'!Q28="x",'Jun 2027'!Q28="X"),1,0))</f>
        <v/>
      </c>
      <c r="X264" s="345">
        <f>IF($A264="","",IF(OR('Jun 2027'!Q29=TRUE,'Jun 2027'!Q29="x",'Jun 2027'!Q29="X"),1,0))</f>
        <v/>
      </c>
      <c r="Y264" s="345">
        <f>IF($A264="","",IF(OR('Jun 2027'!Q30=TRUE,'Jun 2027'!Q30="x",'Jun 2027'!Q30="X"),1,0))</f>
        <v/>
      </c>
      <c r="Z264" s="345">
        <f>IF($A264="","",IF(OR('Jun 2027'!Q31=TRUE,'Jun 2027'!Q31="x",'Jun 2027'!Q31="X"),1,0))</f>
        <v/>
      </c>
      <c r="AA264" s="345">
        <f>IF($A264="","",IF(OR('Jun 2027'!Q32=TRUE,'Jun 2027'!Q32="x",'Jun 2027'!Q32="X"),1,0))</f>
        <v/>
      </c>
      <c r="AB264" s="345">
        <f>IF($A264="","",IF(OR('Jun 2027'!Q34=TRUE,'Jun 2027'!Q34="x",'Jun 2027'!Q34="X"),1,0))</f>
        <v/>
      </c>
      <c r="AC264" s="345">
        <f>IF($A264="","",IF(OR('Jun 2027'!Q35=TRUE,'Jun 2027'!Q35="x",'Jun 2027'!Q35="X"),1,0))</f>
        <v/>
      </c>
      <c r="AD264" s="345">
        <f>IF($A264="","",IF(OR('Jun 2027'!Q36=TRUE,'Jun 2027'!Q36="x",'Jun 2027'!Q36="X"),1,0))</f>
        <v/>
      </c>
      <c r="AE264" s="345">
        <f>IF($A264="","",IF(OR('Jun 2027'!Q37=TRUE,'Jun 2027'!Q37="x",'Jun 2027'!Q37="X"),1,0))</f>
        <v/>
      </c>
      <c r="AF264" s="345">
        <f>IF($A264="","",IF('Jun 2027'!Q59="","",'Jun 2027'!Q59))</f>
        <v/>
      </c>
      <c r="AG264" s="345">
        <f>IF($A264="","",IF('Jun 2027'!Q60="","",'Jun 2027'!Q60))</f>
        <v/>
      </c>
      <c r="AH264" s="345">
        <f>IF($A264="","",IF('Jun 2027'!Q61="","",'Jun 2027'!Q61))</f>
        <v/>
      </c>
      <c r="AI264" s="345">
        <f>IF($A264="","",IF('Jun 2027'!Q62="","",'Jun 2027'!Q62))</f>
        <v/>
      </c>
      <c r="AJ264" s="345">
        <f>IF($A264="","",IF('Jun 2027'!Q63="","",'Jun 2027'!Q63))</f>
        <v/>
      </c>
      <c r="AK264" s="345">
        <f>IF($A264="","",IF('Jun 2027'!Q64="","",'Jun 2027'!Q64))</f>
        <v/>
      </c>
      <c r="AL264" s="345">
        <f>IF($A264="","",IF('Jun 2027'!Q65="","",'Jun 2027'!Q65))</f>
        <v/>
      </c>
      <c r="AM264" s="345">
        <f>IF($A264="","",IF('Jun 2027'!Q66="","",'Jun 2027'!Q66))</f>
        <v/>
      </c>
      <c r="AN264" s="345">
        <f>IF($A264="","",IF('Jun 2027'!Q67="","",'Jun 2027'!Q67))</f>
        <v/>
      </c>
      <c r="AO264" s="345">
        <f>IF($A264="",0,IF(AND($A264&gt;=TrackStart,$A264&lt;=TODAY()),1,0))</f>
        <v/>
      </c>
      <c r="AP264" s="345">
        <f>IF($A264="",0,IF(SUM(F264:AE264)+COUNT(AF264:AN264)&gt;0,1,0))</f>
        <v/>
      </c>
      <c r="AQ264" s="345">
        <f>IF($A264="","",INT(($A264-TrackStart)/7)+1)</f>
        <v/>
      </c>
      <c r="AR264" s="345">
        <f>IF($A264="","",IF(AQ264&lt;=1,Steps1,IF(AQ264=2,Steps2,Steps3)))</f>
        <v/>
      </c>
      <c r="AS264" s="345">
        <f>IF($A264="",0,IF(ISNUMBER(SEARCH(TEXT(D264,"0"),WorkDays&amp;"")),1,0))</f>
        <v/>
      </c>
      <c r="AT264" s="345">
        <f>IF($A264="",0,IF(ISNUMBER(SEARCH(TEXT(D264,"0"),StrDays&amp;"")),1,0))</f>
        <v/>
      </c>
      <c r="AU264" s="345">
        <f>IF($A264="",0,IF(ISNUMBER(AK264),IF(AK264&gt;=SleepMin,1,0),N264))</f>
        <v/>
      </c>
      <c r="AV264" s="345">
        <f>IF($A264="",0,MAX(I264,O264,S264,AC264))</f>
        <v/>
      </c>
      <c r="AW264" s="345">
        <f>IF($A264="",0,IF(ISNUMBER(AH264),IF(AH264&gt;=ProtHit,1,0),0))</f>
        <v/>
      </c>
      <c r="AX264" s="345">
        <f>IF($A264="",0,IF(ISNUMBER(AI264),IF(AI264&gt;=WaterHit,1,0),0))</f>
        <v/>
      </c>
      <c r="AY264" s="345">
        <f>IF($A264="",0,IF(ISNUMBER(AG264),IF(AG264&gt;=AR264,1,0),0))</f>
        <v/>
      </c>
      <c r="AZ264" s="345">
        <f>IF($A264="",0,G264)</f>
        <v/>
      </c>
      <c r="BA264" s="345">
        <f>IF($A264="",0,J264)</f>
        <v/>
      </c>
      <c r="BB264" s="345">
        <f>IF($A264="",0,K264)</f>
        <v/>
      </c>
      <c r="BC264" s="345">
        <f>IF($A264="",0,MAX(L264,AE264))</f>
        <v/>
      </c>
      <c r="BD264" s="344">
        <f>IF($A264="","",(AU264+AV264+AW264+AX264+AY264+AZ264+BB264+BC264+IF(AS264=1,BA264,0))/(8+AS264))</f>
        <v/>
      </c>
      <c r="BE264" s="344">
        <f>IF($A264="","",(IF(ISNUMBER(AI264),IF(AI264&gt;=WaterMVD,1,0),0)+AV264+IF(ISNUMBER(AH264),IF(AH264&gt;=ProtMVD,1,0),0)+MAX(H264,AD264)+AZ264+BB264+AU264)/7)</f>
        <v/>
      </c>
      <c r="BF264" s="344">
        <f>IF(AO264=0,"",IF(E264="S","",IF(AND(AP264=0,$A264=TODAY()),"",IF(E264="M",BE264,BD264))))</f>
        <v/>
      </c>
      <c r="BG264" s="344">
        <f>IF(AO264=0,"",IFERROR(AVERAGEIFS(Data!$BF$4:$BF$375,Data!$A$4:$A$375,"&gt;"&amp;($A264-7),Data!$A$4:$A$375,"&lt;="&amp;$A264),""))</f>
        <v/>
      </c>
      <c r="BH264" s="344">
        <f>IF(AO264=0,"",IFERROR(AVERAGEIFS(Data!$BF$4:$BF$375,Data!$A$4:$A$375,"&gt;"&amp;($A264-30),Data!$A$4:$A$375,"&lt;="&amp;$A264),""))</f>
        <v/>
      </c>
      <c r="BI264" s="359">
        <f>IF($A264="","",IFERROR(AVERAGEIFS(Data!$AF$4:$AF$375,Data!$A$4:$A$375,"&gt;"&amp;($A264-7),Data!$A$4:$A$375,"&lt;="&amp;$A264,Data!$AF$4:$AF$375,"&gt;0"),""))</f>
        <v/>
      </c>
      <c r="BJ264" s="345">
        <f>IF($A264="","",F264+G264+H264+I264+J264+K264+L264+M264+N264-IF(AS264=1,0,J264))</f>
        <v/>
      </c>
      <c r="BK264" s="345">
        <f>IF($A264="","",8+AS264)</f>
        <v/>
      </c>
      <c r="BL264" s="345">
        <f>IF(ISNUMBER(BF264),BF264,NA())</f>
        <v/>
      </c>
      <c r="BM264" s="345">
        <f>IF(ISNUMBER(AF264),AF264,NA())</f>
        <v/>
      </c>
      <c r="BN264" s="345">
        <f>IF(ISNUMBER(BI264),BI264,NA())</f>
        <v/>
      </c>
      <c r="BO264" s="345">
        <f>IF(ISNUMBER(AL264),AL264,NA())</f>
        <v/>
      </c>
      <c r="BP264" s="345">
        <f>IF(ISNUMBER(AM264),AM264,NA())</f>
        <v/>
      </c>
      <c r="BQ264" s="345">
        <f>IF(ISNUMBER(AN264),AN264,NA())</f>
        <v/>
      </c>
    </row>
    <row r="265">
      <c r="A265" s="358">
        <f>IF('Jun 2027'!R7="","",'Jun 2027'!R7)</f>
        <v/>
      </c>
      <c r="B265" s="345" t="n">
        <v>9</v>
      </c>
      <c r="C265" s="345">
        <f>IF($A265="","",14)</f>
        <v/>
      </c>
      <c r="D265" s="345">
        <f>IF($A265="","",WEEKDAY($A265,2))</f>
        <v/>
      </c>
      <c r="E265" s="345">
        <f>IF($A265="","",UPPER(TRIM('Jun 2027'!R8)))</f>
        <v/>
      </c>
      <c r="F265" s="345">
        <f>IF($A265="","",IF(OR('Jun 2027'!R10=TRUE,'Jun 2027'!R10="x",'Jun 2027'!R10="X"),1,0))</f>
        <v/>
      </c>
      <c r="G265" s="345">
        <f>IF($A265="","",IF(OR('Jun 2027'!R11=TRUE,'Jun 2027'!R11="x",'Jun 2027'!R11="X"),1,0))</f>
        <v/>
      </c>
      <c r="H265" s="345">
        <f>IF($A265="","",IF(OR('Jun 2027'!R12=TRUE,'Jun 2027'!R12="x",'Jun 2027'!R12="X"),1,0))</f>
        <v/>
      </c>
      <c r="I265" s="345">
        <f>IF($A265="","",IF(OR('Jun 2027'!R13=TRUE,'Jun 2027'!R13="x",'Jun 2027'!R13="X"),1,0))</f>
        <v/>
      </c>
      <c r="J265" s="345">
        <f>IF($A265="","",IF(OR('Jun 2027'!R14=TRUE,'Jun 2027'!R14="x",'Jun 2027'!R14="X"),1,0))</f>
        <v/>
      </c>
      <c r="K265" s="345">
        <f>IF($A265="","",IF(OR('Jun 2027'!R15=TRUE,'Jun 2027'!R15="x",'Jun 2027'!R15="X"),1,0))</f>
        <v/>
      </c>
      <c r="L265" s="345">
        <f>IF($A265="","",IF(OR('Jun 2027'!R16=TRUE,'Jun 2027'!R16="x",'Jun 2027'!R16="X"),1,0))</f>
        <v/>
      </c>
      <c r="M265" s="345">
        <f>IF($A265="","",IF(OR('Jun 2027'!R17=TRUE,'Jun 2027'!R17="x",'Jun 2027'!R17="X"),1,0))</f>
        <v/>
      </c>
      <c r="N265" s="345">
        <f>IF($A265="","",IF(OR('Jun 2027'!R18=TRUE,'Jun 2027'!R18="x",'Jun 2027'!R18="X"),1,0))</f>
        <v/>
      </c>
      <c r="O265" s="345">
        <f>IF($A265="","",IF(OR('Jun 2027'!R20=TRUE,'Jun 2027'!R20="x",'Jun 2027'!R20="X"),1,0))</f>
        <v/>
      </c>
      <c r="P265" s="345">
        <f>IF($A265="","",IF(OR('Jun 2027'!R21=TRUE,'Jun 2027'!R21="x",'Jun 2027'!R21="X"),1,0))</f>
        <v/>
      </c>
      <c r="Q265" s="345">
        <f>IF($A265="","",IF(OR('Jun 2027'!R22=TRUE,'Jun 2027'!R22="x",'Jun 2027'!R22="X"),1,0))</f>
        <v/>
      </c>
      <c r="R265" s="345">
        <f>IF($A265="","",IF(OR('Jun 2027'!R23=TRUE,'Jun 2027'!R23="x",'Jun 2027'!R23="X"),1,0))</f>
        <v/>
      </c>
      <c r="S265" s="345">
        <f>IF($A265="","",IF(OR('Jun 2027'!R24=TRUE,'Jun 2027'!R24="x",'Jun 2027'!R24="X"),1,0))</f>
        <v/>
      </c>
      <c r="T265" s="345">
        <f>IF($A265="","",IF(OR('Jun 2027'!R25=TRUE,'Jun 2027'!R25="x",'Jun 2027'!R25="X"),1,0))</f>
        <v/>
      </c>
      <c r="U265" s="345">
        <f>IF($A265="","",IF(OR('Jun 2027'!R26=TRUE,'Jun 2027'!R26="x",'Jun 2027'!R26="X"),1,0))</f>
        <v/>
      </c>
      <c r="V265" s="345">
        <f>IF($A265="","",IF(OR('Jun 2027'!R27=TRUE,'Jun 2027'!R27="x",'Jun 2027'!R27="X"),1,0))</f>
        <v/>
      </c>
      <c r="W265" s="345">
        <f>IF($A265="","",IF(OR('Jun 2027'!R28=TRUE,'Jun 2027'!R28="x",'Jun 2027'!R28="X"),1,0))</f>
        <v/>
      </c>
      <c r="X265" s="345">
        <f>IF($A265="","",IF(OR('Jun 2027'!R29=TRUE,'Jun 2027'!R29="x",'Jun 2027'!R29="X"),1,0))</f>
        <v/>
      </c>
      <c r="Y265" s="345">
        <f>IF($A265="","",IF(OR('Jun 2027'!R30=TRUE,'Jun 2027'!R30="x",'Jun 2027'!R30="X"),1,0))</f>
        <v/>
      </c>
      <c r="Z265" s="345">
        <f>IF($A265="","",IF(OR('Jun 2027'!R31=TRUE,'Jun 2027'!R31="x",'Jun 2027'!R31="X"),1,0))</f>
        <v/>
      </c>
      <c r="AA265" s="345">
        <f>IF($A265="","",IF(OR('Jun 2027'!R32=TRUE,'Jun 2027'!R32="x",'Jun 2027'!R32="X"),1,0))</f>
        <v/>
      </c>
      <c r="AB265" s="345">
        <f>IF($A265="","",IF(OR('Jun 2027'!R34=TRUE,'Jun 2027'!R34="x",'Jun 2027'!R34="X"),1,0))</f>
        <v/>
      </c>
      <c r="AC265" s="345">
        <f>IF($A265="","",IF(OR('Jun 2027'!R35=TRUE,'Jun 2027'!R35="x",'Jun 2027'!R35="X"),1,0))</f>
        <v/>
      </c>
      <c r="AD265" s="345">
        <f>IF($A265="","",IF(OR('Jun 2027'!R36=TRUE,'Jun 2027'!R36="x",'Jun 2027'!R36="X"),1,0))</f>
        <v/>
      </c>
      <c r="AE265" s="345">
        <f>IF($A265="","",IF(OR('Jun 2027'!R37=TRUE,'Jun 2027'!R37="x",'Jun 2027'!R37="X"),1,0))</f>
        <v/>
      </c>
      <c r="AF265" s="345">
        <f>IF($A265="","",IF('Jun 2027'!R59="","",'Jun 2027'!R59))</f>
        <v/>
      </c>
      <c r="AG265" s="345">
        <f>IF($A265="","",IF('Jun 2027'!R60="","",'Jun 2027'!R60))</f>
        <v/>
      </c>
      <c r="AH265" s="345">
        <f>IF($A265="","",IF('Jun 2027'!R61="","",'Jun 2027'!R61))</f>
        <v/>
      </c>
      <c r="AI265" s="345">
        <f>IF($A265="","",IF('Jun 2027'!R62="","",'Jun 2027'!R62))</f>
        <v/>
      </c>
      <c r="AJ265" s="345">
        <f>IF($A265="","",IF('Jun 2027'!R63="","",'Jun 2027'!R63))</f>
        <v/>
      </c>
      <c r="AK265" s="345">
        <f>IF($A265="","",IF('Jun 2027'!R64="","",'Jun 2027'!R64))</f>
        <v/>
      </c>
      <c r="AL265" s="345">
        <f>IF($A265="","",IF('Jun 2027'!R65="","",'Jun 2027'!R65))</f>
        <v/>
      </c>
      <c r="AM265" s="345">
        <f>IF($A265="","",IF('Jun 2027'!R66="","",'Jun 2027'!R66))</f>
        <v/>
      </c>
      <c r="AN265" s="345">
        <f>IF($A265="","",IF('Jun 2027'!R67="","",'Jun 2027'!R67))</f>
        <v/>
      </c>
      <c r="AO265" s="345">
        <f>IF($A265="",0,IF(AND($A265&gt;=TrackStart,$A265&lt;=TODAY()),1,0))</f>
        <v/>
      </c>
      <c r="AP265" s="345">
        <f>IF($A265="",0,IF(SUM(F265:AE265)+COUNT(AF265:AN265)&gt;0,1,0))</f>
        <v/>
      </c>
      <c r="AQ265" s="345">
        <f>IF($A265="","",INT(($A265-TrackStart)/7)+1)</f>
        <v/>
      </c>
      <c r="AR265" s="345">
        <f>IF($A265="","",IF(AQ265&lt;=1,Steps1,IF(AQ265=2,Steps2,Steps3)))</f>
        <v/>
      </c>
      <c r="AS265" s="345">
        <f>IF($A265="",0,IF(ISNUMBER(SEARCH(TEXT(D265,"0"),WorkDays&amp;"")),1,0))</f>
        <v/>
      </c>
      <c r="AT265" s="345">
        <f>IF($A265="",0,IF(ISNUMBER(SEARCH(TEXT(D265,"0"),StrDays&amp;"")),1,0))</f>
        <v/>
      </c>
      <c r="AU265" s="345">
        <f>IF($A265="",0,IF(ISNUMBER(AK265),IF(AK265&gt;=SleepMin,1,0),N265))</f>
        <v/>
      </c>
      <c r="AV265" s="345">
        <f>IF($A265="",0,MAX(I265,O265,S265,AC265))</f>
        <v/>
      </c>
      <c r="AW265" s="345">
        <f>IF($A265="",0,IF(ISNUMBER(AH265),IF(AH265&gt;=ProtHit,1,0),0))</f>
        <v/>
      </c>
      <c r="AX265" s="345">
        <f>IF($A265="",0,IF(ISNUMBER(AI265),IF(AI265&gt;=WaterHit,1,0),0))</f>
        <v/>
      </c>
      <c r="AY265" s="345">
        <f>IF($A265="",0,IF(ISNUMBER(AG265),IF(AG265&gt;=AR265,1,0),0))</f>
        <v/>
      </c>
      <c r="AZ265" s="345">
        <f>IF($A265="",0,G265)</f>
        <v/>
      </c>
      <c r="BA265" s="345">
        <f>IF($A265="",0,J265)</f>
        <v/>
      </c>
      <c r="BB265" s="345">
        <f>IF($A265="",0,K265)</f>
        <v/>
      </c>
      <c r="BC265" s="345">
        <f>IF($A265="",0,MAX(L265,AE265))</f>
        <v/>
      </c>
      <c r="BD265" s="344">
        <f>IF($A265="","",(AU265+AV265+AW265+AX265+AY265+AZ265+BB265+BC265+IF(AS265=1,BA265,0))/(8+AS265))</f>
        <v/>
      </c>
      <c r="BE265" s="344">
        <f>IF($A265="","",(IF(ISNUMBER(AI265),IF(AI265&gt;=WaterMVD,1,0),0)+AV265+IF(ISNUMBER(AH265),IF(AH265&gt;=ProtMVD,1,0),0)+MAX(H265,AD265)+AZ265+BB265+AU265)/7)</f>
        <v/>
      </c>
      <c r="BF265" s="344">
        <f>IF(AO265=0,"",IF(E265="S","",IF(AND(AP265=0,$A265=TODAY()),"",IF(E265="M",BE265,BD265))))</f>
        <v/>
      </c>
      <c r="BG265" s="344">
        <f>IF(AO265=0,"",IFERROR(AVERAGEIFS(Data!$BF$4:$BF$375,Data!$A$4:$A$375,"&gt;"&amp;($A265-7),Data!$A$4:$A$375,"&lt;="&amp;$A265),""))</f>
        <v/>
      </c>
      <c r="BH265" s="344">
        <f>IF(AO265=0,"",IFERROR(AVERAGEIFS(Data!$BF$4:$BF$375,Data!$A$4:$A$375,"&gt;"&amp;($A265-30),Data!$A$4:$A$375,"&lt;="&amp;$A265),""))</f>
        <v/>
      </c>
      <c r="BI265" s="359">
        <f>IF($A265="","",IFERROR(AVERAGEIFS(Data!$AF$4:$AF$375,Data!$A$4:$A$375,"&gt;"&amp;($A265-7),Data!$A$4:$A$375,"&lt;="&amp;$A265,Data!$AF$4:$AF$375,"&gt;0"),""))</f>
        <v/>
      </c>
      <c r="BJ265" s="345">
        <f>IF($A265="","",F265+G265+H265+I265+J265+K265+L265+M265+N265-IF(AS265=1,0,J265))</f>
        <v/>
      </c>
      <c r="BK265" s="345">
        <f>IF($A265="","",8+AS265)</f>
        <v/>
      </c>
      <c r="BL265" s="345">
        <f>IF(ISNUMBER(BF265),BF265,NA())</f>
        <v/>
      </c>
      <c r="BM265" s="345">
        <f>IF(ISNUMBER(AF265),AF265,NA())</f>
        <v/>
      </c>
      <c r="BN265" s="345">
        <f>IF(ISNUMBER(BI265),BI265,NA())</f>
        <v/>
      </c>
      <c r="BO265" s="345">
        <f>IF(ISNUMBER(AL265),AL265,NA())</f>
        <v/>
      </c>
      <c r="BP265" s="345">
        <f>IF(ISNUMBER(AM265),AM265,NA())</f>
        <v/>
      </c>
      <c r="BQ265" s="345">
        <f>IF(ISNUMBER(AN265),AN265,NA())</f>
        <v/>
      </c>
    </row>
    <row r="266">
      <c r="A266" s="358">
        <f>IF('Jun 2027'!S7="","",'Jun 2027'!S7)</f>
        <v/>
      </c>
      <c r="B266" s="345" t="n">
        <v>9</v>
      </c>
      <c r="C266" s="345">
        <f>IF($A266="","",15)</f>
        <v/>
      </c>
      <c r="D266" s="345">
        <f>IF($A266="","",WEEKDAY($A266,2))</f>
        <v/>
      </c>
      <c r="E266" s="345">
        <f>IF($A266="","",UPPER(TRIM('Jun 2027'!S8)))</f>
        <v/>
      </c>
      <c r="F266" s="345">
        <f>IF($A266="","",IF(OR('Jun 2027'!S10=TRUE,'Jun 2027'!S10="x",'Jun 2027'!S10="X"),1,0))</f>
        <v/>
      </c>
      <c r="G266" s="345">
        <f>IF($A266="","",IF(OR('Jun 2027'!S11=TRUE,'Jun 2027'!S11="x",'Jun 2027'!S11="X"),1,0))</f>
        <v/>
      </c>
      <c r="H266" s="345">
        <f>IF($A266="","",IF(OR('Jun 2027'!S12=TRUE,'Jun 2027'!S12="x",'Jun 2027'!S12="X"),1,0))</f>
        <v/>
      </c>
      <c r="I266" s="345">
        <f>IF($A266="","",IF(OR('Jun 2027'!S13=TRUE,'Jun 2027'!S13="x",'Jun 2027'!S13="X"),1,0))</f>
        <v/>
      </c>
      <c r="J266" s="345">
        <f>IF($A266="","",IF(OR('Jun 2027'!S14=TRUE,'Jun 2027'!S14="x",'Jun 2027'!S14="X"),1,0))</f>
        <v/>
      </c>
      <c r="K266" s="345">
        <f>IF($A266="","",IF(OR('Jun 2027'!S15=TRUE,'Jun 2027'!S15="x",'Jun 2027'!S15="X"),1,0))</f>
        <v/>
      </c>
      <c r="L266" s="345">
        <f>IF($A266="","",IF(OR('Jun 2027'!S16=TRUE,'Jun 2027'!S16="x",'Jun 2027'!S16="X"),1,0))</f>
        <v/>
      </c>
      <c r="M266" s="345">
        <f>IF($A266="","",IF(OR('Jun 2027'!S17=TRUE,'Jun 2027'!S17="x",'Jun 2027'!S17="X"),1,0))</f>
        <v/>
      </c>
      <c r="N266" s="345">
        <f>IF($A266="","",IF(OR('Jun 2027'!S18=TRUE,'Jun 2027'!S18="x",'Jun 2027'!S18="X"),1,0))</f>
        <v/>
      </c>
      <c r="O266" s="345">
        <f>IF($A266="","",IF(OR('Jun 2027'!S20=TRUE,'Jun 2027'!S20="x",'Jun 2027'!S20="X"),1,0))</f>
        <v/>
      </c>
      <c r="P266" s="345">
        <f>IF($A266="","",IF(OR('Jun 2027'!S21=TRUE,'Jun 2027'!S21="x",'Jun 2027'!S21="X"),1,0))</f>
        <v/>
      </c>
      <c r="Q266" s="345">
        <f>IF($A266="","",IF(OR('Jun 2027'!S22=TRUE,'Jun 2027'!S22="x",'Jun 2027'!S22="X"),1,0))</f>
        <v/>
      </c>
      <c r="R266" s="345">
        <f>IF($A266="","",IF(OR('Jun 2027'!S23=TRUE,'Jun 2027'!S23="x",'Jun 2027'!S23="X"),1,0))</f>
        <v/>
      </c>
      <c r="S266" s="345">
        <f>IF($A266="","",IF(OR('Jun 2027'!S24=TRUE,'Jun 2027'!S24="x",'Jun 2027'!S24="X"),1,0))</f>
        <v/>
      </c>
      <c r="T266" s="345">
        <f>IF($A266="","",IF(OR('Jun 2027'!S25=TRUE,'Jun 2027'!S25="x",'Jun 2027'!S25="X"),1,0))</f>
        <v/>
      </c>
      <c r="U266" s="345">
        <f>IF($A266="","",IF(OR('Jun 2027'!S26=TRUE,'Jun 2027'!S26="x",'Jun 2027'!S26="X"),1,0))</f>
        <v/>
      </c>
      <c r="V266" s="345">
        <f>IF($A266="","",IF(OR('Jun 2027'!S27=TRUE,'Jun 2027'!S27="x",'Jun 2027'!S27="X"),1,0))</f>
        <v/>
      </c>
      <c r="W266" s="345">
        <f>IF($A266="","",IF(OR('Jun 2027'!S28=TRUE,'Jun 2027'!S28="x",'Jun 2027'!S28="X"),1,0))</f>
        <v/>
      </c>
      <c r="X266" s="345">
        <f>IF($A266="","",IF(OR('Jun 2027'!S29=TRUE,'Jun 2027'!S29="x",'Jun 2027'!S29="X"),1,0))</f>
        <v/>
      </c>
      <c r="Y266" s="345">
        <f>IF($A266="","",IF(OR('Jun 2027'!S30=TRUE,'Jun 2027'!S30="x",'Jun 2027'!S30="X"),1,0))</f>
        <v/>
      </c>
      <c r="Z266" s="345">
        <f>IF($A266="","",IF(OR('Jun 2027'!S31=TRUE,'Jun 2027'!S31="x",'Jun 2027'!S31="X"),1,0))</f>
        <v/>
      </c>
      <c r="AA266" s="345">
        <f>IF($A266="","",IF(OR('Jun 2027'!S32=TRUE,'Jun 2027'!S32="x",'Jun 2027'!S32="X"),1,0))</f>
        <v/>
      </c>
      <c r="AB266" s="345">
        <f>IF($A266="","",IF(OR('Jun 2027'!S34=TRUE,'Jun 2027'!S34="x",'Jun 2027'!S34="X"),1,0))</f>
        <v/>
      </c>
      <c r="AC266" s="345">
        <f>IF($A266="","",IF(OR('Jun 2027'!S35=TRUE,'Jun 2027'!S35="x",'Jun 2027'!S35="X"),1,0))</f>
        <v/>
      </c>
      <c r="AD266" s="345">
        <f>IF($A266="","",IF(OR('Jun 2027'!S36=TRUE,'Jun 2027'!S36="x",'Jun 2027'!S36="X"),1,0))</f>
        <v/>
      </c>
      <c r="AE266" s="345">
        <f>IF($A266="","",IF(OR('Jun 2027'!S37=TRUE,'Jun 2027'!S37="x",'Jun 2027'!S37="X"),1,0))</f>
        <v/>
      </c>
      <c r="AF266" s="345">
        <f>IF($A266="","",IF('Jun 2027'!S59="","",'Jun 2027'!S59))</f>
        <v/>
      </c>
      <c r="AG266" s="345">
        <f>IF($A266="","",IF('Jun 2027'!S60="","",'Jun 2027'!S60))</f>
        <v/>
      </c>
      <c r="AH266" s="345">
        <f>IF($A266="","",IF('Jun 2027'!S61="","",'Jun 2027'!S61))</f>
        <v/>
      </c>
      <c r="AI266" s="345">
        <f>IF($A266="","",IF('Jun 2027'!S62="","",'Jun 2027'!S62))</f>
        <v/>
      </c>
      <c r="AJ266" s="345">
        <f>IF($A266="","",IF('Jun 2027'!S63="","",'Jun 2027'!S63))</f>
        <v/>
      </c>
      <c r="AK266" s="345">
        <f>IF($A266="","",IF('Jun 2027'!S64="","",'Jun 2027'!S64))</f>
        <v/>
      </c>
      <c r="AL266" s="345">
        <f>IF($A266="","",IF('Jun 2027'!S65="","",'Jun 2027'!S65))</f>
        <v/>
      </c>
      <c r="AM266" s="345">
        <f>IF($A266="","",IF('Jun 2027'!S66="","",'Jun 2027'!S66))</f>
        <v/>
      </c>
      <c r="AN266" s="345">
        <f>IF($A266="","",IF('Jun 2027'!S67="","",'Jun 2027'!S67))</f>
        <v/>
      </c>
      <c r="AO266" s="345">
        <f>IF($A266="",0,IF(AND($A266&gt;=TrackStart,$A266&lt;=TODAY()),1,0))</f>
        <v/>
      </c>
      <c r="AP266" s="345">
        <f>IF($A266="",0,IF(SUM(F266:AE266)+COUNT(AF266:AN266)&gt;0,1,0))</f>
        <v/>
      </c>
      <c r="AQ266" s="345">
        <f>IF($A266="","",INT(($A266-TrackStart)/7)+1)</f>
        <v/>
      </c>
      <c r="AR266" s="345">
        <f>IF($A266="","",IF(AQ266&lt;=1,Steps1,IF(AQ266=2,Steps2,Steps3)))</f>
        <v/>
      </c>
      <c r="AS266" s="345">
        <f>IF($A266="",0,IF(ISNUMBER(SEARCH(TEXT(D266,"0"),WorkDays&amp;"")),1,0))</f>
        <v/>
      </c>
      <c r="AT266" s="345">
        <f>IF($A266="",0,IF(ISNUMBER(SEARCH(TEXT(D266,"0"),StrDays&amp;"")),1,0))</f>
        <v/>
      </c>
      <c r="AU266" s="345">
        <f>IF($A266="",0,IF(ISNUMBER(AK266),IF(AK266&gt;=SleepMin,1,0),N266))</f>
        <v/>
      </c>
      <c r="AV266" s="345">
        <f>IF($A266="",0,MAX(I266,O266,S266,AC266))</f>
        <v/>
      </c>
      <c r="AW266" s="345">
        <f>IF($A266="",0,IF(ISNUMBER(AH266),IF(AH266&gt;=ProtHit,1,0),0))</f>
        <v/>
      </c>
      <c r="AX266" s="345">
        <f>IF($A266="",0,IF(ISNUMBER(AI266),IF(AI266&gt;=WaterHit,1,0),0))</f>
        <v/>
      </c>
      <c r="AY266" s="345">
        <f>IF($A266="",0,IF(ISNUMBER(AG266),IF(AG266&gt;=AR266,1,0),0))</f>
        <v/>
      </c>
      <c r="AZ266" s="345">
        <f>IF($A266="",0,G266)</f>
        <v/>
      </c>
      <c r="BA266" s="345">
        <f>IF($A266="",0,J266)</f>
        <v/>
      </c>
      <c r="BB266" s="345">
        <f>IF($A266="",0,K266)</f>
        <v/>
      </c>
      <c r="BC266" s="345">
        <f>IF($A266="",0,MAX(L266,AE266))</f>
        <v/>
      </c>
      <c r="BD266" s="344">
        <f>IF($A266="","",(AU266+AV266+AW266+AX266+AY266+AZ266+BB266+BC266+IF(AS266=1,BA266,0))/(8+AS266))</f>
        <v/>
      </c>
      <c r="BE266" s="344">
        <f>IF($A266="","",(IF(ISNUMBER(AI266),IF(AI266&gt;=WaterMVD,1,0),0)+AV266+IF(ISNUMBER(AH266),IF(AH266&gt;=ProtMVD,1,0),0)+MAX(H266,AD266)+AZ266+BB266+AU266)/7)</f>
        <v/>
      </c>
      <c r="BF266" s="344">
        <f>IF(AO266=0,"",IF(E266="S","",IF(AND(AP266=0,$A266=TODAY()),"",IF(E266="M",BE266,BD266))))</f>
        <v/>
      </c>
      <c r="BG266" s="344">
        <f>IF(AO266=0,"",IFERROR(AVERAGEIFS(Data!$BF$4:$BF$375,Data!$A$4:$A$375,"&gt;"&amp;($A266-7),Data!$A$4:$A$375,"&lt;="&amp;$A266),""))</f>
        <v/>
      </c>
      <c r="BH266" s="344">
        <f>IF(AO266=0,"",IFERROR(AVERAGEIFS(Data!$BF$4:$BF$375,Data!$A$4:$A$375,"&gt;"&amp;($A266-30),Data!$A$4:$A$375,"&lt;="&amp;$A266),""))</f>
        <v/>
      </c>
      <c r="BI266" s="359">
        <f>IF($A266="","",IFERROR(AVERAGEIFS(Data!$AF$4:$AF$375,Data!$A$4:$A$375,"&gt;"&amp;($A266-7),Data!$A$4:$A$375,"&lt;="&amp;$A266,Data!$AF$4:$AF$375,"&gt;0"),""))</f>
        <v/>
      </c>
      <c r="BJ266" s="345">
        <f>IF($A266="","",F266+G266+H266+I266+J266+K266+L266+M266+N266-IF(AS266=1,0,J266))</f>
        <v/>
      </c>
      <c r="BK266" s="345">
        <f>IF($A266="","",8+AS266)</f>
        <v/>
      </c>
      <c r="BL266" s="345">
        <f>IF(ISNUMBER(BF266),BF266,NA())</f>
        <v/>
      </c>
      <c r="BM266" s="345">
        <f>IF(ISNUMBER(AF266),AF266,NA())</f>
        <v/>
      </c>
      <c r="BN266" s="345">
        <f>IF(ISNUMBER(BI266),BI266,NA())</f>
        <v/>
      </c>
      <c r="BO266" s="345">
        <f>IF(ISNUMBER(AL266),AL266,NA())</f>
        <v/>
      </c>
      <c r="BP266" s="345">
        <f>IF(ISNUMBER(AM266),AM266,NA())</f>
        <v/>
      </c>
      <c r="BQ266" s="345">
        <f>IF(ISNUMBER(AN266),AN266,NA())</f>
        <v/>
      </c>
    </row>
    <row r="267">
      <c r="A267" s="358">
        <f>IF('Jun 2027'!T7="","",'Jun 2027'!T7)</f>
        <v/>
      </c>
      <c r="B267" s="345" t="n">
        <v>9</v>
      </c>
      <c r="C267" s="345">
        <f>IF($A267="","",16)</f>
        <v/>
      </c>
      <c r="D267" s="345">
        <f>IF($A267="","",WEEKDAY($A267,2))</f>
        <v/>
      </c>
      <c r="E267" s="345">
        <f>IF($A267="","",UPPER(TRIM('Jun 2027'!T8)))</f>
        <v/>
      </c>
      <c r="F267" s="345">
        <f>IF($A267="","",IF(OR('Jun 2027'!T10=TRUE,'Jun 2027'!T10="x",'Jun 2027'!T10="X"),1,0))</f>
        <v/>
      </c>
      <c r="G267" s="345">
        <f>IF($A267="","",IF(OR('Jun 2027'!T11=TRUE,'Jun 2027'!T11="x",'Jun 2027'!T11="X"),1,0))</f>
        <v/>
      </c>
      <c r="H267" s="345">
        <f>IF($A267="","",IF(OR('Jun 2027'!T12=TRUE,'Jun 2027'!T12="x",'Jun 2027'!T12="X"),1,0))</f>
        <v/>
      </c>
      <c r="I267" s="345">
        <f>IF($A267="","",IF(OR('Jun 2027'!T13=TRUE,'Jun 2027'!T13="x",'Jun 2027'!T13="X"),1,0))</f>
        <v/>
      </c>
      <c r="J267" s="345">
        <f>IF($A267="","",IF(OR('Jun 2027'!T14=TRUE,'Jun 2027'!T14="x",'Jun 2027'!T14="X"),1,0))</f>
        <v/>
      </c>
      <c r="K267" s="345">
        <f>IF($A267="","",IF(OR('Jun 2027'!T15=TRUE,'Jun 2027'!T15="x",'Jun 2027'!T15="X"),1,0))</f>
        <v/>
      </c>
      <c r="L267" s="345">
        <f>IF($A267="","",IF(OR('Jun 2027'!T16=TRUE,'Jun 2027'!T16="x",'Jun 2027'!T16="X"),1,0))</f>
        <v/>
      </c>
      <c r="M267" s="345">
        <f>IF($A267="","",IF(OR('Jun 2027'!T17=TRUE,'Jun 2027'!T17="x",'Jun 2027'!T17="X"),1,0))</f>
        <v/>
      </c>
      <c r="N267" s="345">
        <f>IF($A267="","",IF(OR('Jun 2027'!T18=TRUE,'Jun 2027'!T18="x",'Jun 2027'!T18="X"),1,0))</f>
        <v/>
      </c>
      <c r="O267" s="345">
        <f>IF($A267="","",IF(OR('Jun 2027'!T20=TRUE,'Jun 2027'!T20="x",'Jun 2027'!T20="X"),1,0))</f>
        <v/>
      </c>
      <c r="P267" s="345">
        <f>IF($A267="","",IF(OR('Jun 2027'!T21=TRUE,'Jun 2027'!T21="x",'Jun 2027'!T21="X"),1,0))</f>
        <v/>
      </c>
      <c r="Q267" s="345">
        <f>IF($A267="","",IF(OR('Jun 2027'!T22=TRUE,'Jun 2027'!T22="x",'Jun 2027'!T22="X"),1,0))</f>
        <v/>
      </c>
      <c r="R267" s="345">
        <f>IF($A267="","",IF(OR('Jun 2027'!T23=TRUE,'Jun 2027'!T23="x",'Jun 2027'!T23="X"),1,0))</f>
        <v/>
      </c>
      <c r="S267" s="345">
        <f>IF($A267="","",IF(OR('Jun 2027'!T24=TRUE,'Jun 2027'!T24="x",'Jun 2027'!T24="X"),1,0))</f>
        <v/>
      </c>
      <c r="T267" s="345">
        <f>IF($A267="","",IF(OR('Jun 2027'!T25=TRUE,'Jun 2027'!T25="x",'Jun 2027'!T25="X"),1,0))</f>
        <v/>
      </c>
      <c r="U267" s="345">
        <f>IF($A267="","",IF(OR('Jun 2027'!T26=TRUE,'Jun 2027'!T26="x",'Jun 2027'!T26="X"),1,0))</f>
        <v/>
      </c>
      <c r="V267" s="345">
        <f>IF($A267="","",IF(OR('Jun 2027'!T27=TRUE,'Jun 2027'!T27="x",'Jun 2027'!T27="X"),1,0))</f>
        <v/>
      </c>
      <c r="W267" s="345">
        <f>IF($A267="","",IF(OR('Jun 2027'!T28=TRUE,'Jun 2027'!T28="x",'Jun 2027'!T28="X"),1,0))</f>
        <v/>
      </c>
      <c r="X267" s="345">
        <f>IF($A267="","",IF(OR('Jun 2027'!T29=TRUE,'Jun 2027'!T29="x",'Jun 2027'!T29="X"),1,0))</f>
        <v/>
      </c>
      <c r="Y267" s="345">
        <f>IF($A267="","",IF(OR('Jun 2027'!T30=TRUE,'Jun 2027'!T30="x",'Jun 2027'!T30="X"),1,0))</f>
        <v/>
      </c>
      <c r="Z267" s="345">
        <f>IF($A267="","",IF(OR('Jun 2027'!T31=TRUE,'Jun 2027'!T31="x",'Jun 2027'!T31="X"),1,0))</f>
        <v/>
      </c>
      <c r="AA267" s="345">
        <f>IF($A267="","",IF(OR('Jun 2027'!T32=TRUE,'Jun 2027'!T32="x",'Jun 2027'!T32="X"),1,0))</f>
        <v/>
      </c>
      <c r="AB267" s="345">
        <f>IF($A267="","",IF(OR('Jun 2027'!T34=TRUE,'Jun 2027'!T34="x",'Jun 2027'!T34="X"),1,0))</f>
        <v/>
      </c>
      <c r="AC267" s="345">
        <f>IF($A267="","",IF(OR('Jun 2027'!T35=TRUE,'Jun 2027'!T35="x",'Jun 2027'!T35="X"),1,0))</f>
        <v/>
      </c>
      <c r="AD267" s="345">
        <f>IF($A267="","",IF(OR('Jun 2027'!T36=TRUE,'Jun 2027'!T36="x",'Jun 2027'!T36="X"),1,0))</f>
        <v/>
      </c>
      <c r="AE267" s="345">
        <f>IF($A267="","",IF(OR('Jun 2027'!T37=TRUE,'Jun 2027'!T37="x",'Jun 2027'!T37="X"),1,0))</f>
        <v/>
      </c>
      <c r="AF267" s="345">
        <f>IF($A267="","",IF('Jun 2027'!T59="","",'Jun 2027'!T59))</f>
        <v/>
      </c>
      <c r="AG267" s="345">
        <f>IF($A267="","",IF('Jun 2027'!T60="","",'Jun 2027'!T60))</f>
        <v/>
      </c>
      <c r="AH267" s="345">
        <f>IF($A267="","",IF('Jun 2027'!T61="","",'Jun 2027'!T61))</f>
        <v/>
      </c>
      <c r="AI267" s="345">
        <f>IF($A267="","",IF('Jun 2027'!T62="","",'Jun 2027'!T62))</f>
        <v/>
      </c>
      <c r="AJ267" s="345">
        <f>IF($A267="","",IF('Jun 2027'!T63="","",'Jun 2027'!T63))</f>
        <v/>
      </c>
      <c r="AK267" s="345">
        <f>IF($A267="","",IF('Jun 2027'!T64="","",'Jun 2027'!T64))</f>
        <v/>
      </c>
      <c r="AL267" s="345">
        <f>IF($A267="","",IF('Jun 2027'!T65="","",'Jun 2027'!T65))</f>
        <v/>
      </c>
      <c r="AM267" s="345">
        <f>IF($A267="","",IF('Jun 2027'!T66="","",'Jun 2027'!T66))</f>
        <v/>
      </c>
      <c r="AN267" s="345">
        <f>IF($A267="","",IF('Jun 2027'!T67="","",'Jun 2027'!T67))</f>
        <v/>
      </c>
      <c r="AO267" s="345">
        <f>IF($A267="",0,IF(AND($A267&gt;=TrackStart,$A267&lt;=TODAY()),1,0))</f>
        <v/>
      </c>
      <c r="AP267" s="345">
        <f>IF($A267="",0,IF(SUM(F267:AE267)+COUNT(AF267:AN267)&gt;0,1,0))</f>
        <v/>
      </c>
      <c r="AQ267" s="345">
        <f>IF($A267="","",INT(($A267-TrackStart)/7)+1)</f>
        <v/>
      </c>
      <c r="AR267" s="345">
        <f>IF($A267="","",IF(AQ267&lt;=1,Steps1,IF(AQ267=2,Steps2,Steps3)))</f>
        <v/>
      </c>
      <c r="AS267" s="345">
        <f>IF($A267="",0,IF(ISNUMBER(SEARCH(TEXT(D267,"0"),WorkDays&amp;"")),1,0))</f>
        <v/>
      </c>
      <c r="AT267" s="345">
        <f>IF($A267="",0,IF(ISNUMBER(SEARCH(TEXT(D267,"0"),StrDays&amp;"")),1,0))</f>
        <v/>
      </c>
      <c r="AU267" s="345">
        <f>IF($A267="",0,IF(ISNUMBER(AK267),IF(AK267&gt;=SleepMin,1,0),N267))</f>
        <v/>
      </c>
      <c r="AV267" s="345">
        <f>IF($A267="",0,MAX(I267,O267,S267,AC267))</f>
        <v/>
      </c>
      <c r="AW267" s="345">
        <f>IF($A267="",0,IF(ISNUMBER(AH267),IF(AH267&gt;=ProtHit,1,0),0))</f>
        <v/>
      </c>
      <c r="AX267" s="345">
        <f>IF($A267="",0,IF(ISNUMBER(AI267),IF(AI267&gt;=WaterHit,1,0),0))</f>
        <v/>
      </c>
      <c r="AY267" s="345">
        <f>IF($A267="",0,IF(ISNUMBER(AG267),IF(AG267&gt;=AR267,1,0),0))</f>
        <v/>
      </c>
      <c r="AZ267" s="345">
        <f>IF($A267="",0,G267)</f>
        <v/>
      </c>
      <c r="BA267" s="345">
        <f>IF($A267="",0,J267)</f>
        <v/>
      </c>
      <c r="BB267" s="345">
        <f>IF($A267="",0,K267)</f>
        <v/>
      </c>
      <c r="BC267" s="345">
        <f>IF($A267="",0,MAX(L267,AE267))</f>
        <v/>
      </c>
      <c r="BD267" s="344">
        <f>IF($A267="","",(AU267+AV267+AW267+AX267+AY267+AZ267+BB267+BC267+IF(AS267=1,BA267,0))/(8+AS267))</f>
        <v/>
      </c>
      <c r="BE267" s="344">
        <f>IF($A267="","",(IF(ISNUMBER(AI267),IF(AI267&gt;=WaterMVD,1,0),0)+AV267+IF(ISNUMBER(AH267),IF(AH267&gt;=ProtMVD,1,0),0)+MAX(H267,AD267)+AZ267+BB267+AU267)/7)</f>
        <v/>
      </c>
      <c r="BF267" s="344">
        <f>IF(AO267=0,"",IF(E267="S","",IF(AND(AP267=0,$A267=TODAY()),"",IF(E267="M",BE267,BD267))))</f>
        <v/>
      </c>
      <c r="BG267" s="344">
        <f>IF(AO267=0,"",IFERROR(AVERAGEIFS(Data!$BF$4:$BF$375,Data!$A$4:$A$375,"&gt;"&amp;($A267-7),Data!$A$4:$A$375,"&lt;="&amp;$A267),""))</f>
        <v/>
      </c>
      <c r="BH267" s="344">
        <f>IF(AO267=0,"",IFERROR(AVERAGEIFS(Data!$BF$4:$BF$375,Data!$A$4:$A$375,"&gt;"&amp;($A267-30),Data!$A$4:$A$375,"&lt;="&amp;$A267),""))</f>
        <v/>
      </c>
      <c r="BI267" s="359">
        <f>IF($A267="","",IFERROR(AVERAGEIFS(Data!$AF$4:$AF$375,Data!$A$4:$A$375,"&gt;"&amp;($A267-7),Data!$A$4:$A$375,"&lt;="&amp;$A267,Data!$AF$4:$AF$375,"&gt;0"),""))</f>
        <v/>
      </c>
      <c r="BJ267" s="345">
        <f>IF($A267="","",F267+G267+H267+I267+J267+K267+L267+M267+N267-IF(AS267=1,0,J267))</f>
        <v/>
      </c>
      <c r="BK267" s="345">
        <f>IF($A267="","",8+AS267)</f>
        <v/>
      </c>
      <c r="BL267" s="345">
        <f>IF(ISNUMBER(BF267),BF267,NA())</f>
        <v/>
      </c>
      <c r="BM267" s="345">
        <f>IF(ISNUMBER(AF267),AF267,NA())</f>
        <v/>
      </c>
      <c r="BN267" s="345">
        <f>IF(ISNUMBER(BI267),BI267,NA())</f>
        <v/>
      </c>
      <c r="BO267" s="345">
        <f>IF(ISNUMBER(AL267),AL267,NA())</f>
        <v/>
      </c>
      <c r="BP267" s="345">
        <f>IF(ISNUMBER(AM267),AM267,NA())</f>
        <v/>
      </c>
      <c r="BQ267" s="345">
        <f>IF(ISNUMBER(AN267),AN267,NA())</f>
        <v/>
      </c>
    </row>
    <row r="268">
      <c r="A268" s="358">
        <f>IF('Jun 2027'!U7="","",'Jun 2027'!U7)</f>
        <v/>
      </c>
      <c r="B268" s="345" t="n">
        <v>9</v>
      </c>
      <c r="C268" s="345">
        <f>IF($A268="","",17)</f>
        <v/>
      </c>
      <c r="D268" s="345">
        <f>IF($A268="","",WEEKDAY($A268,2))</f>
        <v/>
      </c>
      <c r="E268" s="345">
        <f>IF($A268="","",UPPER(TRIM('Jun 2027'!U8)))</f>
        <v/>
      </c>
      <c r="F268" s="345">
        <f>IF($A268="","",IF(OR('Jun 2027'!U10=TRUE,'Jun 2027'!U10="x",'Jun 2027'!U10="X"),1,0))</f>
        <v/>
      </c>
      <c r="G268" s="345">
        <f>IF($A268="","",IF(OR('Jun 2027'!U11=TRUE,'Jun 2027'!U11="x",'Jun 2027'!U11="X"),1,0))</f>
        <v/>
      </c>
      <c r="H268" s="345">
        <f>IF($A268="","",IF(OR('Jun 2027'!U12=TRUE,'Jun 2027'!U12="x",'Jun 2027'!U12="X"),1,0))</f>
        <v/>
      </c>
      <c r="I268" s="345">
        <f>IF($A268="","",IF(OR('Jun 2027'!U13=TRUE,'Jun 2027'!U13="x",'Jun 2027'!U13="X"),1,0))</f>
        <v/>
      </c>
      <c r="J268" s="345">
        <f>IF($A268="","",IF(OR('Jun 2027'!U14=TRUE,'Jun 2027'!U14="x",'Jun 2027'!U14="X"),1,0))</f>
        <v/>
      </c>
      <c r="K268" s="345">
        <f>IF($A268="","",IF(OR('Jun 2027'!U15=TRUE,'Jun 2027'!U15="x",'Jun 2027'!U15="X"),1,0))</f>
        <v/>
      </c>
      <c r="L268" s="345">
        <f>IF($A268="","",IF(OR('Jun 2027'!U16=TRUE,'Jun 2027'!U16="x",'Jun 2027'!U16="X"),1,0))</f>
        <v/>
      </c>
      <c r="M268" s="345">
        <f>IF($A268="","",IF(OR('Jun 2027'!U17=TRUE,'Jun 2027'!U17="x",'Jun 2027'!U17="X"),1,0))</f>
        <v/>
      </c>
      <c r="N268" s="345">
        <f>IF($A268="","",IF(OR('Jun 2027'!U18=TRUE,'Jun 2027'!U18="x",'Jun 2027'!U18="X"),1,0))</f>
        <v/>
      </c>
      <c r="O268" s="345">
        <f>IF($A268="","",IF(OR('Jun 2027'!U20=TRUE,'Jun 2027'!U20="x",'Jun 2027'!U20="X"),1,0))</f>
        <v/>
      </c>
      <c r="P268" s="345">
        <f>IF($A268="","",IF(OR('Jun 2027'!U21=TRUE,'Jun 2027'!U21="x",'Jun 2027'!U21="X"),1,0))</f>
        <v/>
      </c>
      <c r="Q268" s="345">
        <f>IF($A268="","",IF(OR('Jun 2027'!U22=TRUE,'Jun 2027'!U22="x",'Jun 2027'!U22="X"),1,0))</f>
        <v/>
      </c>
      <c r="R268" s="345">
        <f>IF($A268="","",IF(OR('Jun 2027'!U23=TRUE,'Jun 2027'!U23="x",'Jun 2027'!U23="X"),1,0))</f>
        <v/>
      </c>
      <c r="S268" s="345">
        <f>IF($A268="","",IF(OR('Jun 2027'!U24=TRUE,'Jun 2027'!U24="x",'Jun 2027'!U24="X"),1,0))</f>
        <v/>
      </c>
      <c r="T268" s="345">
        <f>IF($A268="","",IF(OR('Jun 2027'!U25=TRUE,'Jun 2027'!U25="x",'Jun 2027'!U25="X"),1,0))</f>
        <v/>
      </c>
      <c r="U268" s="345">
        <f>IF($A268="","",IF(OR('Jun 2027'!U26=TRUE,'Jun 2027'!U26="x",'Jun 2027'!U26="X"),1,0))</f>
        <v/>
      </c>
      <c r="V268" s="345">
        <f>IF($A268="","",IF(OR('Jun 2027'!U27=TRUE,'Jun 2027'!U27="x",'Jun 2027'!U27="X"),1,0))</f>
        <v/>
      </c>
      <c r="W268" s="345">
        <f>IF($A268="","",IF(OR('Jun 2027'!U28=TRUE,'Jun 2027'!U28="x",'Jun 2027'!U28="X"),1,0))</f>
        <v/>
      </c>
      <c r="X268" s="345">
        <f>IF($A268="","",IF(OR('Jun 2027'!U29=TRUE,'Jun 2027'!U29="x",'Jun 2027'!U29="X"),1,0))</f>
        <v/>
      </c>
      <c r="Y268" s="345">
        <f>IF($A268="","",IF(OR('Jun 2027'!U30=TRUE,'Jun 2027'!U30="x",'Jun 2027'!U30="X"),1,0))</f>
        <v/>
      </c>
      <c r="Z268" s="345">
        <f>IF($A268="","",IF(OR('Jun 2027'!U31=TRUE,'Jun 2027'!U31="x",'Jun 2027'!U31="X"),1,0))</f>
        <v/>
      </c>
      <c r="AA268" s="345">
        <f>IF($A268="","",IF(OR('Jun 2027'!U32=TRUE,'Jun 2027'!U32="x",'Jun 2027'!U32="X"),1,0))</f>
        <v/>
      </c>
      <c r="AB268" s="345">
        <f>IF($A268="","",IF(OR('Jun 2027'!U34=TRUE,'Jun 2027'!U34="x",'Jun 2027'!U34="X"),1,0))</f>
        <v/>
      </c>
      <c r="AC268" s="345">
        <f>IF($A268="","",IF(OR('Jun 2027'!U35=TRUE,'Jun 2027'!U35="x",'Jun 2027'!U35="X"),1,0))</f>
        <v/>
      </c>
      <c r="AD268" s="345">
        <f>IF($A268="","",IF(OR('Jun 2027'!U36=TRUE,'Jun 2027'!U36="x",'Jun 2027'!U36="X"),1,0))</f>
        <v/>
      </c>
      <c r="AE268" s="345">
        <f>IF($A268="","",IF(OR('Jun 2027'!U37=TRUE,'Jun 2027'!U37="x",'Jun 2027'!U37="X"),1,0))</f>
        <v/>
      </c>
      <c r="AF268" s="345">
        <f>IF($A268="","",IF('Jun 2027'!U59="","",'Jun 2027'!U59))</f>
        <v/>
      </c>
      <c r="AG268" s="345">
        <f>IF($A268="","",IF('Jun 2027'!U60="","",'Jun 2027'!U60))</f>
        <v/>
      </c>
      <c r="AH268" s="345">
        <f>IF($A268="","",IF('Jun 2027'!U61="","",'Jun 2027'!U61))</f>
        <v/>
      </c>
      <c r="AI268" s="345">
        <f>IF($A268="","",IF('Jun 2027'!U62="","",'Jun 2027'!U62))</f>
        <v/>
      </c>
      <c r="AJ268" s="345">
        <f>IF($A268="","",IF('Jun 2027'!U63="","",'Jun 2027'!U63))</f>
        <v/>
      </c>
      <c r="AK268" s="345">
        <f>IF($A268="","",IF('Jun 2027'!U64="","",'Jun 2027'!U64))</f>
        <v/>
      </c>
      <c r="AL268" s="345">
        <f>IF($A268="","",IF('Jun 2027'!U65="","",'Jun 2027'!U65))</f>
        <v/>
      </c>
      <c r="AM268" s="345">
        <f>IF($A268="","",IF('Jun 2027'!U66="","",'Jun 2027'!U66))</f>
        <v/>
      </c>
      <c r="AN268" s="345">
        <f>IF($A268="","",IF('Jun 2027'!U67="","",'Jun 2027'!U67))</f>
        <v/>
      </c>
      <c r="AO268" s="345">
        <f>IF($A268="",0,IF(AND($A268&gt;=TrackStart,$A268&lt;=TODAY()),1,0))</f>
        <v/>
      </c>
      <c r="AP268" s="345">
        <f>IF($A268="",0,IF(SUM(F268:AE268)+COUNT(AF268:AN268)&gt;0,1,0))</f>
        <v/>
      </c>
      <c r="AQ268" s="345">
        <f>IF($A268="","",INT(($A268-TrackStart)/7)+1)</f>
        <v/>
      </c>
      <c r="AR268" s="345">
        <f>IF($A268="","",IF(AQ268&lt;=1,Steps1,IF(AQ268=2,Steps2,Steps3)))</f>
        <v/>
      </c>
      <c r="AS268" s="345">
        <f>IF($A268="",0,IF(ISNUMBER(SEARCH(TEXT(D268,"0"),WorkDays&amp;"")),1,0))</f>
        <v/>
      </c>
      <c r="AT268" s="345">
        <f>IF($A268="",0,IF(ISNUMBER(SEARCH(TEXT(D268,"0"),StrDays&amp;"")),1,0))</f>
        <v/>
      </c>
      <c r="AU268" s="345">
        <f>IF($A268="",0,IF(ISNUMBER(AK268),IF(AK268&gt;=SleepMin,1,0),N268))</f>
        <v/>
      </c>
      <c r="AV268" s="345">
        <f>IF($A268="",0,MAX(I268,O268,S268,AC268))</f>
        <v/>
      </c>
      <c r="AW268" s="345">
        <f>IF($A268="",0,IF(ISNUMBER(AH268),IF(AH268&gt;=ProtHit,1,0),0))</f>
        <v/>
      </c>
      <c r="AX268" s="345">
        <f>IF($A268="",0,IF(ISNUMBER(AI268),IF(AI268&gt;=WaterHit,1,0),0))</f>
        <v/>
      </c>
      <c r="AY268" s="345">
        <f>IF($A268="",0,IF(ISNUMBER(AG268),IF(AG268&gt;=AR268,1,0),0))</f>
        <v/>
      </c>
      <c r="AZ268" s="345">
        <f>IF($A268="",0,G268)</f>
        <v/>
      </c>
      <c r="BA268" s="345">
        <f>IF($A268="",0,J268)</f>
        <v/>
      </c>
      <c r="BB268" s="345">
        <f>IF($A268="",0,K268)</f>
        <v/>
      </c>
      <c r="BC268" s="345">
        <f>IF($A268="",0,MAX(L268,AE268))</f>
        <v/>
      </c>
      <c r="BD268" s="344">
        <f>IF($A268="","",(AU268+AV268+AW268+AX268+AY268+AZ268+BB268+BC268+IF(AS268=1,BA268,0))/(8+AS268))</f>
        <v/>
      </c>
      <c r="BE268" s="344">
        <f>IF($A268="","",(IF(ISNUMBER(AI268),IF(AI268&gt;=WaterMVD,1,0),0)+AV268+IF(ISNUMBER(AH268),IF(AH268&gt;=ProtMVD,1,0),0)+MAX(H268,AD268)+AZ268+BB268+AU268)/7)</f>
        <v/>
      </c>
      <c r="BF268" s="344">
        <f>IF(AO268=0,"",IF(E268="S","",IF(AND(AP268=0,$A268=TODAY()),"",IF(E268="M",BE268,BD268))))</f>
        <v/>
      </c>
      <c r="BG268" s="344">
        <f>IF(AO268=0,"",IFERROR(AVERAGEIFS(Data!$BF$4:$BF$375,Data!$A$4:$A$375,"&gt;"&amp;($A268-7),Data!$A$4:$A$375,"&lt;="&amp;$A268),""))</f>
        <v/>
      </c>
      <c r="BH268" s="344">
        <f>IF(AO268=0,"",IFERROR(AVERAGEIFS(Data!$BF$4:$BF$375,Data!$A$4:$A$375,"&gt;"&amp;($A268-30),Data!$A$4:$A$375,"&lt;="&amp;$A268),""))</f>
        <v/>
      </c>
      <c r="BI268" s="359">
        <f>IF($A268="","",IFERROR(AVERAGEIFS(Data!$AF$4:$AF$375,Data!$A$4:$A$375,"&gt;"&amp;($A268-7),Data!$A$4:$A$375,"&lt;="&amp;$A268,Data!$AF$4:$AF$375,"&gt;0"),""))</f>
        <v/>
      </c>
      <c r="BJ268" s="345">
        <f>IF($A268="","",F268+G268+H268+I268+J268+K268+L268+M268+N268-IF(AS268=1,0,J268))</f>
        <v/>
      </c>
      <c r="BK268" s="345">
        <f>IF($A268="","",8+AS268)</f>
        <v/>
      </c>
      <c r="BL268" s="345">
        <f>IF(ISNUMBER(BF268),BF268,NA())</f>
        <v/>
      </c>
      <c r="BM268" s="345">
        <f>IF(ISNUMBER(AF268),AF268,NA())</f>
        <v/>
      </c>
      <c r="BN268" s="345">
        <f>IF(ISNUMBER(BI268),BI268,NA())</f>
        <v/>
      </c>
      <c r="BO268" s="345">
        <f>IF(ISNUMBER(AL268),AL268,NA())</f>
        <v/>
      </c>
      <c r="BP268" s="345">
        <f>IF(ISNUMBER(AM268),AM268,NA())</f>
        <v/>
      </c>
      <c r="BQ268" s="345">
        <f>IF(ISNUMBER(AN268),AN268,NA())</f>
        <v/>
      </c>
    </row>
    <row r="269">
      <c r="A269" s="358">
        <f>IF('Jun 2027'!V7="","",'Jun 2027'!V7)</f>
        <v/>
      </c>
      <c r="B269" s="345" t="n">
        <v>9</v>
      </c>
      <c r="C269" s="345">
        <f>IF($A269="","",18)</f>
        <v/>
      </c>
      <c r="D269" s="345">
        <f>IF($A269="","",WEEKDAY($A269,2))</f>
        <v/>
      </c>
      <c r="E269" s="345">
        <f>IF($A269="","",UPPER(TRIM('Jun 2027'!V8)))</f>
        <v/>
      </c>
      <c r="F269" s="345">
        <f>IF($A269="","",IF(OR('Jun 2027'!V10=TRUE,'Jun 2027'!V10="x",'Jun 2027'!V10="X"),1,0))</f>
        <v/>
      </c>
      <c r="G269" s="345">
        <f>IF($A269="","",IF(OR('Jun 2027'!V11=TRUE,'Jun 2027'!V11="x",'Jun 2027'!V11="X"),1,0))</f>
        <v/>
      </c>
      <c r="H269" s="345">
        <f>IF($A269="","",IF(OR('Jun 2027'!V12=TRUE,'Jun 2027'!V12="x",'Jun 2027'!V12="X"),1,0))</f>
        <v/>
      </c>
      <c r="I269" s="345">
        <f>IF($A269="","",IF(OR('Jun 2027'!V13=TRUE,'Jun 2027'!V13="x",'Jun 2027'!V13="X"),1,0))</f>
        <v/>
      </c>
      <c r="J269" s="345">
        <f>IF($A269="","",IF(OR('Jun 2027'!V14=TRUE,'Jun 2027'!V14="x",'Jun 2027'!V14="X"),1,0))</f>
        <v/>
      </c>
      <c r="K269" s="345">
        <f>IF($A269="","",IF(OR('Jun 2027'!V15=TRUE,'Jun 2027'!V15="x",'Jun 2027'!V15="X"),1,0))</f>
        <v/>
      </c>
      <c r="L269" s="345">
        <f>IF($A269="","",IF(OR('Jun 2027'!V16=TRUE,'Jun 2027'!V16="x",'Jun 2027'!V16="X"),1,0))</f>
        <v/>
      </c>
      <c r="M269" s="345">
        <f>IF($A269="","",IF(OR('Jun 2027'!V17=TRUE,'Jun 2027'!V17="x",'Jun 2027'!V17="X"),1,0))</f>
        <v/>
      </c>
      <c r="N269" s="345">
        <f>IF($A269="","",IF(OR('Jun 2027'!V18=TRUE,'Jun 2027'!V18="x",'Jun 2027'!V18="X"),1,0))</f>
        <v/>
      </c>
      <c r="O269" s="345">
        <f>IF($A269="","",IF(OR('Jun 2027'!V20=TRUE,'Jun 2027'!V20="x",'Jun 2027'!V20="X"),1,0))</f>
        <v/>
      </c>
      <c r="P269" s="345">
        <f>IF($A269="","",IF(OR('Jun 2027'!V21=TRUE,'Jun 2027'!V21="x",'Jun 2027'!V21="X"),1,0))</f>
        <v/>
      </c>
      <c r="Q269" s="345">
        <f>IF($A269="","",IF(OR('Jun 2027'!V22=TRUE,'Jun 2027'!V22="x",'Jun 2027'!V22="X"),1,0))</f>
        <v/>
      </c>
      <c r="R269" s="345">
        <f>IF($A269="","",IF(OR('Jun 2027'!V23=TRUE,'Jun 2027'!V23="x",'Jun 2027'!V23="X"),1,0))</f>
        <v/>
      </c>
      <c r="S269" s="345">
        <f>IF($A269="","",IF(OR('Jun 2027'!V24=TRUE,'Jun 2027'!V24="x",'Jun 2027'!V24="X"),1,0))</f>
        <v/>
      </c>
      <c r="T269" s="345">
        <f>IF($A269="","",IF(OR('Jun 2027'!V25=TRUE,'Jun 2027'!V25="x",'Jun 2027'!V25="X"),1,0))</f>
        <v/>
      </c>
      <c r="U269" s="345">
        <f>IF($A269="","",IF(OR('Jun 2027'!V26=TRUE,'Jun 2027'!V26="x",'Jun 2027'!V26="X"),1,0))</f>
        <v/>
      </c>
      <c r="V269" s="345">
        <f>IF($A269="","",IF(OR('Jun 2027'!V27=TRUE,'Jun 2027'!V27="x",'Jun 2027'!V27="X"),1,0))</f>
        <v/>
      </c>
      <c r="W269" s="345">
        <f>IF($A269="","",IF(OR('Jun 2027'!V28=TRUE,'Jun 2027'!V28="x",'Jun 2027'!V28="X"),1,0))</f>
        <v/>
      </c>
      <c r="X269" s="345">
        <f>IF($A269="","",IF(OR('Jun 2027'!V29=TRUE,'Jun 2027'!V29="x",'Jun 2027'!V29="X"),1,0))</f>
        <v/>
      </c>
      <c r="Y269" s="345">
        <f>IF($A269="","",IF(OR('Jun 2027'!V30=TRUE,'Jun 2027'!V30="x",'Jun 2027'!V30="X"),1,0))</f>
        <v/>
      </c>
      <c r="Z269" s="345">
        <f>IF($A269="","",IF(OR('Jun 2027'!V31=TRUE,'Jun 2027'!V31="x",'Jun 2027'!V31="X"),1,0))</f>
        <v/>
      </c>
      <c r="AA269" s="345">
        <f>IF($A269="","",IF(OR('Jun 2027'!V32=TRUE,'Jun 2027'!V32="x",'Jun 2027'!V32="X"),1,0))</f>
        <v/>
      </c>
      <c r="AB269" s="345">
        <f>IF($A269="","",IF(OR('Jun 2027'!V34=TRUE,'Jun 2027'!V34="x",'Jun 2027'!V34="X"),1,0))</f>
        <v/>
      </c>
      <c r="AC269" s="345">
        <f>IF($A269="","",IF(OR('Jun 2027'!V35=TRUE,'Jun 2027'!V35="x",'Jun 2027'!V35="X"),1,0))</f>
        <v/>
      </c>
      <c r="AD269" s="345">
        <f>IF($A269="","",IF(OR('Jun 2027'!V36=TRUE,'Jun 2027'!V36="x",'Jun 2027'!V36="X"),1,0))</f>
        <v/>
      </c>
      <c r="AE269" s="345">
        <f>IF($A269="","",IF(OR('Jun 2027'!V37=TRUE,'Jun 2027'!V37="x",'Jun 2027'!V37="X"),1,0))</f>
        <v/>
      </c>
      <c r="AF269" s="345">
        <f>IF($A269="","",IF('Jun 2027'!V59="","",'Jun 2027'!V59))</f>
        <v/>
      </c>
      <c r="AG269" s="345">
        <f>IF($A269="","",IF('Jun 2027'!V60="","",'Jun 2027'!V60))</f>
        <v/>
      </c>
      <c r="AH269" s="345">
        <f>IF($A269="","",IF('Jun 2027'!V61="","",'Jun 2027'!V61))</f>
        <v/>
      </c>
      <c r="AI269" s="345">
        <f>IF($A269="","",IF('Jun 2027'!V62="","",'Jun 2027'!V62))</f>
        <v/>
      </c>
      <c r="AJ269" s="345">
        <f>IF($A269="","",IF('Jun 2027'!V63="","",'Jun 2027'!V63))</f>
        <v/>
      </c>
      <c r="AK269" s="345">
        <f>IF($A269="","",IF('Jun 2027'!V64="","",'Jun 2027'!V64))</f>
        <v/>
      </c>
      <c r="AL269" s="345">
        <f>IF($A269="","",IF('Jun 2027'!V65="","",'Jun 2027'!V65))</f>
        <v/>
      </c>
      <c r="AM269" s="345">
        <f>IF($A269="","",IF('Jun 2027'!V66="","",'Jun 2027'!V66))</f>
        <v/>
      </c>
      <c r="AN269" s="345">
        <f>IF($A269="","",IF('Jun 2027'!V67="","",'Jun 2027'!V67))</f>
        <v/>
      </c>
      <c r="AO269" s="345">
        <f>IF($A269="",0,IF(AND($A269&gt;=TrackStart,$A269&lt;=TODAY()),1,0))</f>
        <v/>
      </c>
      <c r="AP269" s="345">
        <f>IF($A269="",0,IF(SUM(F269:AE269)+COUNT(AF269:AN269)&gt;0,1,0))</f>
        <v/>
      </c>
      <c r="AQ269" s="345">
        <f>IF($A269="","",INT(($A269-TrackStart)/7)+1)</f>
        <v/>
      </c>
      <c r="AR269" s="345">
        <f>IF($A269="","",IF(AQ269&lt;=1,Steps1,IF(AQ269=2,Steps2,Steps3)))</f>
        <v/>
      </c>
      <c r="AS269" s="345">
        <f>IF($A269="",0,IF(ISNUMBER(SEARCH(TEXT(D269,"0"),WorkDays&amp;"")),1,0))</f>
        <v/>
      </c>
      <c r="AT269" s="345">
        <f>IF($A269="",0,IF(ISNUMBER(SEARCH(TEXT(D269,"0"),StrDays&amp;"")),1,0))</f>
        <v/>
      </c>
      <c r="AU269" s="345">
        <f>IF($A269="",0,IF(ISNUMBER(AK269),IF(AK269&gt;=SleepMin,1,0),N269))</f>
        <v/>
      </c>
      <c r="AV269" s="345">
        <f>IF($A269="",0,MAX(I269,O269,S269,AC269))</f>
        <v/>
      </c>
      <c r="AW269" s="345">
        <f>IF($A269="",0,IF(ISNUMBER(AH269),IF(AH269&gt;=ProtHit,1,0),0))</f>
        <v/>
      </c>
      <c r="AX269" s="345">
        <f>IF($A269="",0,IF(ISNUMBER(AI269),IF(AI269&gt;=WaterHit,1,0),0))</f>
        <v/>
      </c>
      <c r="AY269" s="345">
        <f>IF($A269="",0,IF(ISNUMBER(AG269),IF(AG269&gt;=AR269,1,0),0))</f>
        <v/>
      </c>
      <c r="AZ269" s="345">
        <f>IF($A269="",0,G269)</f>
        <v/>
      </c>
      <c r="BA269" s="345">
        <f>IF($A269="",0,J269)</f>
        <v/>
      </c>
      <c r="BB269" s="345">
        <f>IF($A269="",0,K269)</f>
        <v/>
      </c>
      <c r="BC269" s="345">
        <f>IF($A269="",0,MAX(L269,AE269))</f>
        <v/>
      </c>
      <c r="BD269" s="344">
        <f>IF($A269="","",(AU269+AV269+AW269+AX269+AY269+AZ269+BB269+BC269+IF(AS269=1,BA269,0))/(8+AS269))</f>
        <v/>
      </c>
      <c r="BE269" s="344">
        <f>IF($A269="","",(IF(ISNUMBER(AI269),IF(AI269&gt;=WaterMVD,1,0),0)+AV269+IF(ISNUMBER(AH269),IF(AH269&gt;=ProtMVD,1,0),0)+MAX(H269,AD269)+AZ269+BB269+AU269)/7)</f>
        <v/>
      </c>
      <c r="BF269" s="344">
        <f>IF(AO269=0,"",IF(E269="S","",IF(AND(AP269=0,$A269=TODAY()),"",IF(E269="M",BE269,BD269))))</f>
        <v/>
      </c>
      <c r="BG269" s="344">
        <f>IF(AO269=0,"",IFERROR(AVERAGEIFS(Data!$BF$4:$BF$375,Data!$A$4:$A$375,"&gt;"&amp;($A269-7),Data!$A$4:$A$375,"&lt;="&amp;$A269),""))</f>
        <v/>
      </c>
      <c r="BH269" s="344">
        <f>IF(AO269=0,"",IFERROR(AVERAGEIFS(Data!$BF$4:$BF$375,Data!$A$4:$A$375,"&gt;"&amp;($A269-30),Data!$A$4:$A$375,"&lt;="&amp;$A269),""))</f>
        <v/>
      </c>
      <c r="BI269" s="359">
        <f>IF($A269="","",IFERROR(AVERAGEIFS(Data!$AF$4:$AF$375,Data!$A$4:$A$375,"&gt;"&amp;($A269-7),Data!$A$4:$A$375,"&lt;="&amp;$A269,Data!$AF$4:$AF$375,"&gt;0"),""))</f>
        <v/>
      </c>
      <c r="BJ269" s="345">
        <f>IF($A269="","",F269+G269+H269+I269+J269+K269+L269+M269+N269-IF(AS269=1,0,J269))</f>
        <v/>
      </c>
      <c r="BK269" s="345">
        <f>IF($A269="","",8+AS269)</f>
        <v/>
      </c>
      <c r="BL269" s="345">
        <f>IF(ISNUMBER(BF269),BF269,NA())</f>
        <v/>
      </c>
      <c r="BM269" s="345">
        <f>IF(ISNUMBER(AF269),AF269,NA())</f>
        <v/>
      </c>
      <c r="BN269" s="345">
        <f>IF(ISNUMBER(BI269),BI269,NA())</f>
        <v/>
      </c>
      <c r="BO269" s="345">
        <f>IF(ISNUMBER(AL269),AL269,NA())</f>
        <v/>
      </c>
      <c r="BP269" s="345">
        <f>IF(ISNUMBER(AM269),AM269,NA())</f>
        <v/>
      </c>
      <c r="BQ269" s="345">
        <f>IF(ISNUMBER(AN269),AN269,NA())</f>
        <v/>
      </c>
    </row>
    <row r="270">
      <c r="A270" s="358">
        <f>IF('Jun 2027'!W7="","",'Jun 2027'!W7)</f>
        <v/>
      </c>
      <c r="B270" s="345" t="n">
        <v>9</v>
      </c>
      <c r="C270" s="345">
        <f>IF($A270="","",19)</f>
        <v/>
      </c>
      <c r="D270" s="345">
        <f>IF($A270="","",WEEKDAY($A270,2))</f>
        <v/>
      </c>
      <c r="E270" s="345">
        <f>IF($A270="","",UPPER(TRIM('Jun 2027'!W8)))</f>
        <v/>
      </c>
      <c r="F270" s="345">
        <f>IF($A270="","",IF(OR('Jun 2027'!W10=TRUE,'Jun 2027'!W10="x",'Jun 2027'!W10="X"),1,0))</f>
        <v/>
      </c>
      <c r="G270" s="345">
        <f>IF($A270="","",IF(OR('Jun 2027'!W11=TRUE,'Jun 2027'!W11="x",'Jun 2027'!W11="X"),1,0))</f>
        <v/>
      </c>
      <c r="H270" s="345">
        <f>IF($A270="","",IF(OR('Jun 2027'!W12=TRUE,'Jun 2027'!W12="x",'Jun 2027'!W12="X"),1,0))</f>
        <v/>
      </c>
      <c r="I270" s="345">
        <f>IF($A270="","",IF(OR('Jun 2027'!W13=TRUE,'Jun 2027'!W13="x",'Jun 2027'!W13="X"),1,0))</f>
        <v/>
      </c>
      <c r="J270" s="345">
        <f>IF($A270="","",IF(OR('Jun 2027'!W14=TRUE,'Jun 2027'!W14="x",'Jun 2027'!W14="X"),1,0))</f>
        <v/>
      </c>
      <c r="K270" s="345">
        <f>IF($A270="","",IF(OR('Jun 2027'!W15=TRUE,'Jun 2027'!W15="x",'Jun 2027'!W15="X"),1,0))</f>
        <v/>
      </c>
      <c r="L270" s="345">
        <f>IF($A270="","",IF(OR('Jun 2027'!W16=TRUE,'Jun 2027'!W16="x",'Jun 2027'!W16="X"),1,0))</f>
        <v/>
      </c>
      <c r="M270" s="345">
        <f>IF($A270="","",IF(OR('Jun 2027'!W17=TRUE,'Jun 2027'!W17="x",'Jun 2027'!W17="X"),1,0))</f>
        <v/>
      </c>
      <c r="N270" s="345">
        <f>IF($A270="","",IF(OR('Jun 2027'!W18=TRUE,'Jun 2027'!W18="x",'Jun 2027'!W18="X"),1,0))</f>
        <v/>
      </c>
      <c r="O270" s="345">
        <f>IF($A270="","",IF(OR('Jun 2027'!W20=TRUE,'Jun 2027'!W20="x",'Jun 2027'!W20="X"),1,0))</f>
        <v/>
      </c>
      <c r="P270" s="345">
        <f>IF($A270="","",IF(OR('Jun 2027'!W21=TRUE,'Jun 2027'!W21="x",'Jun 2027'!W21="X"),1,0))</f>
        <v/>
      </c>
      <c r="Q270" s="345">
        <f>IF($A270="","",IF(OR('Jun 2027'!W22=TRUE,'Jun 2027'!W22="x",'Jun 2027'!W22="X"),1,0))</f>
        <v/>
      </c>
      <c r="R270" s="345">
        <f>IF($A270="","",IF(OR('Jun 2027'!W23=TRUE,'Jun 2027'!W23="x",'Jun 2027'!W23="X"),1,0))</f>
        <v/>
      </c>
      <c r="S270" s="345">
        <f>IF($A270="","",IF(OR('Jun 2027'!W24=TRUE,'Jun 2027'!W24="x",'Jun 2027'!W24="X"),1,0))</f>
        <v/>
      </c>
      <c r="T270" s="345">
        <f>IF($A270="","",IF(OR('Jun 2027'!W25=TRUE,'Jun 2027'!W25="x",'Jun 2027'!W25="X"),1,0))</f>
        <v/>
      </c>
      <c r="U270" s="345">
        <f>IF($A270="","",IF(OR('Jun 2027'!W26=TRUE,'Jun 2027'!W26="x",'Jun 2027'!W26="X"),1,0))</f>
        <v/>
      </c>
      <c r="V270" s="345">
        <f>IF($A270="","",IF(OR('Jun 2027'!W27=TRUE,'Jun 2027'!W27="x",'Jun 2027'!W27="X"),1,0))</f>
        <v/>
      </c>
      <c r="W270" s="345">
        <f>IF($A270="","",IF(OR('Jun 2027'!W28=TRUE,'Jun 2027'!W28="x",'Jun 2027'!W28="X"),1,0))</f>
        <v/>
      </c>
      <c r="X270" s="345">
        <f>IF($A270="","",IF(OR('Jun 2027'!W29=TRUE,'Jun 2027'!W29="x",'Jun 2027'!W29="X"),1,0))</f>
        <v/>
      </c>
      <c r="Y270" s="345">
        <f>IF($A270="","",IF(OR('Jun 2027'!W30=TRUE,'Jun 2027'!W30="x",'Jun 2027'!W30="X"),1,0))</f>
        <v/>
      </c>
      <c r="Z270" s="345">
        <f>IF($A270="","",IF(OR('Jun 2027'!W31=TRUE,'Jun 2027'!W31="x",'Jun 2027'!W31="X"),1,0))</f>
        <v/>
      </c>
      <c r="AA270" s="345">
        <f>IF($A270="","",IF(OR('Jun 2027'!W32=TRUE,'Jun 2027'!W32="x",'Jun 2027'!W32="X"),1,0))</f>
        <v/>
      </c>
      <c r="AB270" s="345">
        <f>IF($A270="","",IF(OR('Jun 2027'!W34=TRUE,'Jun 2027'!W34="x",'Jun 2027'!W34="X"),1,0))</f>
        <v/>
      </c>
      <c r="AC270" s="345">
        <f>IF($A270="","",IF(OR('Jun 2027'!W35=TRUE,'Jun 2027'!W35="x",'Jun 2027'!W35="X"),1,0))</f>
        <v/>
      </c>
      <c r="AD270" s="345">
        <f>IF($A270="","",IF(OR('Jun 2027'!W36=TRUE,'Jun 2027'!W36="x",'Jun 2027'!W36="X"),1,0))</f>
        <v/>
      </c>
      <c r="AE270" s="345">
        <f>IF($A270="","",IF(OR('Jun 2027'!W37=TRUE,'Jun 2027'!W37="x",'Jun 2027'!W37="X"),1,0))</f>
        <v/>
      </c>
      <c r="AF270" s="345">
        <f>IF($A270="","",IF('Jun 2027'!W59="","",'Jun 2027'!W59))</f>
        <v/>
      </c>
      <c r="AG270" s="345">
        <f>IF($A270="","",IF('Jun 2027'!W60="","",'Jun 2027'!W60))</f>
        <v/>
      </c>
      <c r="AH270" s="345">
        <f>IF($A270="","",IF('Jun 2027'!W61="","",'Jun 2027'!W61))</f>
        <v/>
      </c>
      <c r="AI270" s="345">
        <f>IF($A270="","",IF('Jun 2027'!W62="","",'Jun 2027'!W62))</f>
        <v/>
      </c>
      <c r="AJ270" s="345">
        <f>IF($A270="","",IF('Jun 2027'!W63="","",'Jun 2027'!W63))</f>
        <v/>
      </c>
      <c r="AK270" s="345">
        <f>IF($A270="","",IF('Jun 2027'!W64="","",'Jun 2027'!W64))</f>
        <v/>
      </c>
      <c r="AL270" s="345">
        <f>IF($A270="","",IF('Jun 2027'!W65="","",'Jun 2027'!W65))</f>
        <v/>
      </c>
      <c r="AM270" s="345">
        <f>IF($A270="","",IF('Jun 2027'!W66="","",'Jun 2027'!W66))</f>
        <v/>
      </c>
      <c r="AN270" s="345">
        <f>IF($A270="","",IF('Jun 2027'!W67="","",'Jun 2027'!W67))</f>
        <v/>
      </c>
      <c r="AO270" s="345">
        <f>IF($A270="",0,IF(AND($A270&gt;=TrackStart,$A270&lt;=TODAY()),1,0))</f>
        <v/>
      </c>
      <c r="AP270" s="345">
        <f>IF($A270="",0,IF(SUM(F270:AE270)+COUNT(AF270:AN270)&gt;0,1,0))</f>
        <v/>
      </c>
      <c r="AQ270" s="345">
        <f>IF($A270="","",INT(($A270-TrackStart)/7)+1)</f>
        <v/>
      </c>
      <c r="AR270" s="345">
        <f>IF($A270="","",IF(AQ270&lt;=1,Steps1,IF(AQ270=2,Steps2,Steps3)))</f>
        <v/>
      </c>
      <c r="AS270" s="345">
        <f>IF($A270="",0,IF(ISNUMBER(SEARCH(TEXT(D270,"0"),WorkDays&amp;"")),1,0))</f>
        <v/>
      </c>
      <c r="AT270" s="345">
        <f>IF($A270="",0,IF(ISNUMBER(SEARCH(TEXT(D270,"0"),StrDays&amp;"")),1,0))</f>
        <v/>
      </c>
      <c r="AU270" s="345">
        <f>IF($A270="",0,IF(ISNUMBER(AK270),IF(AK270&gt;=SleepMin,1,0),N270))</f>
        <v/>
      </c>
      <c r="AV270" s="345">
        <f>IF($A270="",0,MAX(I270,O270,S270,AC270))</f>
        <v/>
      </c>
      <c r="AW270" s="345">
        <f>IF($A270="",0,IF(ISNUMBER(AH270),IF(AH270&gt;=ProtHit,1,0),0))</f>
        <v/>
      </c>
      <c r="AX270" s="345">
        <f>IF($A270="",0,IF(ISNUMBER(AI270),IF(AI270&gt;=WaterHit,1,0),0))</f>
        <v/>
      </c>
      <c r="AY270" s="345">
        <f>IF($A270="",0,IF(ISNUMBER(AG270),IF(AG270&gt;=AR270,1,0),0))</f>
        <v/>
      </c>
      <c r="AZ270" s="345">
        <f>IF($A270="",0,G270)</f>
        <v/>
      </c>
      <c r="BA270" s="345">
        <f>IF($A270="",0,J270)</f>
        <v/>
      </c>
      <c r="BB270" s="345">
        <f>IF($A270="",0,K270)</f>
        <v/>
      </c>
      <c r="BC270" s="345">
        <f>IF($A270="",0,MAX(L270,AE270))</f>
        <v/>
      </c>
      <c r="BD270" s="344">
        <f>IF($A270="","",(AU270+AV270+AW270+AX270+AY270+AZ270+BB270+BC270+IF(AS270=1,BA270,0))/(8+AS270))</f>
        <v/>
      </c>
      <c r="BE270" s="344">
        <f>IF($A270="","",(IF(ISNUMBER(AI270),IF(AI270&gt;=WaterMVD,1,0),0)+AV270+IF(ISNUMBER(AH270),IF(AH270&gt;=ProtMVD,1,0),0)+MAX(H270,AD270)+AZ270+BB270+AU270)/7)</f>
        <v/>
      </c>
      <c r="BF270" s="344">
        <f>IF(AO270=0,"",IF(E270="S","",IF(AND(AP270=0,$A270=TODAY()),"",IF(E270="M",BE270,BD270))))</f>
        <v/>
      </c>
      <c r="BG270" s="344">
        <f>IF(AO270=0,"",IFERROR(AVERAGEIFS(Data!$BF$4:$BF$375,Data!$A$4:$A$375,"&gt;"&amp;($A270-7),Data!$A$4:$A$375,"&lt;="&amp;$A270),""))</f>
        <v/>
      </c>
      <c r="BH270" s="344">
        <f>IF(AO270=0,"",IFERROR(AVERAGEIFS(Data!$BF$4:$BF$375,Data!$A$4:$A$375,"&gt;"&amp;($A270-30),Data!$A$4:$A$375,"&lt;="&amp;$A270),""))</f>
        <v/>
      </c>
      <c r="BI270" s="359">
        <f>IF($A270="","",IFERROR(AVERAGEIFS(Data!$AF$4:$AF$375,Data!$A$4:$A$375,"&gt;"&amp;($A270-7),Data!$A$4:$A$375,"&lt;="&amp;$A270,Data!$AF$4:$AF$375,"&gt;0"),""))</f>
        <v/>
      </c>
      <c r="BJ270" s="345">
        <f>IF($A270="","",F270+G270+H270+I270+J270+K270+L270+M270+N270-IF(AS270=1,0,J270))</f>
        <v/>
      </c>
      <c r="BK270" s="345">
        <f>IF($A270="","",8+AS270)</f>
        <v/>
      </c>
      <c r="BL270" s="345">
        <f>IF(ISNUMBER(BF270),BF270,NA())</f>
        <v/>
      </c>
      <c r="BM270" s="345">
        <f>IF(ISNUMBER(AF270),AF270,NA())</f>
        <v/>
      </c>
      <c r="BN270" s="345">
        <f>IF(ISNUMBER(BI270),BI270,NA())</f>
        <v/>
      </c>
      <c r="BO270" s="345">
        <f>IF(ISNUMBER(AL270),AL270,NA())</f>
        <v/>
      </c>
      <c r="BP270" s="345">
        <f>IF(ISNUMBER(AM270),AM270,NA())</f>
        <v/>
      </c>
      <c r="BQ270" s="345">
        <f>IF(ISNUMBER(AN270),AN270,NA())</f>
        <v/>
      </c>
    </row>
    <row r="271">
      <c r="A271" s="358">
        <f>IF('Jun 2027'!X7="","",'Jun 2027'!X7)</f>
        <v/>
      </c>
      <c r="B271" s="345" t="n">
        <v>9</v>
      </c>
      <c r="C271" s="345">
        <f>IF($A271="","",20)</f>
        <v/>
      </c>
      <c r="D271" s="345">
        <f>IF($A271="","",WEEKDAY($A271,2))</f>
        <v/>
      </c>
      <c r="E271" s="345">
        <f>IF($A271="","",UPPER(TRIM('Jun 2027'!X8)))</f>
        <v/>
      </c>
      <c r="F271" s="345">
        <f>IF($A271="","",IF(OR('Jun 2027'!X10=TRUE,'Jun 2027'!X10="x",'Jun 2027'!X10="X"),1,0))</f>
        <v/>
      </c>
      <c r="G271" s="345">
        <f>IF($A271="","",IF(OR('Jun 2027'!X11=TRUE,'Jun 2027'!X11="x",'Jun 2027'!X11="X"),1,0))</f>
        <v/>
      </c>
      <c r="H271" s="345">
        <f>IF($A271="","",IF(OR('Jun 2027'!X12=TRUE,'Jun 2027'!X12="x",'Jun 2027'!X12="X"),1,0))</f>
        <v/>
      </c>
      <c r="I271" s="345">
        <f>IF($A271="","",IF(OR('Jun 2027'!X13=TRUE,'Jun 2027'!X13="x",'Jun 2027'!X13="X"),1,0))</f>
        <v/>
      </c>
      <c r="J271" s="345">
        <f>IF($A271="","",IF(OR('Jun 2027'!X14=TRUE,'Jun 2027'!X14="x",'Jun 2027'!X14="X"),1,0))</f>
        <v/>
      </c>
      <c r="K271" s="345">
        <f>IF($A271="","",IF(OR('Jun 2027'!X15=TRUE,'Jun 2027'!X15="x",'Jun 2027'!X15="X"),1,0))</f>
        <v/>
      </c>
      <c r="L271" s="345">
        <f>IF($A271="","",IF(OR('Jun 2027'!X16=TRUE,'Jun 2027'!X16="x",'Jun 2027'!X16="X"),1,0))</f>
        <v/>
      </c>
      <c r="M271" s="345">
        <f>IF($A271="","",IF(OR('Jun 2027'!X17=TRUE,'Jun 2027'!X17="x",'Jun 2027'!X17="X"),1,0))</f>
        <v/>
      </c>
      <c r="N271" s="345">
        <f>IF($A271="","",IF(OR('Jun 2027'!X18=TRUE,'Jun 2027'!X18="x",'Jun 2027'!X18="X"),1,0))</f>
        <v/>
      </c>
      <c r="O271" s="345">
        <f>IF($A271="","",IF(OR('Jun 2027'!X20=TRUE,'Jun 2027'!X20="x",'Jun 2027'!X20="X"),1,0))</f>
        <v/>
      </c>
      <c r="P271" s="345">
        <f>IF($A271="","",IF(OR('Jun 2027'!X21=TRUE,'Jun 2027'!X21="x",'Jun 2027'!X21="X"),1,0))</f>
        <v/>
      </c>
      <c r="Q271" s="345">
        <f>IF($A271="","",IF(OR('Jun 2027'!X22=TRUE,'Jun 2027'!X22="x",'Jun 2027'!X22="X"),1,0))</f>
        <v/>
      </c>
      <c r="R271" s="345">
        <f>IF($A271="","",IF(OR('Jun 2027'!X23=TRUE,'Jun 2027'!X23="x",'Jun 2027'!X23="X"),1,0))</f>
        <v/>
      </c>
      <c r="S271" s="345">
        <f>IF($A271="","",IF(OR('Jun 2027'!X24=TRUE,'Jun 2027'!X24="x",'Jun 2027'!X24="X"),1,0))</f>
        <v/>
      </c>
      <c r="T271" s="345">
        <f>IF($A271="","",IF(OR('Jun 2027'!X25=TRUE,'Jun 2027'!X25="x",'Jun 2027'!X25="X"),1,0))</f>
        <v/>
      </c>
      <c r="U271" s="345">
        <f>IF($A271="","",IF(OR('Jun 2027'!X26=TRUE,'Jun 2027'!X26="x",'Jun 2027'!X26="X"),1,0))</f>
        <v/>
      </c>
      <c r="V271" s="345">
        <f>IF($A271="","",IF(OR('Jun 2027'!X27=TRUE,'Jun 2027'!X27="x",'Jun 2027'!X27="X"),1,0))</f>
        <v/>
      </c>
      <c r="W271" s="345">
        <f>IF($A271="","",IF(OR('Jun 2027'!X28=TRUE,'Jun 2027'!X28="x",'Jun 2027'!X28="X"),1,0))</f>
        <v/>
      </c>
      <c r="X271" s="345">
        <f>IF($A271="","",IF(OR('Jun 2027'!X29=TRUE,'Jun 2027'!X29="x",'Jun 2027'!X29="X"),1,0))</f>
        <v/>
      </c>
      <c r="Y271" s="345">
        <f>IF($A271="","",IF(OR('Jun 2027'!X30=TRUE,'Jun 2027'!X30="x",'Jun 2027'!X30="X"),1,0))</f>
        <v/>
      </c>
      <c r="Z271" s="345">
        <f>IF($A271="","",IF(OR('Jun 2027'!X31=TRUE,'Jun 2027'!X31="x",'Jun 2027'!X31="X"),1,0))</f>
        <v/>
      </c>
      <c r="AA271" s="345">
        <f>IF($A271="","",IF(OR('Jun 2027'!X32=TRUE,'Jun 2027'!X32="x",'Jun 2027'!X32="X"),1,0))</f>
        <v/>
      </c>
      <c r="AB271" s="345">
        <f>IF($A271="","",IF(OR('Jun 2027'!X34=TRUE,'Jun 2027'!X34="x",'Jun 2027'!X34="X"),1,0))</f>
        <v/>
      </c>
      <c r="AC271" s="345">
        <f>IF($A271="","",IF(OR('Jun 2027'!X35=TRUE,'Jun 2027'!X35="x",'Jun 2027'!X35="X"),1,0))</f>
        <v/>
      </c>
      <c r="AD271" s="345">
        <f>IF($A271="","",IF(OR('Jun 2027'!X36=TRUE,'Jun 2027'!X36="x",'Jun 2027'!X36="X"),1,0))</f>
        <v/>
      </c>
      <c r="AE271" s="345">
        <f>IF($A271="","",IF(OR('Jun 2027'!X37=TRUE,'Jun 2027'!X37="x",'Jun 2027'!X37="X"),1,0))</f>
        <v/>
      </c>
      <c r="AF271" s="345">
        <f>IF($A271="","",IF('Jun 2027'!X59="","",'Jun 2027'!X59))</f>
        <v/>
      </c>
      <c r="AG271" s="345">
        <f>IF($A271="","",IF('Jun 2027'!X60="","",'Jun 2027'!X60))</f>
        <v/>
      </c>
      <c r="AH271" s="345">
        <f>IF($A271="","",IF('Jun 2027'!X61="","",'Jun 2027'!X61))</f>
        <v/>
      </c>
      <c r="AI271" s="345">
        <f>IF($A271="","",IF('Jun 2027'!X62="","",'Jun 2027'!X62))</f>
        <v/>
      </c>
      <c r="AJ271" s="345">
        <f>IF($A271="","",IF('Jun 2027'!X63="","",'Jun 2027'!X63))</f>
        <v/>
      </c>
      <c r="AK271" s="345">
        <f>IF($A271="","",IF('Jun 2027'!X64="","",'Jun 2027'!X64))</f>
        <v/>
      </c>
      <c r="AL271" s="345">
        <f>IF($A271="","",IF('Jun 2027'!X65="","",'Jun 2027'!X65))</f>
        <v/>
      </c>
      <c r="AM271" s="345">
        <f>IF($A271="","",IF('Jun 2027'!X66="","",'Jun 2027'!X66))</f>
        <v/>
      </c>
      <c r="AN271" s="345">
        <f>IF($A271="","",IF('Jun 2027'!X67="","",'Jun 2027'!X67))</f>
        <v/>
      </c>
      <c r="AO271" s="345">
        <f>IF($A271="",0,IF(AND($A271&gt;=TrackStart,$A271&lt;=TODAY()),1,0))</f>
        <v/>
      </c>
      <c r="AP271" s="345">
        <f>IF($A271="",0,IF(SUM(F271:AE271)+COUNT(AF271:AN271)&gt;0,1,0))</f>
        <v/>
      </c>
      <c r="AQ271" s="345">
        <f>IF($A271="","",INT(($A271-TrackStart)/7)+1)</f>
        <v/>
      </c>
      <c r="AR271" s="345">
        <f>IF($A271="","",IF(AQ271&lt;=1,Steps1,IF(AQ271=2,Steps2,Steps3)))</f>
        <v/>
      </c>
      <c r="AS271" s="345">
        <f>IF($A271="",0,IF(ISNUMBER(SEARCH(TEXT(D271,"0"),WorkDays&amp;"")),1,0))</f>
        <v/>
      </c>
      <c r="AT271" s="345">
        <f>IF($A271="",0,IF(ISNUMBER(SEARCH(TEXT(D271,"0"),StrDays&amp;"")),1,0))</f>
        <v/>
      </c>
      <c r="AU271" s="345">
        <f>IF($A271="",0,IF(ISNUMBER(AK271),IF(AK271&gt;=SleepMin,1,0),N271))</f>
        <v/>
      </c>
      <c r="AV271" s="345">
        <f>IF($A271="",0,MAX(I271,O271,S271,AC271))</f>
        <v/>
      </c>
      <c r="AW271" s="345">
        <f>IF($A271="",0,IF(ISNUMBER(AH271),IF(AH271&gt;=ProtHit,1,0),0))</f>
        <v/>
      </c>
      <c r="AX271" s="345">
        <f>IF($A271="",0,IF(ISNUMBER(AI271),IF(AI271&gt;=WaterHit,1,0),0))</f>
        <v/>
      </c>
      <c r="AY271" s="345">
        <f>IF($A271="",0,IF(ISNUMBER(AG271),IF(AG271&gt;=AR271,1,0),0))</f>
        <v/>
      </c>
      <c r="AZ271" s="345">
        <f>IF($A271="",0,G271)</f>
        <v/>
      </c>
      <c r="BA271" s="345">
        <f>IF($A271="",0,J271)</f>
        <v/>
      </c>
      <c r="BB271" s="345">
        <f>IF($A271="",0,K271)</f>
        <v/>
      </c>
      <c r="BC271" s="345">
        <f>IF($A271="",0,MAX(L271,AE271))</f>
        <v/>
      </c>
      <c r="BD271" s="344">
        <f>IF($A271="","",(AU271+AV271+AW271+AX271+AY271+AZ271+BB271+BC271+IF(AS271=1,BA271,0))/(8+AS271))</f>
        <v/>
      </c>
      <c r="BE271" s="344">
        <f>IF($A271="","",(IF(ISNUMBER(AI271),IF(AI271&gt;=WaterMVD,1,0),0)+AV271+IF(ISNUMBER(AH271),IF(AH271&gt;=ProtMVD,1,0),0)+MAX(H271,AD271)+AZ271+BB271+AU271)/7)</f>
        <v/>
      </c>
      <c r="BF271" s="344">
        <f>IF(AO271=0,"",IF(E271="S","",IF(AND(AP271=0,$A271=TODAY()),"",IF(E271="M",BE271,BD271))))</f>
        <v/>
      </c>
      <c r="BG271" s="344">
        <f>IF(AO271=0,"",IFERROR(AVERAGEIFS(Data!$BF$4:$BF$375,Data!$A$4:$A$375,"&gt;"&amp;($A271-7),Data!$A$4:$A$375,"&lt;="&amp;$A271),""))</f>
        <v/>
      </c>
      <c r="BH271" s="344">
        <f>IF(AO271=0,"",IFERROR(AVERAGEIFS(Data!$BF$4:$BF$375,Data!$A$4:$A$375,"&gt;"&amp;($A271-30),Data!$A$4:$A$375,"&lt;="&amp;$A271),""))</f>
        <v/>
      </c>
      <c r="BI271" s="359">
        <f>IF($A271="","",IFERROR(AVERAGEIFS(Data!$AF$4:$AF$375,Data!$A$4:$A$375,"&gt;"&amp;($A271-7),Data!$A$4:$A$375,"&lt;="&amp;$A271,Data!$AF$4:$AF$375,"&gt;0"),""))</f>
        <v/>
      </c>
      <c r="BJ271" s="345">
        <f>IF($A271="","",F271+G271+H271+I271+J271+K271+L271+M271+N271-IF(AS271=1,0,J271))</f>
        <v/>
      </c>
      <c r="BK271" s="345">
        <f>IF($A271="","",8+AS271)</f>
        <v/>
      </c>
      <c r="BL271" s="345">
        <f>IF(ISNUMBER(BF271),BF271,NA())</f>
        <v/>
      </c>
      <c r="BM271" s="345">
        <f>IF(ISNUMBER(AF271),AF271,NA())</f>
        <v/>
      </c>
      <c r="BN271" s="345">
        <f>IF(ISNUMBER(BI271),BI271,NA())</f>
        <v/>
      </c>
      <c r="BO271" s="345">
        <f>IF(ISNUMBER(AL271),AL271,NA())</f>
        <v/>
      </c>
      <c r="BP271" s="345">
        <f>IF(ISNUMBER(AM271),AM271,NA())</f>
        <v/>
      </c>
      <c r="BQ271" s="345">
        <f>IF(ISNUMBER(AN271),AN271,NA())</f>
        <v/>
      </c>
    </row>
    <row r="272">
      <c r="A272" s="358">
        <f>IF('Jun 2027'!Y7="","",'Jun 2027'!Y7)</f>
        <v/>
      </c>
      <c r="B272" s="345" t="n">
        <v>9</v>
      </c>
      <c r="C272" s="345">
        <f>IF($A272="","",21)</f>
        <v/>
      </c>
      <c r="D272" s="345">
        <f>IF($A272="","",WEEKDAY($A272,2))</f>
        <v/>
      </c>
      <c r="E272" s="345">
        <f>IF($A272="","",UPPER(TRIM('Jun 2027'!Y8)))</f>
        <v/>
      </c>
      <c r="F272" s="345">
        <f>IF($A272="","",IF(OR('Jun 2027'!Y10=TRUE,'Jun 2027'!Y10="x",'Jun 2027'!Y10="X"),1,0))</f>
        <v/>
      </c>
      <c r="G272" s="345">
        <f>IF($A272="","",IF(OR('Jun 2027'!Y11=TRUE,'Jun 2027'!Y11="x",'Jun 2027'!Y11="X"),1,0))</f>
        <v/>
      </c>
      <c r="H272" s="345">
        <f>IF($A272="","",IF(OR('Jun 2027'!Y12=TRUE,'Jun 2027'!Y12="x",'Jun 2027'!Y12="X"),1,0))</f>
        <v/>
      </c>
      <c r="I272" s="345">
        <f>IF($A272="","",IF(OR('Jun 2027'!Y13=TRUE,'Jun 2027'!Y13="x",'Jun 2027'!Y13="X"),1,0))</f>
        <v/>
      </c>
      <c r="J272" s="345">
        <f>IF($A272="","",IF(OR('Jun 2027'!Y14=TRUE,'Jun 2027'!Y14="x",'Jun 2027'!Y14="X"),1,0))</f>
        <v/>
      </c>
      <c r="K272" s="345">
        <f>IF($A272="","",IF(OR('Jun 2027'!Y15=TRUE,'Jun 2027'!Y15="x",'Jun 2027'!Y15="X"),1,0))</f>
        <v/>
      </c>
      <c r="L272" s="345">
        <f>IF($A272="","",IF(OR('Jun 2027'!Y16=TRUE,'Jun 2027'!Y16="x",'Jun 2027'!Y16="X"),1,0))</f>
        <v/>
      </c>
      <c r="M272" s="345">
        <f>IF($A272="","",IF(OR('Jun 2027'!Y17=TRUE,'Jun 2027'!Y17="x",'Jun 2027'!Y17="X"),1,0))</f>
        <v/>
      </c>
      <c r="N272" s="345">
        <f>IF($A272="","",IF(OR('Jun 2027'!Y18=TRUE,'Jun 2027'!Y18="x",'Jun 2027'!Y18="X"),1,0))</f>
        <v/>
      </c>
      <c r="O272" s="345">
        <f>IF($A272="","",IF(OR('Jun 2027'!Y20=TRUE,'Jun 2027'!Y20="x",'Jun 2027'!Y20="X"),1,0))</f>
        <v/>
      </c>
      <c r="P272" s="345">
        <f>IF($A272="","",IF(OR('Jun 2027'!Y21=TRUE,'Jun 2027'!Y21="x",'Jun 2027'!Y21="X"),1,0))</f>
        <v/>
      </c>
      <c r="Q272" s="345">
        <f>IF($A272="","",IF(OR('Jun 2027'!Y22=TRUE,'Jun 2027'!Y22="x",'Jun 2027'!Y22="X"),1,0))</f>
        <v/>
      </c>
      <c r="R272" s="345">
        <f>IF($A272="","",IF(OR('Jun 2027'!Y23=TRUE,'Jun 2027'!Y23="x",'Jun 2027'!Y23="X"),1,0))</f>
        <v/>
      </c>
      <c r="S272" s="345">
        <f>IF($A272="","",IF(OR('Jun 2027'!Y24=TRUE,'Jun 2027'!Y24="x",'Jun 2027'!Y24="X"),1,0))</f>
        <v/>
      </c>
      <c r="T272" s="345">
        <f>IF($A272="","",IF(OR('Jun 2027'!Y25=TRUE,'Jun 2027'!Y25="x",'Jun 2027'!Y25="X"),1,0))</f>
        <v/>
      </c>
      <c r="U272" s="345">
        <f>IF($A272="","",IF(OR('Jun 2027'!Y26=TRUE,'Jun 2027'!Y26="x",'Jun 2027'!Y26="X"),1,0))</f>
        <v/>
      </c>
      <c r="V272" s="345">
        <f>IF($A272="","",IF(OR('Jun 2027'!Y27=TRUE,'Jun 2027'!Y27="x",'Jun 2027'!Y27="X"),1,0))</f>
        <v/>
      </c>
      <c r="W272" s="345">
        <f>IF($A272="","",IF(OR('Jun 2027'!Y28=TRUE,'Jun 2027'!Y28="x",'Jun 2027'!Y28="X"),1,0))</f>
        <v/>
      </c>
      <c r="X272" s="345">
        <f>IF($A272="","",IF(OR('Jun 2027'!Y29=TRUE,'Jun 2027'!Y29="x",'Jun 2027'!Y29="X"),1,0))</f>
        <v/>
      </c>
      <c r="Y272" s="345">
        <f>IF($A272="","",IF(OR('Jun 2027'!Y30=TRUE,'Jun 2027'!Y30="x",'Jun 2027'!Y30="X"),1,0))</f>
        <v/>
      </c>
      <c r="Z272" s="345">
        <f>IF($A272="","",IF(OR('Jun 2027'!Y31=TRUE,'Jun 2027'!Y31="x",'Jun 2027'!Y31="X"),1,0))</f>
        <v/>
      </c>
      <c r="AA272" s="345">
        <f>IF($A272="","",IF(OR('Jun 2027'!Y32=TRUE,'Jun 2027'!Y32="x",'Jun 2027'!Y32="X"),1,0))</f>
        <v/>
      </c>
      <c r="AB272" s="345">
        <f>IF($A272="","",IF(OR('Jun 2027'!Y34=TRUE,'Jun 2027'!Y34="x",'Jun 2027'!Y34="X"),1,0))</f>
        <v/>
      </c>
      <c r="AC272" s="345">
        <f>IF($A272="","",IF(OR('Jun 2027'!Y35=TRUE,'Jun 2027'!Y35="x",'Jun 2027'!Y35="X"),1,0))</f>
        <v/>
      </c>
      <c r="AD272" s="345">
        <f>IF($A272="","",IF(OR('Jun 2027'!Y36=TRUE,'Jun 2027'!Y36="x",'Jun 2027'!Y36="X"),1,0))</f>
        <v/>
      </c>
      <c r="AE272" s="345">
        <f>IF($A272="","",IF(OR('Jun 2027'!Y37=TRUE,'Jun 2027'!Y37="x",'Jun 2027'!Y37="X"),1,0))</f>
        <v/>
      </c>
      <c r="AF272" s="345">
        <f>IF($A272="","",IF('Jun 2027'!Y59="","",'Jun 2027'!Y59))</f>
        <v/>
      </c>
      <c r="AG272" s="345">
        <f>IF($A272="","",IF('Jun 2027'!Y60="","",'Jun 2027'!Y60))</f>
        <v/>
      </c>
      <c r="AH272" s="345">
        <f>IF($A272="","",IF('Jun 2027'!Y61="","",'Jun 2027'!Y61))</f>
        <v/>
      </c>
      <c r="AI272" s="345">
        <f>IF($A272="","",IF('Jun 2027'!Y62="","",'Jun 2027'!Y62))</f>
        <v/>
      </c>
      <c r="AJ272" s="345">
        <f>IF($A272="","",IF('Jun 2027'!Y63="","",'Jun 2027'!Y63))</f>
        <v/>
      </c>
      <c r="AK272" s="345">
        <f>IF($A272="","",IF('Jun 2027'!Y64="","",'Jun 2027'!Y64))</f>
        <v/>
      </c>
      <c r="AL272" s="345">
        <f>IF($A272="","",IF('Jun 2027'!Y65="","",'Jun 2027'!Y65))</f>
        <v/>
      </c>
      <c r="AM272" s="345">
        <f>IF($A272="","",IF('Jun 2027'!Y66="","",'Jun 2027'!Y66))</f>
        <v/>
      </c>
      <c r="AN272" s="345">
        <f>IF($A272="","",IF('Jun 2027'!Y67="","",'Jun 2027'!Y67))</f>
        <v/>
      </c>
      <c r="AO272" s="345">
        <f>IF($A272="",0,IF(AND($A272&gt;=TrackStart,$A272&lt;=TODAY()),1,0))</f>
        <v/>
      </c>
      <c r="AP272" s="345">
        <f>IF($A272="",0,IF(SUM(F272:AE272)+COUNT(AF272:AN272)&gt;0,1,0))</f>
        <v/>
      </c>
      <c r="AQ272" s="345">
        <f>IF($A272="","",INT(($A272-TrackStart)/7)+1)</f>
        <v/>
      </c>
      <c r="AR272" s="345">
        <f>IF($A272="","",IF(AQ272&lt;=1,Steps1,IF(AQ272=2,Steps2,Steps3)))</f>
        <v/>
      </c>
      <c r="AS272" s="345">
        <f>IF($A272="",0,IF(ISNUMBER(SEARCH(TEXT(D272,"0"),WorkDays&amp;"")),1,0))</f>
        <v/>
      </c>
      <c r="AT272" s="345">
        <f>IF($A272="",0,IF(ISNUMBER(SEARCH(TEXT(D272,"0"),StrDays&amp;"")),1,0))</f>
        <v/>
      </c>
      <c r="AU272" s="345">
        <f>IF($A272="",0,IF(ISNUMBER(AK272),IF(AK272&gt;=SleepMin,1,0),N272))</f>
        <v/>
      </c>
      <c r="AV272" s="345">
        <f>IF($A272="",0,MAX(I272,O272,S272,AC272))</f>
        <v/>
      </c>
      <c r="AW272" s="345">
        <f>IF($A272="",0,IF(ISNUMBER(AH272),IF(AH272&gt;=ProtHit,1,0),0))</f>
        <v/>
      </c>
      <c r="AX272" s="345">
        <f>IF($A272="",0,IF(ISNUMBER(AI272),IF(AI272&gt;=WaterHit,1,0),0))</f>
        <v/>
      </c>
      <c r="AY272" s="345">
        <f>IF($A272="",0,IF(ISNUMBER(AG272),IF(AG272&gt;=AR272,1,0),0))</f>
        <v/>
      </c>
      <c r="AZ272" s="345">
        <f>IF($A272="",0,G272)</f>
        <v/>
      </c>
      <c r="BA272" s="345">
        <f>IF($A272="",0,J272)</f>
        <v/>
      </c>
      <c r="BB272" s="345">
        <f>IF($A272="",0,K272)</f>
        <v/>
      </c>
      <c r="BC272" s="345">
        <f>IF($A272="",0,MAX(L272,AE272))</f>
        <v/>
      </c>
      <c r="BD272" s="344">
        <f>IF($A272="","",(AU272+AV272+AW272+AX272+AY272+AZ272+BB272+BC272+IF(AS272=1,BA272,0))/(8+AS272))</f>
        <v/>
      </c>
      <c r="BE272" s="344">
        <f>IF($A272="","",(IF(ISNUMBER(AI272),IF(AI272&gt;=WaterMVD,1,0),0)+AV272+IF(ISNUMBER(AH272),IF(AH272&gt;=ProtMVD,1,0),0)+MAX(H272,AD272)+AZ272+BB272+AU272)/7)</f>
        <v/>
      </c>
      <c r="BF272" s="344">
        <f>IF(AO272=0,"",IF(E272="S","",IF(AND(AP272=0,$A272=TODAY()),"",IF(E272="M",BE272,BD272))))</f>
        <v/>
      </c>
      <c r="BG272" s="344">
        <f>IF(AO272=0,"",IFERROR(AVERAGEIFS(Data!$BF$4:$BF$375,Data!$A$4:$A$375,"&gt;"&amp;($A272-7),Data!$A$4:$A$375,"&lt;="&amp;$A272),""))</f>
        <v/>
      </c>
      <c r="BH272" s="344">
        <f>IF(AO272=0,"",IFERROR(AVERAGEIFS(Data!$BF$4:$BF$375,Data!$A$4:$A$375,"&gt;"&amp;($A272-30),Data!$A$4:$A$375,"&lt;="&amp;$A272),""))</f>
        <v/>
      </c>
      <c r="BI272" s="359">
        <f>IF($A272="","",IFERROR(AVERAGEIFS(Data!$AF$4:$AF$375,Data!$A$4:$A$375,"&gt;"&amp;($A272-7),Data!$A$4:$A$375,"&lt;="&amp;$A272,Data!$AF$4:$AF$375,"&gt;0"),""))</f>
        <v/>
      </c>
      <c r="BJ272" s="345">
        <f>IF($A272="","",F272+G272+H272+I272+J272+K272+L272+M272+N272-IF(AS272=1,0,J272))</f>
        <v/>
      </c>
      <c r="BK272" s="345">
        <f>IF($A272="","",8+AS272)</f>
        <v/>
      </c>
      <c r="BL272" s="345">
        <f>IF(ISNUMBER(BF272),BF272,NA())</f>
        <v/>
      </c>
      <c r="BM272" s="345">
        <f>IF(ISNUMBER(AF272),AF272,NA())</f>
        <v/>
      </c>
      <c r="BN272" s="345">
        <f>IF(ISNUMBER(BI272),BI272,NA())</f>
        <v/>
      </c>
      <c r="BO272" s="345">
        <f>IF(ISNUMBER(AL272),AL272,NA())</f>
        <v/>
      </c>
      <c r="BP272" s="345">
        <f>IF(ISNUMBER(AM272),AM272,NA())</f>
        <v/>
      </c>
      <c r="BQ272" s="345">
        <f>IF(ISNUMBER(AN272),AN272,NA())</f>
        <v/>
      </c>
    </row>
    <row r="273">
      <c r="A273" s="358">
        <f>IF('Jun 2027'!Z7="","",'Jun 2027'!Z7)</f>
        <v/>
      </c>
      <c r="B273" s="345" t="n">
        <v>9</v>
      </c>
      <c r="C273" s="345">
        <f>IF($A273="","",22)</f>
        <v/>
      </c>
      <c r="D273" s="345">
        <f>IF($A273="","",WEEKDAY($A273,2))</f>
        <v/>
      </c>
      <c r="E273" s="345">
        <f>IF($A273="","",UPPER(TRIM('Jun 2027'!Z8)))</f>
        <v/>
      </c>
      <c r="F273" s="345">
        <f>IF($A273="","",IF(OR('Jun 2027'!Z10=TRUE,'Jun 2027'!Z10="x",'Jun 2027'!Z10="X"),1,0))</f>
        <v/>
      </c>
      <c r="G273" s="345">
        <f>IF($A273="","",IF(OR('Jun 2027'!Z11=TRUE,'Jun 2027'!Z11="x",'Jun 2027'!Z11="X"),1,0))</f>
        <v/>
      </c>
      <c r="H273" s="345">
        <f>IF($A273="","",IF(OR('Jun 2027'!Z12=TRUE,'Jun 2027'!Z12="x",'Jun 2027'!Z12="X"),1,0))</f>
        <v/>
      </c>
      <c r="I273" s="345">
        <f>IF($A273="","",IF(OR('Jun 2027'!Z13=TRUE,'Jun 2027'!Z13="x",'Jun 2027'!Z13="X"),1,0))</f>
        <v/>
      </c>
      <c r="J273" s="345">
        <f>IF($A273="","",IF(OR('Jun 2027'!Z14=TRUE,'Jun 2027'!Z14="x",'Jun 2027'!Z14="X"),1,0))</f>
        <v/>
      </c>
      <c r="K273" s="345">
        <f>IF($A273="","",IF(OR('Jun 2027'!Z15=TRUE,'Jun 2027'!Z15="x",'Jun 2027'!Z15="X"),1,0))</f>
        <v/>
      </c>
      <c r="L273" s="345">
        <f>IF($A273="","",IF(OR('Jun 2027'!Z16=TRUE,'Jun 2027'!Z16="x",'Jun 2027'!Z16="X"),1,0))</f>
        <v/>
      </c>
      <c r="M273" s="345">
        <f>IF($A273="","",IF(OR('Jun 2027'!Z17=TRUE,'Jun 2027'!Z17="x",'Jun 2027'!Z17="X"),1,0))</f>
        <v/>
      </c>
      <c r="N273" s="345">
        <f>IF($A273="","",IF(OR('Jun 2027'!Z18=TRUE,'Jun 2027'!Z18="x",'Jun 2027'!Z18="X"),1,0))</f>
        <v/>
      </c>
      <c r="O273" s="345">
        <f>IF($A273="","",IF(OR('Jun 2027'!Z20=TRUE,'Jun 2027'!Z20="x",'Jun 2027'!Z20="X"),1,0))</f>
        <v/>
      </c>
      <c r="P273" s="345">
        <f>IF($A273="","",IF(OR('Jun 2027'!Z21=TRUE,'Jun 2027'!Z21="x",'Jun 2027'!Z21="X"),1,0))</f>
        <v/>
      </c>
      <c r="Q273" s="345">
        <f>IF($A273="","",IF(OR('Jun 2027'!Z22=TRUE,'Jun 2027'!Z22="x",'Jun 2027'!Z22="X"),1,0))</f>
        <v/>
      </c>
      <c r="R273" s="345">
        <f>IF($A273="","",IF(OR('Jun 2027'!Z23=TRUE,'Jun 2027'!Z23="x",'Jun 2027'!Z23="X"),1,0))</f>
        <v/>
      </c>
      <c r="S273" s="345">
        <f>IF($A273="","",IF(OR('Jun 2027'!Z24=TRUE,'Jun 2027'!Z24="x",'Jun 2027'!Z24="X"),1,0))</f>
        <v/>
      </c>
      <c r="T273" s="345">
        <f>IF($A273="","",IF(OR('Jun 2027'!Z25=TRUE,'Jun 2027'!Z25="x",'Jun 2027'!Z25="X"),1,0))</f>
        <v/>
      </c>
      <c r="U273" s="345">
        <f>IF($A273="","",IF(OR('Jun 2027'!Z26=TRUE,'Jun 2027'!Z26="x",'Jun 2027'!Z26="X"),1,0))</f>
        <v/>
      </c>
      <c r="V273" s="345">
        <f>IF($A273="","",IF(OR('Jun 2027'!Z27=TRUE,'Jun 2027'!Z27="x",'Jun 2027'!Z27="X"),1,0))</f>
        <v/>
      </c>
      <c r="W273" s="345">
        <f>IF($A273="","",IF(OR('Jun 2027'!Z28=TRUE,'Jun 2027'!Z28="x",'Jun 2027'!Z28="X"),1,0))</f>
        <v/>
      </c>
      <c r="X273" s="345">
        <f>IF($A273="","",IF(OR('Jun 2027'!Z29=TRUE,'Jun 2027'!Z29="x",'Jun 2027'!Z29="X"),1,0))</f>
        <v/>
      </c>
      <c r="Y273" s="345">
        <f>IF($A273="","",IF(OR('Jun 2027'!Z30=TRUE,'Jun 2027'!Z30="x",'Jun 2027'!Z30="X"),1,0))</f>
        <v/>
      </c>
      <c r="Z273" s="345">
        <f>IF($A273="","",IF(OR('Jun 2027'!Z31=TRUE,'Jun 2027'!Z31="x",'Jun 2027'!Z31="X"),1,0))</f>
        <v/>
      </c>
      <c r="AA273" s="345">
        <f>IF($A273="","",IF(OR('Jun 2027'!Z32=TRUE,'Jun 2027'!Z32="x",'Jun 2027'!Z32="X"),1,0))</f>
        <v/>
      </c>
      <c r="AB273" s="345">
        <f>IF($A273="","",IF(OR('Jun 2027'!Z34=TRUE,'Jun 2027'!Z34="x",'Jun 2027'!Z34="X"),1,0))</f>
        <v/>
      </c>
      <c r="AC273" s="345">
        <f>IF($A273="","",IF(OR('Jun 2027'!Z35=TRUE,'Jun 2027'!Z35="x",'Jun 2027'!Z35="X"),1,0))</f>
        <v/>
      </c>
      <c r="AD273" s="345">
        <f>IF($A273="","",IF(OR('Jun 2027'!Z36=TRUE,'Jun 2027'!Z36="x",'Jun 2027'!Z36="X"),1,0))</f>
        <v/>
      </c>
      <c r="AE273" s="345">
        <f>IF($A273="","",IF(OR('Jun 2027'!Z37=TRUE,'Jun 2027'!Z37="x",'Jun 2027'!Z37="X"),1,0))</f>
        <v/>
      </c>
      <c r="AF273" s="345">
        <f>IF($A273="","",IF('Jun 2027'!Z59="","",'Jun 2027'!Z59))</f>
        <v/>
      </c>
      <c r="AG273" s="345">
        <f>IF($A273="","",IF('Jun 2027'!Z60="","",'Jun 2027'!Z60))</f>
        <v/>
      </c>
      <c r="AH273" s="345">
        <f>IF($A273="","",IF('Jun 2027'!Z61="","",'Jun 2027'!Z61))</f>
        <v/>
      </c>
      <c r="AI273" s="345">
        <f>IF($A273="","",IF('Jun 2027'!Z62="","",'Jun 2027'!Z62))</f>
        <v/>
      </c>
      <c r="AJ273" s="345">
        <f>IF($A273="","",IF('Jun 2027'!Z63="","",'Jun 2027'!Z63))</f>
        <v/>
      </c>
      <c r="AK273" s="345">
        <f>IF($A273="","",IF('Jun 2027'!Z64="","",'Jun 2027'!Z64))</f>
        <v/>
      </c>
      <c r="AL273" s="345">
        <f>IF($A273="","",IF('Jun 2027'!Z65="","",'Jun 2027'!Z65))</f>
        <v/>
      </c>
      <c r="AM273" s="345">
        <f>IF($A273="","",IF('Jun 2027'!Z66="","",'Jun 2027'!Z66))</f>
        <v/>
      </c>
      <c r="AN273" s="345">
        <f>IF($A273="","",IF('Jun 2027'!Z67="","",'Jun 2027'!Z67))</f>
        <v/>
      </c>
      <c r="AO273" s="345">
        <f>IF($A273="",0,IF(AND($A273&gt;=TrackStart,$A273&lt;=TODAY()),1,0))</f>
        <v/>
      </c>
      <c r="AP273" s="345">
        <f>IF($A273="",0,IF(SUM(F273:AE273)+COUNT(AF273:AN273)&gt;0,1,0))</f>
        <v/>
      </c>
      <c r="AQ273" s="345">
        <f>IF($A273="","",INT(($A273-TrackStart)/7)+1)</f>
        <v/>
      </c>
      <c r="AR273" s="345">
        <f>IF($A273="","",IF(AQ273&lt;=1,Steps1,IF(AQ273=2,Steps2,Steps3)))</f>
        <v/>
      </c>
      <c r="AS273" s="345">
        <f>IF($A273="",0,IF(ISNUMBER(SEARCH(TEXT(D273,"0"),WorkDays&amp;"")),1,0))</f>
        <v/>
      </c>
      <c r="AT273" s="345">
        <f>IF($A273="",0,IF(ISNUMBER(SEARCH(TEXT(D273,"0"),StrDays&amp;"")),1,0))</f>
        <v/>
      </c>
      <c r="AU273" s="345">
        <f>IF($A273="",0,IF(ISNUMBER(AK273),IF(AK273&gt;=SleepMin,1,0),N273))</f>
        <v/>
      </c>
      <c r="AV273" s="345">
        <f>IF($A273="",0,MAX(I273,O273,S273,AC273))</f>
        <v/>
      </c>
      <c r="AW273" s="345">
        <f>IF($A273="",0,IF(ISNUMBER(AH273),IF(AH273&gt;=ProtHit,1,0),0))</f>
        <v/>
      </c>
      <c r="AX273" s="345">
        <f>IF($A273="",0,IF(ISNUMBER(AI273),IF(AI273&gt;=WaterHit,1,0),0))</f>
        <v/>
      </c>
      <c r="AY273" s="345">
        <f>IF($A273="",0,IF(ISNUMBER(AG273),IF(AG273&gt;=AR273,1,0),0))</f>
        <v/>
      </c>
      <c r="AZ273" s="345">
        <f>IF($A273="",0,G273)</f>
        <v/>
      </c>
      <c r="BA273" s="345">
        <f>IF($A273="",0,J273)</f>
        <v/>
      </c>
      <c r="BB273" s="345">
        <f>IF($A273="",0,K273)</f>
        <v/>
      </c>
      <c r="BC273" s="345">
        <f>IF($A273="",0,MAX(L273,AE273))</f>
        <v/>
      </c>
      <c r="BD273" s="344">
        <f>IF($A273="","",(AU273+AV273+AW273+AX273+AY273+AZ273+BB273+BC273+IF(AS273=1,BA273,0))/(8+AS273))</f>
        <v/>
      </c>
      <c r="BE273" s="344">
        <f>IF($A273="","",(IF(ISNUMBER(AI273),IF(AI273&gt;=WaterMVD,1,0),0)+AV273+IF(ISNUMBER(AH273),IF(AH273&gt;=ProtMVD,1,0),0)+MAX(H273,AD273)+AZ273+BB273+AU273)/7)</f>
        <v/>
      </c>
      <c r="BF273" s="344">
        <f>IF(AO273=0,"",IF(E273="S","",IF(AND(AP273=0,$A273=TODAY()),"",IF(E273="M",BE273,BD273))))</f>
        <v/>
      </c>
      <c r="BG273" s="344">
        <f>IF(AO273=0,"",IFERROR(AVERAGEIFS(Data!$BF$4:$BF$375,Data!$A$4:$A$375,"&gt;"&amp;($A273-7),Data!$A$4:$A$375,"&lt;="&amp;$A273),""))</f>
        <v/>
      </c>
      <c r="BH273" s="344">
        <f>IF(AO273=0,"",IFERROR(AVERAGEIFS(Data!$BF$4:$BF$375,Data!$A$4:$A$375,"&gt;"&amp;($A273-30),Data!$A$4:$A$375,"&lt;="&amp;$A273),""))</f>
        <v/>
      </c>
      <c r="BI273" s="359">
        <f>IF($A273="","",IFERROR(AVERAGEIFS(Data!$AF$4:$AF$375,Data!$A$4:$A$375,"&gt;"&amp;($A273-7),Data!$A$4:$A$375,"&lt;="&amp;$A273,Data!$AF$4:$AF$375,"&gt;0"),""))</f>
        <v/>
      </c>
      <c r="BJ273" s="345">
        <f>IF($A273="","",F273+G273+H273+I273+J273+K273+L273+M273+N273-IF(AS273=1,0,J273))</f>
        <v/>
      </c>
      <c r="BK273" s="345">
        <f>IF($A273="","",8+AS273)</f>
        <v/>
      </c>
      <c r="BL273" s="345">
        <f>IF(ISNUMBER(BF273),BF273,NA())</f>
        <v/>
      </c>
      <c r="BM273" s="345">
        <f>IF(ISNUMBER(AF273),AF273,NA())</f>
        <v/>
      </c>
      <c r="BN273" s="345">
        <f>IF(ISNUMBER(BI273),BI273,NA())</f>
        <v/>
      </c>
      <c r="BO273" s="345">
        <f>IF(ISNUMBER(AL273),AL273,NA())</f>
        <v/>
      </c>
      <c r="BP273" s="345">
        <f>IF(ISNUMBER(AM273),AM273,NA())</f>
        <v/>
      </c>
      <c r="BQ273" s="345">
        <f>IF(ISNUMBER(AN273),AN273,NA())</f>
        <v/>
      </c>
    </row>
    <row r="274">
      <c r="A274" s="358">
        <f>IF('Jun 2027'!AA7="","",'Jun 2027'!AA7)</f>
        <v/>
      </c>
      <c r="B274" s="345" t="n">
        <v>9</v>
      </c>
      <c r="C274" s="345">
        <f>IF($A274="","",23)</f>
        <v/>
      </c>
      <c r="D274" s="345">
        <f>IF($A274="","",WEEKDAY($A274,2))</f>
        <v/>
      </c>
      <c r="E274" s="345">
        <f>IF($A274="","",UPPER(TRIM('Jun 2027'!AA8)))</f>
        <v/>
      </c>
      <c r="F274" s="345">
        <f>IF($A274="","",IF(OR('Jun 2027'!AA10=TRUE,'Jun 2027'!AA10="x",'Jun 2027'!AA10="X"),1,0))</f>
        <v/>
      </c>
      <c r="G274" s="345">
        <f>IF($A274="","",IF(OR('Jun 2027'!AA11=TRUE,'Jun 2027'!AA11="x",'Jun 2027'!AA11="X"),1,0))</f>
        <v/>
      </c>
      <c r="H274" s="345">
        <f>IF($A274="","",IF(OR('Jun 2027'!AA12=TRUE,'Jun 2027'!AA12="x",'Jun 2027'!AA12="X"),1,0))</f>
        <v/>
      </c>
      <c r="I274" s="345">
        <f>IF($A274="","",IF(OR('Jun 2027'!AA13=TRUE,'Jun 2027'!AA13="x",'Jun 2027'!AA13="X"),1,0))</f>
        <v/>
      </c>
      <c r="J274" s="345">
        <f>IF($A274="","",IF(OR('Jun 2027'!AA14=TRUE,'Jun 2027'!AA14="x",'Jun 2027'!AA14="X"),1,0))</f>
        <v/>
      </c>
      <c r="K274" s="345">
        <f>IF($A274="","",IF(OR('Jun 2027'!AA15=TRUE,'Jun 2027'!AA15="x",'Jun 2027'!AA15="X"),1,0))</f>
        <v/>
      </c>
      <c r="L274" s="345">
        <f>IF($A274="","",IF(OR('Jun 2027'!AA16=TRUE,'Jun 2027'!AA16="x",'Jun 2027'!AA16="X"),1,0))</f>
        <v/>
      </c>
      <c r="M274" s="345">
        <f>IF($A274="","",IF(OR('Jun 2027'!AA17=TRUE,'Jun 2027'!AA17="x",'Jun 2027'!AA17="X"),1,0))</f>
        <v/>
      </c>
      <c r="N274" s="345">
        <f>IF($A274="","",IF(OR('Jun 2027'!AA18=TRUE,'Jun 2027'!AA18="x",'Jun 2027'!AA18="X"),1,0))</f>
        <v/>
      </c>
      <c r="O274" s="345">
        <f>IF($A274="","",IF(OR('Jun 2027'!AA20=TRUE,'Jun 2027'!AA20="x",'Jun 2027'!AA20="X"),1,0))</f>
        <v/>
      </c>
      <c r="P274" s="345">
        <f>IF($A274="","",IF(OR('Jun 2027'!AA21=TRUE,'Jun 2027'!AA21="x",'Jun 2027'!AA21="X"),1,0))</f>
        <v/>
      </c>
      <c r="Q274" s="345">
        <f>IF($A274="","",IF(OR('Jun 2027'!AA22=TRUE,'Jun 2027'!AA22="x",'Jun 2027'!AA22="X"),1,0))</f>
        <v/>
      </c>
      <c r="R274" s="345">
        <f>IF($A274="","",IF(OR('Jun 2027'!AA23=TRUE,'Jun 2027'!AA23="x",'Jun 2027'!AA23="X"),1,0))</f>
        <v/>
      </c>
      <c r="S274" s="345">
        <f>IF($A274="","",IF(OR('Jun 2027'!AA24=TRUE,'Jun 2027'!AA24="x",'Jun 2027'!AA24="X"),1,0))</f>
        <v/>
      </c>
      <c r="T274" s="345">
        <f>IF($A274="","",IF(OR('Jun 2027'!AA25=TRUE,'Jun 2027'!AA25="x",'Jun 2027'!AA25="X"),1,0))</f>
        <v/>
      </c>
      <c r="U274" s="345">
        <f>IF($A274="","",IF(OR('Jun 2027'!AA26=TRUE,'Jun 2027'!AA26="x",'Jun 2027'!AA26="X"),1,0))</f>
        <v/>
      </c>
      <c r="V274" s="345">
        <f>IF($A274="","",IF(OR('Jun 2027'!AA27=TRUE,'Jun 2027'!AA27="x",'Jun 2027'!AA27="X"),1,0))</f>
        <v/>
      </c>
      <c r="W274" s="345">
        <f>IF($A274="","",IF(OR('Jun 2027'!AA28=TRUE,'Jun 2027'!AA28="x",'Jun 2027'!AA28="X"),1,0))</f>
        <v/>
      </c>
      <c r="X274" s="345">
        <f>IF($A274="","",IF(OR('Jun 2027'!AA29=TRUE,'Jun 2027'!AA29="x",'Jun 2027'!AA29="X"),1,0))</f>
        <v/>
      </c>
      <c r="Y274" s="345">
        <f>IF($A274="","",IF(OR('Jun 2027'!AA30=TRUE,'Jun 2027'!AA30="x",'Jun 2027'!AA30="X"),1,0))</f>
        <v/>
      </c>
      <c r="Z274" s="345">
        <f>IF($A274="","",IF(OR('Jun 2027'!AA31=TRUE,'Jun 2027'!AA31="x",'Jun 2027'!AA31="X"),1,0))</f>
        <v/>
      </c>
      <c r="AA274" s="345">
        <f>IF($A274="","",IF(OR('Jun 2027'!AA32=TRUE,'Jun 2027'!AA32="x",'Jun 2027'!AA32="X"),1,0))</f>
        <v/>
      </c>
      <c r="AB274" s="345">
        <f>IF($A274="","",IF(OR('Jun 2027'!AA34=TRUE,'Jun 2027'!AA34="x",'Jun 2027'!AA34="X"),1,0))</f>
        <v/>
      </c>
      <c r="AC274" s="345">
        <f>IF($A274="","",IF(OR('Jun 2027'!AA35=TRUE,'Jun 2027'!AA35="x",'Jun 2027'!AA35="X"),1,0))</f>
        <v/>
      </c>
      <c r="AD274" s="345">
        <f>IF($A274="","",IF(OR('Jun 2027'!AA36=TRUE,'Jun 2027'!AA36="x",'Jun 2027'!AA36="X"),1,0))</f>
        <v/>
      </c>
      <c r="AE274" s="345">
        <f>IF($A274="","",IF(OR('Jun 2027'!AA37=TRUE,'Jun 2027'!AA37="x",'Jun 2027'!AA37="X"),1,0))</f>
        <v/>
      </c>
      <c r="AF274" s="345">
        <f>IF($A274="","",IF('Jun 2027'!AA59="","",'Jun 2027'!AA59))</f>
        <v/>
      </c>
      <c r="AG274" s="345">
        <f>IF($A274="","",IF('Jun 2027'!AA60="","",'Jun 2027'!AA60))</f>
        <v/>
      </c>
      <c r="AH274" s="345">
        <f>IF($A274="","",IF('Jun 2027'!AA61="","",'Jun 2027'!AA61))</f>
        <v/>
      </c>
      <c r="AI274" s="345">
        <f>IF($A274="","",IF('Jun 2027'!AA62="","",'Jun 2027'!AA62))</f>
        <v/>
      </c>
      <c r="AJ274" s="345">
        <f>IF($A274="","",IF('Jun 2027'!AA63="","",'Jun 2027'!AA63))</f>
        <v/>
      </c>
      <c r="AK274" s="345">
        <f>IF($A274="","",IF('Jun 2027'!AA64="","",'Jun 2027'!AA64))</f>
        <v/>
      </c>
      <c r="AL274" s="345">
        <f>IF($A274="","",IF('Jun 2027'!AA65="","",'Jun 2027'!AA65))</f>
        <v/>
      </c>
      <c r="AM274" s="345">
        <f>IF($A274="","",IF('Jun 2027'!AA66="","",'Jun 2027'!AA66))</f>
        <v/>
      </c>
      <c r="AN274" s="345">
        <f>IF($A274="","",IF('Jun 2027'!AA67="","",'Jun 2027'!AA67))</f>
        <v/>
      </c>
      <c r="AO274" s="345">
        <f>IF($A274="",0,IF(AND($A274&gt;=TrackStart,$A274&lt;=TODAY()),1,0))</f>
        <v/>
      </c>
      <c r="AP274" s="345">
        <f>IF($A274="",0,IF(SUM(F274:AE274)+COUNT(AF274:AN274)&gt;0,1,0))</f>
        <v/>
      </c>
      <c r="AQ274" s="345">
        <f>IF($A274="","",INT(($A274-TrackStart)/7)+1)</f>
        <v/>
      </c>
      <c r="AR274" s="345">
        <f>IF($A274="","",IF(AQ274&lt;=1,Steps1,IF(AQ274=2,Steps2,Steps3)))</f>
        <v/>
      </c>
      <c r="AS274" s="345">
        <f>IF($A274="",0,IF(ISNUMBER(SEARCH(TEXT(D274,"0"),WorkDays&amp;"")),1,0))</f>
        <v/>
      </c>
      <c r="AT274" s="345">
        <f>IF($A274="",0,IF(ISNUMBER(SEARCH(TEXT(D274,"0"),StrDays&amp;"")),1,0))</f>
        <v/>
      </c>
      <c r="AU274" s="345">
        <f>IF($A274="",0,IF(ISNUMBER(AK274),IF(AK274&gt;=SleepMin,1,0),N274))</f>
        <v/>
      </c>
      <c r="AV274" s="345">
        <f>IF($A274="",0,MAX(I274,O274,S274,AC274))</f>
        <v/>
      </c>
      <c r="AW274" s="345">
        <f>IF($A274="",0,IF(ISNUMBER(AH274),IF(AH274&gt;=ProtHit,1,0),0))</f>
        <v/>
      </c>
      <c r="AX274" s="345">
        <f>IF($A274="",0,IF(ISNUMBER(AI274),IF(AI274&gt;=WaterHit,1,0),0))</f>
        <v/>
      </c>
      <c r="AY274" s="345">
        <f>IF($A274="",0,IF(ISNUMBER(AG274),IF(AG274&gt;=AR274,1,0),0))</f>
        <v/>
      </c>
      <c r="AZ274" s="345">
        <f>IF($A274="",0,G274)</f>
        <v/>
      </c>
      <c r="BA274" s="345">
        <f>IF($A274="",0,J274)</f>
        <v/>
      </c>
      <c r="BB274" s="345">
        <f>IF($A274="",0,K274)</f>
        <v/>
      </c>
      <c r="BC274" s="345">
        <f>IF($A274="",0,MAX(L274,AE274))</f>
        <v/>
      </c>
      <c r="BD274" s="344">
        <f>IF($A274="","",(AU274+AV274+AW274+AX274+AY274+AZ274+BB274+BC274+IF(AS274=1,BA274,0))/(8+AS274))</f>
        <v/>
      </c>
      <c r="BE274" s="344">
        <f>IF($A274="","",(IF(ISNUMBER(AI274),IF(AI274&gt;=WaterMVD,1,0),0)+AV274+IF(ISNUMBER(AH274),IF(AH274&gt;=ProtMVD,1,0),0)+MAX(H274,AD274)+AZ274+BB274+AU274)/7)</f>
        <v/>
      </c>
      <c r="BF274" s="344">
        <f>IF(AO274=0,"",IF(E274="S","",IF(AND(AP274=0,$A274=TODAY()),"",IF(E274="M",BE274,BD274))))</f>
        <v/>
      </c>
      <c r="BG274" s="344">
        <f>IF(AO274=0,"",IFERROR(AVERAGEIFS(Data!$BF$4:$BF$375,Data!$A$4:$A$375,"&gt;"&amp;($A274-7),Data!$A$4:$A$375,"&lt;="&amp;$A274),""))</f>
        <v/>
      </c>
      <c r="BH274" s="344">
        <f>IF(AO274=0,"",IFERROR(AVERAGEIFS(Data!$BF$4:$BF$375,Data!$A$4:$A$375,"&gt;"&amp;($A274-30),Data!$A$4:$A$375,"&lt;="&amp;$A274),""))</f>
        <v/>
      </c>
      <c r="BI274" s="359">
        <f>IF($A274="","",IFERROR(AVERAGEIFS(Data!$AF$4:$AF$375,Data!$A$4:$A$375,"&gt;"&amp;($A274-7),Data!$A$4:$A$375,"&lt;="&amp;$A274,Data!$AF$4:$AF$375,"&gt;0"),""))</f>
        <v/>
      </c>
      <c r="BJ274" s="345">
        <f>IF($A274="","",F274+G274+H274+I274+J274+K274+L274+M274+N274-IF(AS274=1,0,J274))</f>
        <v/>
      </c>
      <c r="BK274" s="345">
        <f>IF($A274="","",8+AS274)</f>
        <v/>
      </c>
      <c r="BL274" s="345">
        <f>IF(ISNUMBER(BF274),BF274,NA())</f>
        <v/>
      </c>
      <c r="BM274" s="345">
        <f>IF(ISNUMBER(AF274),AF274,NA())</f>
        <v/>
      </c>
      <c r="BN274" s="345">
        <f>IF(ISNUMBER(BI274),BI274,NA())</f>
        <v/>
      </c>
      <c r="BO274" s="345">
        <f>IF(ISNUMBER(AL274),AL274,NA())</f>
        <v/>
      </c>
      <c r="BP274" s="345">
        <f>IF(ISNUMBER(AM274),AM274,NA())</f>
        <v/>
      </c>
      <c r="BQ274" s="345">
        <f>IF(ISNUMBER(AN274),AN274,NA())</f>
        <v/>
      </c>
    </row>
    <row r="275">
      <c r="A275" s="358">
        <f>IF('Jun 2027'!AB7="","",'Jun 2027'!AB7)</f>
        <v/>
      </c>
      <c r="B275" s="345" t="n">
        <v>9</v>
      </c>
      <c r="C275" s="345">
        <f>IF($A275="","",24)</f>
        <v/>
      </c>
      <c r="D275" s="345">
        <f>IF($A275="","",WEEKDAY($A275,2))</f>
        <v/>
      </c>
      <c r="E275" s="345">
        <f>IF($A275="","",UPPER(TRIM('Jun 2027'!AB8)))</f>
        <v/>
      </c>
      <c r="F275" s="345">
        <f>IF($A275="","",IF(OR('Jun 2027'!AB10=TRUE,'Jun 2027'!AB10="x",'Jun 2027'!AB10="X"),1,0))</f>
        <v/>
      </c>
      <c r="G275" s="345">
        <f>IF($A275="","",IF(OR('Jun 2027'!AB11=TRUE,'Jun 2027'!AB11="x",'Jun 2027'!AB11="X"),1,0))</f>
        <v/>
      </c>
      <c r="H275" s="345">
        <f>IF($A275="","",IF(OR('Jun 2027'!AB12=TRUE,'Jun 2027'!AB12="x",'Jun 2027'!AB12="X"),1,0))</f>
        <v/>
      </c>
      <c r="I275" s="345">
        <f>IF($A275="","",IF(OR('Jun 2027'!AB13=TRUE,'Jun 2027'!AB13="x",'Jun 2027'!AB13="X"),1,0))</f>
        <v/>
      </c>
      <c r="J275" s="345">
        <f>IF($A275="","",IF(OR('Jun 2027'!AB14=TRUE,'Jun 2027'!AB14="x",'Jun 2027'!AB14="X"),1,0))</f>
        <v/>
      </c>
      <c r="K275" s="345">
        <f>IF($A275="","",IF(OR('Jun 2027'!AB15=TRUE,'Jun 2027'!AB15="x",'Jun 2027'!AB15="X"),1,0))</f>
        <v/>
      </c>
      <c r="L275" s="345">
        <f>IF($A275="","",IF(OR('Jun 2027'!AB16=TRUE,'Jun 2027'!AB16="x",'Jun 2027'!AB16="X"),1,0))</f>
        <v/>
      </c>
      <c r="M275" s="345">
        <f>IF($A275="","",IF(OR('Jun 2027'!AB17=TRUE,'Jun 2027'!AB17="x",'Jun 2027'!AB17="X"),1,0))</f>
        <v/>
      </c>
      <c r="N275" s="345">
        <f>IF($A275="","",IF(OR('Jun 2027'!AB18=TRUE,'Jun 2027'!AB18="x",'Jun 2027'!AB18="X"),1,0))</f>
        <v/>
      </c>
      <c r="O275" s="345">
        <f>IF($A275="","",IF(OR('Jun 2027'!AB20=TRUE,'Jun 2027'!AB20="x",'Jun 2027'!AB20="X"),1,0))</f>
        <v/>
      </c>
      <c r="P275" s="345">
        <f>IF($A275="","",IF(OR('Jun 2027'!AB21=TRUE,'Jun 2027'!AB21="x",'Jun 2027'!AB21="X"),1,0))</f>
        <v/>
      </c>
      <c r="Q275" s="345">
        <f>IF($A275="","",IF(OR('Jun 2027'!AB22=TRUE,'Jun 2027'!AB22="x",'Jun 2027'!AB22="X"),1,0))</f>
        <v/>
      </c>
      <c r="R275" s="345">
        <f>IF($A275="","",IF(OR('Jun 2027'!AB23=TRUE,'Jun 2027'!AB23="x",'Jun 2027'!AB23="X"),1,0))</f>
        <v/>
      </c>
      <c r="S275" s="345">
        <f>IF($A275="","",IF(OR('Jun 2027'!AB24=TRUE,'Jun 2027'!AB24="x",'Jun 2027'!AB24="X"),1,0))</f>
        <v/>
      </c>
      <c r="T275" s="345">
        <f>IF($A275="","",IF(OR('Jun 2027'!AB25=TRUE,'Jun 2027'!AB25="x",'Jun 2027'!AB25="X"),1,0))</f>
        <v/>
      </c>
      <c r="U275" s="345">
        <f>IF($A275="","",IF(OR('Jun 2027'!AB26=TRUE,'Jun 2027'!AB26="x",'Jun 2027'!AB26="X"),1,0))</f>
        <v/>
      </c>
      <c r="V275" s="345">
        <f>IF($A275="","",IF(OR('Jun 2027'!AB27=TRUE,'Jun 2027'!AB27="x",'Jun 2027'!AB27="X"),1,0))</f>
        <v/>
      </c>
      <c r="W275" s="345">
        <f>IF($A275="","",IF(OR('Jun 2027'!AB28=TRUE,'Jun 2027'!AB28="x",'Jun 2027'!AB28="X"),1,0))</f>
        <v/>
      </c>
      <c r="X275" s="345">
        <f>IF($A275="","",IF(OR('Jun 2027'!AB29=TRUE,'Jun 2027'!AB29="x",'Jun 2027'!AB29="X"),1,0))</f>
        <v/>
      </c>
      <c r="Y275" s="345">
        <f>IF($A275="","",IF(OR('Jun 2027'!AB30=TRUE,'Jun 2027'!AB30="x",'Jun 2027'!AB30="X"),1,0))</f>
        <v/>
      </c>
      <c r="Z275" s="345">
        <f>IF($A275="","",IF(OR('Jun 2027'!AB31=TRUE,'Jun 2027'!AB31="x",'Jun 2027'!AB31="X"),1,0))</f>
        <v/>
      </c>
      <c r="AA275" s="345">
        <f>IF($A275="","",IF(OR('Jun 2027'!AB32=TRUE,'Jun 2027'!AB32="x",'Jun 2027'!AB32="X"),1,0))</f>
        <v/>
      </c>
      <c r="AB275" s="345">
        <f>IF($A275="","",IF(OR('Jun 2027'!AB34=TRUE,'Jun 2027'!AB34="x",'Jun 2027'!AB34="X"),1,0))</f>
        <v/>
      </c>
      <c r="AC275" s="345">
        <f>IF($A275="","",IF(OR('Jun 2027'!AB35=TRUE,'Jun 2027'!AB35="x",'Jun 2027'!AB35="X"),1,0))</f>
        <v/>
      </c>
      <c r="AD275" s="345">
        <f>IF($A275="","",IF(OR('Jun 2027'!AB36=TRUE,'Jun 2027'!AB36="x",'Jun 2027'!AB36="X"),1,0))</f>
        <v/>
      </c>
      <c r="AE275" s="345">
        <f>IF($A275="","",IF(OR('Jun 2027'!AB37=TRUE,'Jun 2027'!AB37="x",'Jun 2027'!AB37="X"),1,0))</f>
        <v/>
      </c>
      <c r="AF275" s="345">
        <f>IF($A275="","",IF('Jun 2027'!AB59="","",'Jun 2027'!AB59))</f>
        <v/>
      </c>
      <c r="AG275" s="345">
        <f>IF($A275="","",IF('Jun 2027'!AB60="","",'Jun 2027'!AB60))</f>
        <v/>
      </c>
      <c r="AH275" s="345">
        <f>IF($A275="","",IF('Jun 2027'!AB61="","",'Jun 2027'!AB61))</f>
        <v/>
      </c>
      <c r="AI275" s="345">
        <f>IF($A275="","",IF('Jun 2027'!AB62="","",'Jun 2027'!AB62))</f>
        <v/>
      </c>
      <c r="AJ275" s="345">
        <f>IF($A275="","",IF('Jun 2027'!AB63="","",'Jun 2027'!AB63))</f>
        <v/>
      </c>
      <c r="AK275" s="345">
        <f>IF($A275="","",IF('Jun 2027'!AB64="","",'Jun 2027'!AB64))</f>
        <v/>
      </c>
      <c r="AL275" s="345">
        <f>IF($A275="","",IF('Jun 2027'!AB65="","",'Jun 2027'!AB65))</f>
        <v/>
      </c>
      <c r="AM275" s="345">
        <f>IF($A275="","",IF('Jun 2027'!AB66="","",'Jun 2027'!AB66))</f>
        <v/>
      </c>
      <c r="AN275" s="345">
        <f>IF($A275="","",IF('Jun 2027'!AB67="","",'Jun 2027'!AB67))</f>
        <v/>
      </c>
      <c r="AO275" s="345">
        <f>IF($A275="",0,IF(AND($A275&gt;=TrackStart,$A275&lt;=TODAY()),1,0))</f>
        <v/>
      </c>
      <c r="AP275" s="345">
        <f>IF($A275="",0,IF(SUM(F275:AE275)+COUNT(AF275:AN275)&gt;0,1,0))</f>
        <v/>
      </c>
      <c r="AQ275" s="345">
        <f>IF($A275="","",INT(($A275-TrackStart)/7)+1)</f>
        <v/>
      </c>
      <c r="AR275" s="345">
        <f>IF($A275="","",IF(AQ275&lt;=1,Steps1,IF(AQ275=2,Steps2,Steps3)))</f>
        <v/>
      </c>
      <c r="AS275" s="345">
        <f>IF($A275="",0,IF(ISNUMBER(SEARCH(TEXT(D275,"0"),WorkDays&amp;"")),1,0))</f>
        <v/>
      </c>
      <c r="AT275" s="345">
        <f>IF($A275="",0,IF(ISNUMBER(SEARCH(TEXT(D275,"0"),StrDays&amp;"")),1,0))</f>
        <v/>
      </c>
      <c r="AU275" s="345">
        <f>IF($A275="",0,IF(ISNUMBER(AK275),IF(AK275&gt;=SleepMin,1,0),N275))</f>
        <v/>
      </c>
      <c r="AV275" s="345">
        <f>IF($A275="",0,MAX(I275,O275,S275,AC275))</f>
        <v/>
      </c>
      <c r="AW275" s="345">
        <f>IF($A275="",0,IF(ISNUMBER(AH275),IF(AH275&gt;=ProtHit,1,0),0))</f>
        <v/>
      </c>
      <c r="AX275" s="345">
        <f>IF($A275="",0,IF(ISNUMBER(AI275),IF(AI275&gt;=WaterHit,1,0),0))</f>
        <v/>
      </c>
      <c r="AY275" s="345">
        <f>IF($A275="",0,IF(ISNUMBER(AG275),IF(AG275&gt;=AR275,1,0),0))</f>
        <v/>
      </c>
      <c r="AZ275" s="345">
        <f>IF($A275="",0,G275)</f>
        <v/>
      </c>
      <c r="BA275" s="345">
        <f>IF($A275="",0,J275)</f>
        <v/>
      </c>
      <c r="BB275" s="345">
        <f>IF($A275="",0,K275)</f>
        <v/>
      </c>
      <c r="BC275" s="345">
        <f>IF($A275="",0,MAX(L275,AE275))</f>
        <v/>
      </c>
      <c r="BD275" s="344">
        <f>IF($A275="","",(AU275+AV275+AW275+AX275+AY275+AZ275+BB275+BC275+IF(AS275=1,BA275,0))/(8+AS275))</f>
        <v/>
      </c>
      <c r="BE275" s="344">
        <f>IF($A275="","",(IF(ISNUMBER(AI275),IF(AI275&gt;=WaterMVD,1,0),0)+AV275+IF(ISNUMBER(AH275),IF(AH275&gt;=ProtMVD,1,0),0)+MAX(H275,AD275)+AZ275+BB275+AU275)/7)</f>
        <v/>
      </c>
      <c r="BF275" s="344">
        <f>IF(AO275=0,"",IF(E275="S","",IF(AND(AP275=0,$A275=TODAY()),"",IF(E275="M",BE275,BD275))))</f>
        <v/>
      </c>
      <c r="BG275" s="344">
        <f>IF(AO275=0,"",IFERROR(AVERAGEIFS(Data!$BF$4:$BF$375,Data!$A$4:$A$375,"&gt;"&amp;($A275-7),Data!$A$4:$A$375,"&lt;="&amp;$A275),""))</f>
        <v/>
      </c>
      <c r="BH275" s="344">
        <f>IF(AO275=0,"",IFERROR(AVERAGEIFS(Data!$BF$4:$BF$375,Data!$A$4:$A$375,"&gt;"&amp;($A275-30),Data!$A$4:$A$375,"&lt;="&amp;$A275),""))</f>
        <v/>
      </c>
      <c r="BI275" s="359">
        <f>IF($A275="","",IFERROR(AVERAGEIFS(Data!$AF$4:$AF$375,Data!$A$4:$A$375,"&gt;"&amp;($A275-7),Data!$A$4:$A$375,"&lt;="&amp;$A275,Data!$AF$4:$AF$375,"&gt;0"),""))</f>
        <v/>
      </c>
      <c r="BJ275" s="345">
        <f>IF($A275="","",F275+G275+H275+I275+J275+K275+L275+M275+N275-IF(AS275=1,0,J275))</f>
        <v/>
      </c>
      <c r="BK275" s="345">
        <f>IF($A275="","",8+AS275)</f>
        <v/>
      </c>
      <c r="BL275" s="345">
        <f>IF(ISNUMBER(BF275),BF275,NA())</f>
        <v/>
      </c>
      <c r="BM275" s="345">
        <f>IF(ISNUMBER(AF275),AF275,NA())</f>
        <v/>
      </c>
      <c r="BN275" s="345">
        <f>IF(ISNUMBER(BI275),BI275,NA())</f>
        <v/>
      </c>
      <c r="BO275" s="345">
        <f>IF(ISNUMBER(AL275),AL275,NA())</f>
        <v/>
      </c>
      <c r="BP275" s="345">
        <f>IF(ISNUMBER(AM275),AM275,NA())</f>
        <v/>
      </c>
      <c r="BQ275" s="345">
        <f>IF(ISNUMBER(AN275),AN275,NA())</f>
        <v/>
      </c>
    </row>
    <row r="276">
      <c r="A276" s="358">
        <f>IF('Jun 2027'!AC7="","",'Jun 2027'!AC7)</f>
        <v/>
      </c>
      <c r="B276" s="345" t="n">
        <v>9</v>
      </c>
      <c r="C276" s="345">
        <f>IF($A276="","",25)</f>
        <v/>
      </c>
      <c r="D276" s="345">
        <f>IF($A276="","",WEEKDAY($A276,2))</f>
        <v/>
      </c>
      <c r="E276" s="345">
        <f>IF($A276="","",UPPER(TRIM('Jun 2027'!AC8)))</f>
        <v/>
      </c>
      <c r="F276" s="345">
        <f>IF($A276="","",IF(OR('Jun 2027'!AC10=TRUE,'Jun 2027'!AC10="x",'Jun 2027'!AC10="X"),1,0))</f>
        <v/>
      </c>
      <c r="G276" s="345">
        <f>IF($A276="","",IF(OR('Jun 2027'!AC11=TRUE,'Jun 2027'!AC11="x",'Jun 2027'!AC11="X"),1,0))</f>
        <v/>
      </c>
      <c r="H276" s="345">
        <f>IF($A276="","",IF(OR('Jun 2027'!AC12=TRUE,'Jun 2027'!AC12="x",'Jun 2027'!AC12="X"),1,0))</f>
        <v/>
      </c>
      <c r="I276" s="345">
        <f>IF($A276="","",IF(OR('Jun 2027'!AC13=TRUE,'Jun 2027'!AC13="x",'Jun 2027'!AC13="X"),1,0))</f>
        <v/>
      </c>
      <c r="J276" s="345">
        <f>IF($A276="","",IF(OR('Jun 2027'!AC14=TRUE,'Jun 2027'!AC14="x",'Jun 2027'!AC14="X"),1,0))</f>
        <v/>
      </c>
      <c r="K276" s="345">
        <f>IF($A276="","",IF(OR('Jun 2027'!AC15=TRUE,'Jun 2027'!AC15="x",'Jun 2027'!AC15="X"),1,0))</f>
        <v/>
      </c>
      <c r="L276" s="345">
        <f>IF($A276="","",IF(OR('Jun 2027'!AC16=TRUE,'Jun 2027'!AC16="x",'Jun 2027'!AC16="X"),1,0))</f>
        <v/>
      </c>
      <c r="M276" s="345">
        <f>IF($A276="","",IF(OR('Jun 2027'!AC17=TRUE,'Jun 2027'!AC17="x",'Jun 2027'!AC17="X"),1,0))</f>
        <v/>
      </c>
      <c r="N276" s="345">
        <f>IF($A276="","",IF(OR('Jun 2027'!AC18=TRUE,'Jun 2027'!AC18="x",'Jun 2027'!AC18="X"),1,0))</f>
        <v/>
      </c>
      <c r="O276" s="345">
        <f>IF($A276="","",IF(OR('Jun 2027'!AC20=TRUE,'Jun 2027'!AC20="x",'Jun 2027'!AC20="X"),1,0))</f>
        <v/>
      </c>
      <c r="P276" s="345">
        <f>IF($A276="","",IF(OR('Jun 2027'!AC21=TRUE,'Jun 2027'!AC21="x",'Jun 2027'!AC21="X"),1,0))</f>
        <v/>
      </c>
      <c r="Q276" s="345">
        <f>IF($A276="","",IF(OR('Jun 2027'!AC22=TRUE,'Jun 2027'!AC22="x",'Jun 2027'!AC22="X"),1,0))</f>
        <v/>
      </c>
      <c r="R276" s="345">
        <f>IF($A276="","",IF(OR('Jun 2027'!AC23=TRUE,'Jun 2027'!AC23="x",'Jun 2027'!AC23="X"),1,0))</f>
        <v/>
      </c>
      <c r="S276" s="345">
        <f>IF($A276="","",IF(OR('Jun 2027'!AC24=TRUE,'Jun 2027'!AC24="x",'Jun 2027'!AC24="X"),1,0))</f>
        <v/>
      </c>
      <c r="T276" s="345">
        <f>IF($A276="","",IF(OR('Jun 2027'!AC25=TRUE,'Jun 2027'!AC25="x",'Jun 2027'!AC25="X"),1,0))</f>
        <v/>
      </c>
      <c r="U276" s="345">
        <f>IF($A276="","",IF(OR('Jun 2027'!AC26=TRUE,'Jun 2027'!AC26="x",'Jun 2027'!AC26="X"),1,0))</f>
        <v/>
      </c>
      <c r="V276" s="345">
        <f>IF($A276="","",IF(OR('Jun 2027'!AC27=TRUE,'Jun 2027'!AC27="x",'Jun 2027'!AC27="X"),1,0))</f>
        <v/>
      </c>
      <c r="W276" s="345">
        <f>IF($A276="","",IF(OR('Jun 2027'!AC28=TRUE,'Jun 2027'!AC28="x",'Jun 2027'!AC28="X"),1,0))</f>
        <v/>
      </c>
      <c r="X276" s="345">
        <f>IF($A276="","",IF(OR('Jun 2027'!AC29=TRUE,'Jun 2027'!AC29="x",'Jun 2027'!AC29="X"),1,0))</f>
        <v/>
      </c>
      <c r="Y276" s="345">
        <f>IF($A276="","",IF(OR('Jun 2027'!AC30=TRUE,'Jun 2027'!AC30="x",'Jun 2027'!AC30="X"),1,0))</f>
        <v/>
      </c>
      <c r="Z276" s="345">
        <f>IF($A276="","",IF(OR('Jun 2027'!AC31=TRUE,'Jun 2027'!AC31="x",'Jun 2027'!AC31="X"),1,0))</f>
        <v/>
      </c>
      <c r="AA276" s="345">
        <f>IF($A276="","",IF(OR('Jun 2027'!AC32=TRUE,'Jun 2027'!AC32="x",'Jun 2027'!AC32="X"),1,0))</f>
        <v/>
      </c>
      <c r="AB276" s="345">
        <f>IF($A276="","",IF(OR('Jun 2027'!AC34=TRUE,'Jun 2027'!AC34="x",'Jun 2027'!AC34="X"),1,0))</f>
        <v/>
      </c>
      <c r="AC276" s="345">
        <f>IF($A276="","",IF(OR('Jun 2027'!AC35=TRUE,'Jun 2027'!AC35="x",'Jun 2027'!AC35="X"),1,0))</f>
        <v/>
      </c>
      <c r="AD276" s="345">
        <f>IF($A276="","",IF(OR('Jun 2027'!AC36=TRUE,'Jun 2027'!AC36="x",'Jun 2027'!AC36="X"),1,0))</f>
        <v/>
      </c>
      <c r="AE276" s="345">
        <f>IF($A276="","",IF(OR('Jun 2027'!AC37=TRUE,'Jun 2027'!AC37="x",'Jun 2027'!AC37="X"),1,0))</f>
        <v/>
      </c>
      <c r="AF276" s="345">
        <f>IF($A276="","",IF('Jun 2027'!AC59="","",'Jun 2027'!AC59))</f>
        <v/>
      </c>
      <c r="AG276" s="345">
        <f>IF($A276="","",IF('Jun 2027'!AC60="","",'Jun 2027'!AC60))</f>
        <v/>
      </c>
      <c r="AH276" s="345">
        <f>IF($A276="","",IF('Jun 2027'!AC61="","",'Jun 2027'!AC61))</f>
        <v/>
      </c>
      <c r="AI276" s="345">
        <f>IF($A276="","",IF('Jun 2027'!AC62="","",'Jun 2027'!AC62))</f>
        <v/>
      </c>
      <c r="AJ276" s="345">
        <f>IF($A276="","",IF('Jun 2027'!AC63="","",'Jun 2027'!AC63))</f>
        <v/>
      </c>
      <c r="AK276" s="345">
        <f>IF($A276="","",IF('Jun 2027'!AC64="","",'Jun 2027'!AC64))</f>
        <v/>
      </c>
      <c r="AL276" s="345">
        <f>IF($A276="","",IF('Jun 2027'!AC65="","",'Jun 2027'!AC65))</f>
        <v/>
      </c>
      <c r="AM276" s="345">
        <f>IF($A276="","",IF('Jun 2027'!AC66="","",'Jun 2027'!AC66))</f>
        <v/>
      </c>
      <c r="AN276" s="345">
        <f>IF($A276="","",IF('Jun 2027'!AC67="","",'Jun 2027'!AC67))</f>
        <v/>
      </c>
      <c r="AO276" s="345">
        <f>IF($A276="",0,IF(AND($A276&gt;=TrackStart,$A276&lt;=TODAY()),1,0))</f>
        <v/>
      </c>
      <c r="AP276" s="345">
        <f>IF($A276="",0,IF(SUM(F276:AE276)+COUNT(AF276:AN276)&gt;0,1,0))</f>
        <v/>
      </c>
      <c r="AQ276" s="345">
        <f>IF($A276="","",INT(($A276-TrackStart)/7)+1)</f>
        <v/>
      </c>
      <c r="AR276" s="345">
        <f>IF($A276="","",IF(AQ276&lt;=1,Steps1,IF(AQ276=2,Steps2,Steps3)))</f>
        <v/>
      </c>
      <c r="AS276" s="345">
        <f>IF($A276="",0,IF(ISNUMBER(SEARCH(TEXT(D276,"0"),WorkDays&amp;"")),1,0))</f>
        <v/>
      </c>
      <c r="AT276" s="345">
        <f>IF($A276="",0,IF(ISNUMBER(SEARCH(TEXT(D276,"0"),StrDays&amp;"")),1,0))</f>
        <v/>
      </c>
      <c r="AU276" s="345">
        <f>IF($A276="",0,IF(ISNUMBER(AK276),IF(AK276&gt;=SleepMin,1,0),N276))</f>
        <v/>
      </c>
      <c r="AV276" s="345">
        <f>IF($A276="",0,MAX(I276,O276,S276,AC276))</f>
        <v/>
      </c>
      <c r="AW276" s="345">
        <f>IF($A276="",0,IF(ISNUMBER(AH276),IF(AH276&gt;=ProtHit,1,0),0))</f>
        <v/>
      </c>
      <c r="AX276" s="345">
        <f>IF($A276="",0,IF(ISNUMBER(AI276),IF(AI276&gt;=WaterHit,1,0),0))</f>
        <v/>
      </c>
      <c r="AY276" s="345">
        <f>IF($A276="",0,IF(ISNUMBER(AG276),IF(AG276&gt;=AR276,1,0),0))</f>
        <v/>
      </c>
      <c r="AZ276" s="345">
        <f>IF($A276="",0,G276)</f>
        <v/>
      </c>
      <c r="BA276" s="345">
        <f>IF($A276="",0,J276)</f>
        <v/>
      </c>
      <c r="BB276" s="345">
        <f>IF($A276="",0,K276)</f>
        <v/>
      </c>
      <c r="BC276" s="345">
        <f>IF($A276="",0,MAX(L276,AE276))</f>
        <v/>
      </c>
      <c r="BD276" s="344">
        <f>IF($A276="","",(AU276+AV276+AW276+AX276+AY276+AZ276+BB276+BC276+IF(AS276=1,BA276,0))/(8+AS276))</f>
        <v/>
      </c>
      <c r="BE276" s="344">
        <f>IF($A276="","",(IF(ISNUMBER(AI276),IF(AI276&gt;=WaterMVD,1,0),0)+AV276+IF(ISNUMBER(AH276),IF(AH276&gt;=ProtMVD,1,0),0)+MAX(H276,AD276)+AZ276+BB276+AU276)/7)</f>
        <v/>
      </c>
      <c r="BF276" s="344">
        <f>IF(AO276=0,"",IF(E276="S","",IF(AND(AP276=0,$A276=TODAY()),"",IF(E276="M",BE276,BD276))))</f>
        <v/>
      </c>
      <c r="BG276" s="344">
        <f>IF(AO276=0,"",IFERROR(AVERAGEIFS(Data!$BF$4:$BF$375,Data!$A$4:$A$375,"&gt;"&amp;($A276-7),Data!$A$4:$A$375,"&lt;="&amp;$A276),""))</f>
        <v/>
      </c>
      <c r="BH276" s="344">
        <f>IF(AO276=0,"",IFERROR(AVERAGEIFS(Data!$BF$4:$BF$375,Data!$A$4:$A$375,"&gt;"&amp;($A276-30),Data!$A$4:$A$375,"&lt;="&amp;$A276),""))</f>
        <v/>
      </c>
      <c r="BI276" s="359">
        <f>IF($A276="","",IFERROR(AVERAGEIFS(Data!$AF$4:$AF$375,Data!$A$4:$A$375,"&gt;"&amp;($A276-7),Data!$A$4:$A$375,"&lt;="&amp;$A276,Data!$AF$4:$AF$375,"&gt;0"),""))</f>
        <v/>
      </c>
      <c r="BJ276" s="345">
        <f>IF($A276="","",F276+G276+H276+I276+J276+K276+L276+M276+N276-IF(AS276=1,0,J276))</f>
        <v/>
      </c>
      <c r="BK276" s="345">
        <f>IF($A276="","",8+AS276)</f>
        <v/>
      </c>
      <c r="BL276" s="345">
        <f>IF(ISNUMBER(BF276),BF276,NA())</f>
        <v/>
      </c>
      <c r="BM276" s="345">
        <f>IF(ISNUMBER(AF276),AF276,NA())</f>
        <v/>
      </c>
      <c r="BN276" s="345">
        <f>IF(ISNUMBER(BI276),BI276,NA())</f>
        <v/>
      </c>
      <c r="BO276" s="345">
        <f>IF(ISNUMBER(AL276),AL276,NA())</f>
        <v/>
      </c>
      <c r="BP276" s="345">
        <f>IF(ISNUMBER(AM276),AM276,NA())</f>
        <v/>
      </c>
      <c r="BQ276" s="345">
        <f>IF(ISNUMBER(AN276),AN276,NA())</f>
        <v/>
      </c>
    </row>
    <row r="277">
      <c r="A277" s="358">
        <f>IF('Jun 2027'!AD7="","",'Jun 2027'!AD7)</f>
        <v/>
      </c>
      <c r="B277" s="345" t="n">
        <v>9</v>
      </c>
      <c r="C277" s="345">
        <f>IF($A277="","",26)</f>
        <v/>
      </c>
      <c r="D277" s="345">
        <f>IF($A277="","",WEEKDAY($A277,2))</f>
        <v/>
      </c>
      <c r="E277" s="345">
        <f>IF($A277="","",UPPER(TRIM('Jun 2027'!AD8)))</f>
        <v/>
      </c>
      <c r="F277" s="345">
        <f>IF($A277="","",IF(OR('Jun 2027'!AD10=TRUE,'Jun 2027'!AD10="x",'Jun 2027'!AD10="X"),1,0))</f>
        <v/>
      </c>
      <c r="G277" s="345">
        <f>IF($A277="","",IF(OR('Jun 2027'!AD11=TRUE,'Jun 2027'!AD11="x",'Jun 2027'!AD11="X"),1,0))</f>
        <v/>
      </c>
      <c r="H277" s="345">
        <f>IF($A277="","",IF(OR('Jun 2027'!AD12=TRUE,'Jun 2027'!AD12="x",'Jun 2027'!AD12="X"),1,0))</f>
        <v/>
      </c>
      <c r="I277" s="345">
        <f>IF($A277="","",IF(OR('Jun 2027'!AD13=TRUE,'Jun 2027'!AD13="x",'Jun 2027'!AD13="X"),1,0))</f>
        <v/>
      </c>
      <c r="J277" s="345">
        <f>IF($A277="","",IF(OR('Jun 2027'!AD14=TRUE,'Jun 2027'!AD14="x",'Jun 2027'!AD14="X"),1,0))</f>
        <v/>
      </c>
      <c r="K277" s="345">
        <f>IF($A277="","",IF(OR('Jun 2027'!AD15=TRUE,'Jun 2027'!AD15="x",'Jun 2027'!AD15="X"),1,0))</f>
        <v/>
      </c>
      <c r="L277" s="345">
        <f>IF($A277="","",IF(OR('Jun 2027'!AD16=TRUE,'Jun 2027'!AD16="x",'Jun 2027'!AD16="X"),1,0))</f>
        <v/>
      </c>
      <c r="M277" s="345">
        <f>IF($A277="","",IF(OR('Jun 2027'!AD17=TRUE,'Jun 2027'!AD17="x",'Jun 2027'!AD17="X"),1,0))</f>
        <v/>
      </c>
      <c r="N277" s="345">
        <f>IF($A277="","",IF(OR('Jun 2027'!AD18=TRUE,'Jun 2027'!AD18="x",'Jun 2027'!AD18="X"),1,0))</f>
        <v/>
      </c>
      <c r="O277" s="345">
        <f>IF($A277="","",IF(OR('Jun 2027'!AD20=TRUE,'Jun 2027'!AD20="x",'Jun 2027'!AD20="X"),1,0))</f>
        <v/>
      </c>
      <c r="P277" s="345">
        <f>IF($A277="","",IF(OR('Jun 2027'!AD21=TRUE,'Jun 2027'!AD21="x",'Jun 2027'!AD21="X"),1,0))</f>
        <v/>
      </c>
      <c r="Q277" s="345">
        <f>IF($A277="","",IF(OR('Jun 2027'!AD22=TRUE,'Jun 2027'!AD22="x",'Jun 2027'!AD22="X"),1,0))</f>
        <v/>
      </c>
      <c r="R277" s="345">
        <f>IF($A277="","",IF(OR('Jun 2027'!AD23=TRUE,'Jun 2027'!AD23="x",'Jun 2027'!AD23="X"),1,0))</f>
        <v/>
      </c>
      <c r="S277" s="345">
        <f>IF($A277="","",IF(OR('Jun 2027'!AD24=TRUE,'Jun 2027'!AD24="x",'Jun 2027'!AD24="X"),1,0))</f>
        <v/>
      </c>
      <c r="T277" s="345">
        <f>IF($A277="","",IF(OR('Jun 2027'!AD25=TRUE,'Jun 2027'!AD25="x",'Jun 2027'!AD25="X"),1,0))</f>
        <v/>
      </c>
      <c r="U277" s="345">
        <f>IF($A277="","",IF(OR('Jun 2027'!AD26=TRUE,'Jun 2027'!AD26="x",'Jun 2027'!AD26="X"),1,0))</f>
        <v/>
      </c>
      <c r="V277" s="345">
        <f>IF($A277="","",IF(OR('Jun 2027'!AD27=TRUE,'Jun 2027'!AD27="x",'Jun 2027'!AD27="X"),1,0))</f>
        <v/>
      </c>
      <c r="W277" s="345">
        <f>IF($A277="","",IF(OR('Jun 2027'!AD28=TRUE,'Jun 2027'!AD28="x",'Jun 2027'!AD28="X"),1,0))</f>
        <v/>
      </c>
      <c r="X277" s="345">
        <f>IF($A277="","",IF(OR('Jun 2027'!AD29=TRUE,'Jun 2027'!AD29="x",'Jun 2027'!AD29="X"),1,0))</f>
        <v/>
      </c>
      <c r="Y277" s="345">
        <f>IF($A277="","",IF(OR('Jun 2027'!AD30=TRUE,'Jun 2027'!AD30="x",'Jun 2027'!AD30="X"),1,0))</f>
        <v/>
      </c>
      <c r="Z277" s="345">
        <f>IF($A277="","",IF(OR('Jun 2027'!AD31=TRUE,'Jun 2027'!AD31="x",'Jun 2027'!AD31="X"),1,0))</f>
        <v/>
      </c>
      <c r="AA277" s="345">
        <f>IF($A277="","",IF(OR('Jun 2027'!AD32=TRUE,'Jun 2027'!AD32="x",'Jun 2027'!AD32="X"),1,0))</f>
        <v/>
      </c>
      <c r="AB277" s="345">
        <f>IF($A277="","",IF(OR('Jun 2027'!AD34=TRUE,'Jun 2027'!AD34="x",'Jun 2027'!AD34="X"),1,0))</f>
        <v/>
      </c>
      <c r="AC277" s="345">
        <f>IF($A277="","",IF(OR('Jun 2027'!AD35=TRUE,'Jun 2027'!AD35="x",'Jun 2027'!AD35="X"),1,0))</f>
        <v/>
      </c>
      <c r="AD277" s="345">
        <f>IF($A277="","",IF(OR('Jun 2027'!AD36=TRUE,'Jun 2027'!AD36="x",'Jun 2027'!AD36="X"),1,0))</f>
        <v/>
      </c>
      <c r="AE277" s="345">
        <f>IF($A277="","",IF(OR('Jun 2027'!AD37=TRUE,'Jun 2027'!AD37="x",'Jun 2027'!AD37="X"),1,0))</f>
        <v/>
      </c>
      <c r="AF277" s="345">
        <f>IF($A277="","",IF('Jun 2027'!AD59="","",'Jun 2027'!AD59))</f>
        <v/>
      </c>
      <c r="AG277" s="345">
        <f>IF($A277="","",IF('Jun 2027'!AD60="","",'Jun 2027'!AD60))</f>
        <v/>
      </c>
      <c r="AH277" s="345">
        <f>IF($A277="","",IF('Jun 2027'!AD61="","",'Jun 2027'!AD61))</f>
        <v/>
      </c>
      <c r="AI277" s="345">
        <f>IF($A277="","",IF('Jun 2027'!AD62="","",'Jun 2027'!AD62))</f>
        <v/>
      </c>
      <c r="AJ277" s="345">
        <f>IF($A277="","",IF('Jun 2027'!AD63="","",'Jun 2027'!AD63))</f>
        <v/>
      </c>
      <c r="AK277" s="345">
        <f>IF($A277="","",IF('Jun 2027'!AD64="","",'Jun 2027'!AD64))</f>
        <v/>
      </c>
      <c r="AL277" s="345">
        <f>IF($A277="","",IF('Jun 2027'!AD65="","",'Jun 2027'!AD65))</f>
        <v/>
      </c>
      <c r="AM277" s="345">
        <f>IF($A277="","",IF('Jun 2027'!AD66="","",'Jun 2027'!AD66))</f>
        <v/>
      </c>
      <c r="AN277" s="345">
        <f>IF($A277="","",IF('Jun 2027'!AD67="","",'Jun 2027'!AD67))</f>
        <v/>
      </c>
      <c r="AO277" s="345">
        <f>IF($A277="",0,IF(AND($A277&gt;=TrackStart,$A277&lt;=TODAY()),1,0))</f>
        <v/>
      </c>
      <c r="AP277" s="345">
        <f>IF($A277="",0,IF(SUM(F277:AE277)+COUNT(AF277:AN277)&gt;0,1,0))</f>
        <v/>
      </c>
      <c r="AQ277" s="345">
        <f>IF($A277="","",INT(($A277-TrackStart)/7)+1)</f>
        <v/>
      </c>
      <c r="AR277" s="345">
        <f>IF($A277="","",IF(AQ277&lt;=1,Steps1,IF(AQ277=2,Steps2,Steps3)))</f>
        <v/>
      </c>
      <c r="AS277" s="345">
        <f>IF($A277="",0,IF(ISNUMBER(SEARCH(TEXT(D277,"0"),WorkDays&amp;"")),1,0))</f>
        <v/>
      </c>
      <c r="AT277" s="345">
        <f>IF($A277="",0,IF(ISNUMBER(SEARCH(TEXT(D277,"0"),StrDays&amp;"")),1,0))</f>
        <v/>
      </c>
      <c r="AU277" s="345">
        <f>IF($A277="",0,IF(ISNUMBER(AK277),IF(AK277&gt;=SleepMin,1,0),N277))</f>
        <v/>
      </c>
      <c r="AV277" s="345">
        <f>IF($A277="",0,MAX(I277,O277,S277,AC277))</f>
        <v/>
      </c>
      <c r="AW277" s="345">
        <f>IF($A277="",0,IF(ISNUMBER(AH277),IF(AH277&gt;=ProtHit,1,0),0))</f>
        <v/>
      </c>
      <c r="AX277" s="345">
        <f>IF($A277="",0,IF(ISNUMBER(AI277),IF(AI277&gt;=WaterHit,1,0),0))</f>
        <v/>
      </c>
      <c r="AY277" s="345">
        <f>IF($A277="",0,IF(ISNUMBER(AG277),IF(AG277&gt;=AR277,1,0),0))</f>
        <v/>
      </c>
      <c r="AZ277" s="345">
        <f>IF($A277="",0,G277)</f>
        <v/>
      </c>
      <c r="BA277" s="345">
        <f>IF($A277="",0,J277)</f>
        <v/>
      </c>
      <c r="BB277" s="345">
        <f>IF($A277="",0,K277)</f>
        <v/>
      </c>
      <c r="BC277" s="345">
        <f>IF($A277="",0,MAX(L277,AE277))</f>
        <v/>
      </c>
      <c r="BD277" s="344">
        <f>IF($A277="","",(AU277+AV277+AW277+AX277+AY277+AZ277+BB277+BC277+IF(AS277=1,BA277,0))/(8+AS277))</f>
        <v/>
      </c>
      <c r="BE277" s="344">
        <f>IF($A277="","",(IF(ISNUMBER(AI277),IF(AI277&gt;=WaterMVD,1,0),0)+AV277+IF(ISNUMBER(AH277),IF(AH277&gt;=ProtMVD,1,0),0)+MAX(H277,AD277)+AZ277+BB277+AU277)/7)</f>
        <v/>
      </c>
      <c r="BF277" s="344">
        <f>IF(AO277=0,"",IF(E277="S","",IF(AND(AP277=0,$A277=TODAY()),"",IF(E277="M",BE277,BD277))))</f>
        <v/>
      </c>
      <c r="BG277" s="344">
        <f>IF(AO277=0,"",IFERROR(AVERAGEIFS(Data!$BF$4:$BF$375,Data!$A$4:$A$375,"&gt;"&amp;($A277-7),Data!$A$4:$A$375,"&lt;="&amp;$A277),""))</f>
        <v/>
      </c>
      <c r="BH277" s="344">
        <f>IF(AO277=0,"",IFERROR(AVERAGEIFS(Data!$BF$4:$BF$375,Data!$A$4:$A$375,"&gt;"&amp;($A277-30),Data!$A$4:$A$375,"&lt;="&amp;$A277),""))</f>
        <v/>
      </c>
      <c r="BI277" s="359">
        <f>IF($A277="","",IFERROR(AVERAGEIFS(Data!$AF$4:$AF$375,Data!$A$4:$A$375,"&gt;"&amp;($A277-7),Data!$A$4:$A$375,"&lt;="&amp;$A277,Data!$AF$4:$AF$375,"&gt;0"),""))</f>
        <v/>
      </c>
      <c r="BJ277" s="345">
        <f>IF($A277="","",F277+G277+H277+I277+J277+K277+L277+M277+N277-IF(AS277=1,0,J277))</f>
        <v/>
      </c>
      <c r="BK277" s="345">
        <f>IF($A277="","",8+AS277)</f>
        <v/>
      </c>
      <c r="BL277" s="345">
        <f>IF(ISNUMBER(BF277),BF277,NA())</f>
        <v/>
      </c>
      <c r="BM277" s="345">
        <f>IF(ISNUMBER(AF277),AF277,NA())</f>
        <v/>
      </c>
      <c r="BN277" s="345">
        <f>IF(ISNUMBER(BI277),BI277,NA())</f>
        <v/>
      </c>
      <c r="BO277" s="345">
        <f>IF(ISNUMBER(AL277),AL277,NA())</f>
        <v/>
      </c>
      <c r="BP277" s="345">
        <f>IF(ISNUMBER(AM277),AM277,NA())</f>
        <v/>
      </c>
      <c r="BQ277" s="345">
        <f>IF(ISNUMBER(AN277),AN277,NA())</f>
        <v/>
      </c>
    </row>
    <row r="278">
      <c r="A278" s="358">
        <f>IF('Jun 2027'!AE7="","",'Jun 2027'!AE7)</f>
        <v/>
      </c>
      <c r="B278" s="345" t="n">
        <v>9</v>
      </c>
      <c r="C278" s="345">
        <f>IF($A278="","",27)</f>
        <v/>
      </c>
      <c r="D278" s="345">
        <f>IF($A278="","",WEEKDAY($A278,2))</f>
        <v/>
      </c>
      <c r="E278" s="345">
        <f>IF($A278="","",UPPER(TRIM('Jun 2027'!AE8)))</f>
        <v/>
      </c>
      <c r="F278" s="345">
        <f>IF($A278="","",IF(OR('Jun 2027'!AE10=TRUE,'Jun 2027'!AE10="x",'Jun 2027'!AE10="X"),1,0))</f>
        <v/>
      </c>
      <c r="G278" s="345">
        <f>IF($A278="","",IF(OR('Jun 2027'!AE11=TRUE,'Jun 2027'!AE11="x",'Jun 2027'!AE11="X"),1,0))</f>
        <v/>
      </c>
      <c r="H278" s="345">
        <f>IF($A278="","",IF(OR('Jun 2027'!AE12=TRUE,'Jun 2027'!AE12="x",'Jun 2027'!AE12="X"),1,0))</f>
        <v/>
      </c>
      <c r="I278" s="345">
        <f>IF($A278="","",IF(OR('Jun 2027'!AE13=TRUE,'Jun 2027'!AE13="x",'Jun 2027'!AE13="X"),1,0))</f>
        <v/>
      </c>
      <c r="J278" s="345">
        <f>IF($A278="","",IF(OR('Jun 2027'!AE14=TRUE,'Jun 2027'!AE14="x",'Jun 2027'!AE14="X"),1,0))</f>
        <v/>
      </c>
      <c r="K278" s="345">
        <f>IF($A278="","",IF(OR('Jun 2027'!AE15=TRUE,'Jun 2027'!AE15="x",'Jun 2027'!AE15="X"),1,0))</f>
        <v/>
      </c>
      <c r="L278" s="345">
        <f>IF($A278="","",IF(OR('Jun 2027'!AE16=TRUE,'Jun 2027'!AE16="x",'Jun 2027'!AE16="X"),1,0))</f>
        <v/>
      </c>
      <c r="M278" s="345">
        <f>IF($A278="","",IF(OR('Jun 2027'!AE17=TRUE,'Jun 2027'!AE17="x",'Jun 2027'!AE17="X"),1,0))</f>
        <v/>
      </c>
      <c r="N278" s="345">
        <f>IF($A278="","",IF(OR('Jun 2027'!AE18=TRUE,'Jun 2027'!AE18="x",'Jun 2027'!AE18="X"),1,0))</f>
        <v/>
      </c>
      <c r="O278" s="345">
        <f>IF($A278="","",IF(OR('Jun 2027'!AE20=TRUE,'Jun 2027'!AE20="x",'Jun 2027'!AE20="X"),1,0))</f>
        <v/>
      </c>
      <c r="P278" s="345">
        <f>IF($A278="","",IF(OR('Jun 2027'!AE21=TRUE,'Jun 2027'!AE21="x",'Jun 2027'!AE21="X"),1,0))</f>
        <v/>
      </c>
      <c r="Q278" s="345">
        <f>IF($A278="","",IF(OR('Jun 2027'!AE22=TRUE,'Jun 2027'!AE22="x",'Jun 2027'!AE22="X"),1,0))</f>
        <v/>
      </c>
      <c r="R278" s="345">
        <f>IF($A278="","",IF(OR('Jun 2027'!AE23=TRUE,'Jun 2027'!AE23="x",'Jun 2027'!AE23="X"),1,0))</f>
        <v/>
      </c>
      <c r="S278" s="345">
        <f>IF($A278="","",IF(OR('Jun 2027'!AE24=TRUE,'Jun 2027'!AE24="x",'Jun 2027'!AE24="X"),1,0))</f>
        <v/>
      </c>
      <c r="T278" s="345">
        <f>IF($A278="","",IF(OR('Jun 2027'!AE25=TRUE,'Jun 2027'!AE25="x",'Jun 2027'!AE25="X"),1,0))</f>
        <v/>
      </c>
      <c r="U278" s="345">
        <f>IF($A278="","",IF(OR('Jun 2027'!AE26=TRUE,'Jun 2027'!AE26="x",'Jun 2027'!AE26="X"),1,0))</f>
        <v/>
      </c>
      <c r="V278" s="345">
        <f>IF($A278="","",IF(OR('Jun 2027'!AE27=TRUE,'Jun 2027'!AE27="x",'Jun 2027'!AE27="X"),1,0))</f>
        <v/>
      </c>
      <c r="W278" s="345">
        <f>IF($A278="","",IF(OR('Jun 2027'!AE28=TRUE,'Jun 2027'!AE28="x",'Jun 2027'!AE28="X"),1,0))</f>
        <v/>
      </c>
      <c r="X278" s="345">
        <f>IF($A278="","",IF(OR('Jun 2027'!AE29=TRUE,'Jun 2027'!AE29="x",'Jun 2027'!AE29="X"),1,0))</f>
        <v/>
      </c>
      <c r="Y278" s="345">
        <f>IF($A278="","",IF(OR('Jun 2027'!AE30=TRUE,'Jun 2027'!AE30="x",'Jun 2027'!AE30="X"),1,0))</f>
        <v/>
      </c>
      <c r="Z278" s="345">
        <f>IF($A278="","",IF(OR('Jun 2027'!AE31=TRUE,'Jun 2027'!AE31="x",'Jun 2027'!AE31="X"),1,0))</f>
        <v/>
      </c>
      <c r="AA278" s="345">
        <f>IF($A278="","",IF(OR('Jun 2027'!AE32=TRUE,'Jun 2027'!AE32="x",'Jun 2027'!AE32="X"),1,0))</f>
        <v/>
      </c>
      <c r="AB278" s="345">
        <f>IF($A278="","",IF(OR('Jun 2027'!AE34=TRUE,'Jun 2027'!AE34="x",'Jun 2027'!AE34="X"),1,0))</f>
        <v/>
      </c>
      <c r="AC278" s="345">
        <f>IF($A278="","",IF(OR('Jun 2027'!AE35=TRUE,'Jun 2027'!AE35="x",'Jun 2027'!AE35="X"),1,0))</f>
        <v/>
      </c>
      <c r="AD278" s="345">
        <f>IF($A278="","",IF(OR('Jun 2027'!AE36=TRUE,'Jun 2027'!AE36="x",'Jun 2027'!AE36="X"),1,0))</f>
        <v/>
      </c>
      <c r="AE278" s="345">
        <f>IF($A278="","",IF(OR('Jun 2027'!AE37=TRUE,'Jun 2027'!AE37="x",'Jun 2027'!AE37="X"),1,0))</f>
        <v/>
      </c>
      <c r="AF278" s="345">
        <f>IF($A278="","",IF('Jun 2027'!AE59="","",'Jun 2027'!AE59))</f>
        <v/>
      </c>
      <c r="AG278" s="345">
        <f>IF($A278="","",IF('Jun 2027'!AE60="","",'Jun 2027'!AE60))</f>
        <v/>
      </c>
      <c r="AH278" s="345">
        <f>IF($A278="","",IF('Jun 2027'!AE61="","",'Jun 2027'!AE61))</f>
        <v/>
      </c>
      <c r="AI278" s="345">
        <f>IF($A278="","",IF('Jun 2027'!AE62="","",'Jun 2027'!AE62))</f>
        <v/>
      </c>
      <c r="AJ278" s="345">
        <f>IF($A278="","",IF('Jun 2027'!AE63="","",'Jun 2027'!AE63))</f>
        <v/>
      </c>
      <c r="AK278" s="345">
        <f>IF($A278="","",IF('Jun 2027'!AE64="","",'Jun 2027'!AE64))</f>
        <v/>
      </c>
      <c r="AL278" s="345">
        <f>IF($A278="","",IF('Jun 2027'!AE65="","",'Jun 2027'!AE65))</f>
        <v/>
      </c>
      <c r="AM278" s="345">
        <f>IF($A278="","",IF('Jun 2027'!AE66="","",'Jun 2027'!AE66))</f>
        <v/>
      </c>
      <c r="AN278" s="345">
        <f>IF($A278="","",IF('Jun 2027'!AE67="","",'Jun 2027'!AE67))</f>
        <v/>
      </c>
      <c r="AO278" s="345">
        <f>IF($A278="",0,IF(AND($A278&gt;=TrackStart,$A278&lt;=TODAY()),1,0))</f>
        <v/>
      </c>
      <c r="AP278" s="345">
        <f>IF($A278="",0,IF(SUM(F278:AE278)+COUNT(AF278:AN278)&gt;0,1,0))</f>
        <v/>
      </c>
      <c r="AQ278" s="345">
        <f>IF($A278="","",INT(($A278-TrackStart)/7)+1)</f>
        <v/>
      </c>
      <c r="AR278" s="345">
        <f>IF($A278="","",IF(AQ278&lt;=1,Steps1,IF(AQ278=2,Steps2,Steps3)))</f>
        <v/>
      </c>
      <c r="AS278" s="345">
        <f>IF($A278="",0,IF(ISNUMBER(SEARCH(TEXT(D278,"0"),WorkDays&amp;"")),1,0))</f>
        <v/>
      </c>
      <c r="AT278" s="345">
        <f>IF($A278="",0,IF(ISNUMBER(SEARCH(TEXT(D278,"0"),StrDays&amp;"")),1,0))</f>
        <v/>
      </c>
      <c r="AU278" s="345">
        <f>IF($A278="",0,IF(ISNUMBER(AK278),IF(AK278&gt;=SleepMin,1,0),N278))</f>
        <v/>
      </c>
      <c r="AV278" s="345">
        <f>IF($A278="",0,MAX(I278,O278,S278,AC278))</f>
        <v/>
      </c>
      <c r="AW278" s="345">
        <f>IF($A278="",0,IF(ISNUMBER(AH278),IF(AH278&gt;=ProtHit,1,0),0))</f>
        <v/>
      </c>
      <c r="AX278" s="345">
        <f>IF($A278="",0,IF(ISNUMBER(AI278),IF(AI278&gt;=WaterHit,1,0),0))</f>
        <v/>
      </c>
      <c r="AY278" s="345">
        <f>IF($A278="",0,IF(ISNUMBER(AG278),IF(AG278&gt;=AR278,1,0),0))</f>
        <v/>
      </c>
      <c r="AZ278" s="345">
        <f>IF($A278="",0,G278)</f>
        <v/>
      </c>
      <c r="BA278" s="345">
        <f>IF($A278="",0,J278)</f>
        <v/>
      </c>
      <c r="BB278" s="345">
        <f>IF($A278="",0,K278)</f>
        <v/>
      </c>
      <c r="BC278" s="345">
        <f>IF($A278="",0,MAX(L278,AE278))</f>
        <v/>
      </c>
      <c r="BD278" s="344">
        <f>IF($A278="","",(AU278+AV278+AW278+AX278+AY278+AZ278+BB278+BC278+IF(AS278=1,BA278,0))/(8+AS278))</f>
        <v/>
      </c>
      <c r="BE278" s="344">
        <f>IF($A278="","",(IF(ISNUMBER(AI278),IF(AI278&gt;=WaterMVD,1,0),0)+AV278+IF(ISNUMBER(AH278),IF(AH278&gt;=ProtMVD,1,0),0)+MAX(H278,AD278)+AZ278+BB278+AU278)/7)</f>
        <v/>
      </c>
      <c r="BF278" s="344">
        <f>IF(AO278=0,"",IF(E278="S","",IF(AND(AP278=0,$A278=TODAY()),"",IF(E278="M",BE278,BD278))))</f>
        <v/>
      </c>
      <c r="BG278" s="344">
        <f>IF(AO278=0,"",IFERROR(AVERAGEIFS(Data!$BF$4:$BF$375,Data!$A$4:$A$375,"&gt;"&amp;($A278-7),Data!$A$4:$A$375,"&lt;="&amp;$A278),""))</f>
        <v/>
      </c>
      <c r="BH278" s="344">
        <f>IF(AO278=0,"",IFERROR(AVERAGEIFS(Data!$BF$4:$BF$375,Data!$A$4:$A$375,"&gt;"&amp;($A278-30),Data!$A$4:$A$375,"&lt;="&amp;$A278),""))</f>
        <v/>
      </c>
      <c r="BI278" s="359">
        <f>IF($A278="","",IFERROR(AVERAGEIFS(Data!$AF$4:$AF$375,Data!$A$4:$A$375,"&gt;"&amp;($A278-7),Data!$A$4:$A$375,"&lt;="&amp;$A278,Data!$AF$4:$AF$375,"&gt;0"),""))</f>
        <v/>
      </c>
      <c r="BJ278" s="345">
        <f>IF($A278="","",F278+G278+H278+I278+J278+K278+L278+M278+N278-IF(AS278=1,0,J278))</f>
        <v/>
      </c>
      <c r="BK278" s="345">
        <f>IF($A278="","",8+AS278)</f>
        <v/>
      </c>
      <c r="BL278" s="345">
        <f>IF(ISNUMBER(BF278),BF278,NA())</f>
        <v/>
      </c>
      <c r="BM278" s="345">
        <f>IF(ISNUMBER(AF278),AF278,NA())</f>
        <v/>
      </c>
      <c r="BN278" s="345">
        <f>IF(ISNUMBER(BI278),BI278,NA())</f>
        <v/>
      </c>
      <c r="BO278" s="345">
        <f>IF(ISNUMBER(AL278),AL278,NA())</f>
        <v/>
      </c>
      <c r="BP278" s="345">
        <f>IF(ISNUMBER(AM278),AM278,NA())</f>
        <v/>
      </c>
      <c r="BQ278" s="345">
        <f>IF(ISNUMBER(AN278),AN278,NA())</f>
        <v/>
      </c>
    </row>
    <row r="279">
      <c r="A279" s="358">
        <f>IF('Jun 2027'!AF7="","",'Jun 2027'!AF7)</f>
        <v/>
      </c>
      <c r="B279" s="345" t="n">
        <v>9</v>
      </c>
      <c r="C279" s="345">
        <f>IF($A279="","",28)</f>
        <v/>
      </c>
      <c r="D279" s="345">
        <f>IF($A279="","",WEEKDAY($A279,2))</f>
        <v/>
      </c>
      <c r="E279" s="345">
        <f>IF($A279="","",UPPER(TRIM('Jun 2027'!AF8)))</f>
        <v/>
      </c>
      <c r="F279" s="345">
        <f>IF($A279="","",IF(OR('Jun 2027'!AF10=TRUE,'Jun 2027'!AF10="x",'Jun 2027'!AF10="X"),1,0))</f>
        <v/>
      </c>
      <c r="G279" s="345">
        <f>IF($A279="","",IF(OR('Jun 2027'!AF11=TRUE,'Jun 2027'!AF11="x",'Jun 2027'!AF11="X"),1,0))</f>
        <v/>
      </c>
      <c r="H279" s="345">
        <f>IF($A279="","",IF(OR('Jun 2027'!AF12=TRUE,'Jun 2027'!AF12="x",'Jun 2027'!AF12="X"),1,0))</f>
        <v/>
      </c>
      <c r="I279" s="345">
        <f>IF($A279="","",IF(OR('Jun 2027'!AF13=TRUE,'Jun 2027'!AF13="x",'Jun 2027'!AF13="X"),1,0))</f>
        <v/>
      </c>
      <c r="J279" s="345">
        <f>IF($A279="","",IF(OR('Jun 2027'!AF14=TRUE,'Jun 2027'!AF14="x",'Jun 2027'!AF14="X"),1,0))</f>
        <v/>
      </c>
      <c r="K279" s="345">
        <f>IF($A279="","",IF(OR('Jun 2027'!AF15=TRUE,'Jun 2027'!AF15="x",'Jun 2027'!AF15="X"),1,0))</f>
        <v/>
      </c>
      <c r="L279" s="345">
        <f>IF($A279="","",IF(OR('Jun 2027'!AF16=TRUE,'Jun 2027'!AF16="x",'Jun 2027'!AF16="X"),1,0))</f>
        <v/>
      </c>
      <c r="M279" s="345">
        <f>IF($A279="","",IF(OR('Jun 2027'!AF17=TRUE,'Jun 2027'!AF17="x",'Jun 2027'!AF17="X"),1,0))</f>
        <v/>
      </c>
      <c r="N279" s="345">
        <f>IF($A279="","",IF(OR('Jun 2027'!AF18=TRUE,'Jun 2027'!AF18="x",'Jun 2027'!AF18="X"),1,0))</f>
        <v/>
      </c>
      <c r="O279" s="345">
        <f>IF($A279="","",IF(OR('Jun 2027'!AF20=TRUE,'Jun 2027'!AF20="x",'Jun 2027'!AF20="X"),1,0))</f>
        <v/>
      </c>
      <c r="P279" s="345">
        <f>IF($A279="","",IF(OR('Jun 2027'!AF21=TRUE,'Jun 2027'!AF21="x",'Jun 2027'!AF21="X"),1,0))</f>
        <v/>
      </c>
      <c r="Q279" s="345">
        <f>IF($A279="","",IF(OR('Jun 2027'!AF22=TRUE,'Jun 2027'!AF22="x",'Jun 2027'!AF22="X"),1,0))</f>
        <v/>
      </c>
      <c r="R279" s="345">
        <f>IF($A279="","",IF(OR('Jun 2027'!AF23=TRUE,'Jun 2027'!AF23="x",'Jun 2027'!AF23="X"),1,0))</f>
        <v/>
      </c>
      <c r="S279" s="345">
        <f>IF($A279="","",IF(OR('Jun 2027'!AF24=TRUE,'Jun 2027'!AF24="x",'Jun 2027'!AF24="X"),1,0))</f>
        <v/>
      </c>
      <c r="T279" s="345">
        <f>IF($A279="","",IF(OR('Jun 2027'!AF25=TRUE,'Jun 2027'!AF25="x",'Jun 2027'!AF25="X"),1,0))</f>
        <v/>
      </c>
      <c r="U279" s="345">
        <f>IF($A279="","",IF(OR('Jun 2027'!AF26=TRUE,'Jun 2027'!AF26="x",'Jun 2027'!AF26="X"),1,0))</f>
        <v/>
      </c>
      <c r="V279" s="345">
        <f>IF($A279="","",IF(OR('Jun 2027'!AF27=TRUE,'Jun 2027'!AF27="x",'Jun 2027'!AF27="X"),1,0))</f>
        <v/>
      </c>
      <c r="W279" s="345">
        <f>IF($A279="","",IF(OR('Jun 2027'!AF28=TRUE,'Jun 2027'!AF28="x",'Jun 2027'!AF28="X"),1,0))</f>
        <v/>
      </c>
      <c r="X279" s="345">
        <f>IF($A279="","",IF(OR('Jun 2027'!AF29=TRUE,'Jun 2027'!AF29="x",'Jun 2027'!AF29="X"),1,0))</f>
        <v/>
      </c>
      <c r="Y279" s="345">
        <f>IF($A279="","",IF(OR('Jun 2027'!AF30=TRUE,'Jun 2027'!AF30="x",'Jun 2027'!AF30="X"),1,0))</f>
        <v/>
      </c>
      <c r="Z279" s="345">
        <f>IF($A279="","",IF(OR('Jun 2027'!AF31=TRUE,'Jun 2027'!AF31="x",'Jun 2027'!AF31="X"),1,0))</f>
        <v/>
      </c>
      <c r="AA279" s="345">
        <f>IF($A279="","",IF(OR('Jun 2027'!AF32=TRUE,'Jun 2027'!AF32="x",'Jun 2027'!AF32="X"),1,0))</f>
        <v/>
      </c>
      <c r="AB279" s="345">
        <f>IF($A279="","",IF(OR('Jun 2027'!AF34=TRUE,'Jun 2027'!AF34="x",'Jun 2027'!AF34="X"),1,0))</f>
        <v/>
      </c>
      <c r="AC279" s="345">
        <f>IF($A279="","",IF(OR('Jun 2027'!AF35=TRUE,'Jun 2027'!AF35="x",'Jun 2027'!AF35="X"),1,0))</f>
        <v/>
      </c>
      <c r="AD279" s="345">
        <f>IF($A279="","",IF(OR('Jun 2027'!AF36=TRUE,'Jun 2027'!AF36="x",'Jun 2027'!AF36="X"),1,0))</f>
        <v/>
      </c>
      <c r="AE279" s="345">
        <f>IF($A279="","",IF(OR('Jun 2027'!AF37=TRUE,'Jun 2027'!AF37="x",'Jun 2027'!AF37="X"),1,0))</f>
        <v/>
      </c>
      <c r="AF279" s="345">
        <f>IF($A279="","",IF('Jun 2027'!AF59="","",'Jun 2027'!AF59))</f>
        <v/>
      </c>
      <c r="AG279" s="345">
        <f>IF($A279="","",IF('Jun 2027'!AF60="","",'Jun 2027'!AF60))</f>
        <v/>
      </c>
      <c r="AH279" s="345">
        <f>IF($A279="","",IF('Jun 2027'!AF61="","",'Jun 2027'!AF61))</f>
        <v/>
      </c>
      <c r="AI279" s="345">
        <f>IF($A279="","",IF('Jun 2027'!AF62="","",'Jun 2027'!AF62))</f>
        <v/>
      </c>
      <c r="AJ279" s="345">
        <f>IF($A279="","",IF('Jun 2027'!AF63="","",'Jun 2027'!AF63))</f>
        <v/>
      </c>
      <c r="AK279" s="345">
        <f>IF($A279="","",IF('Jun 2027'!AF64="","",'Jun 2027'!AF64))</f>
        <v/>
      </c>
      <c r="AL279" s="345">
        <f>IF($A279="","",IF('Jun 2027'!AF65="","",'Jun 2027'!AF65))</f>
        <v/>
      </c>
      <c r="AM279" s="345">
        <f>IF($A279="","",IF('Jun 2027'!AF66="","",'Jun 2027'!AF66))</f>
        <v/>
      </c>
      <c r="AN279" s="345">
        <f>IF($A279="","",IF('Jun 2027'!AF67="","",'Jun 2027'!AF67))</f>
        <v/>
      </c>
      <c r="AO279" s="345">
        <f>IF($A279="",0,IF(AND($A279&gt;=TrackStart,$A279&lt;=TODAY()),1,0))</f>
        <v/>
      </c>
      <c r="AP279" s="345">
        <f>IF($A279="",0,IF(SUM(F279:AE279)+COUNT(AF279:AN279)&gt;0,1,0))</f>
        <v/>
      </c>
      <c r="AQ279" s="345">
        <f>IF($A279="","",INT(($A279-TrackStart)/7)+1)</f>
        <v/>
      </c>
      <c r="AR279" s="345">
        <f>IF($A279="","",IF(AQ279&lt;=1,Steps1,IF(AQ279=2,Steps2,Steps3)))</f>
        <v/>
      </c>
      <c r="AS279" s="345">
        <f>IF($A279="",0,IF(ISNUMBER(SEARCH(TEXT(D279,"0"),WorkDays&amp;"")),1,0))</f>
        <v/>
      </c>
      <c r="AT279" s="345">
        <f>IF($A279="",0,IF(ISNUMBER(SEARCH(TEXT(D279,"0"),StrDays&amp;"")),1,0))</f>
        <v/>
      </c>
      <c r="AU279" s="345">
        <f>IF($A279="",0,IF(ISNUMBER(AK279),IF(AK279&gt;=SleepMin,1,0),N279))</f>
        <v/>
      </c>
      <c r="AV279" s="345">
        <f>IF($A279="",0,MAX(I279,O279,S279,AC279))</f>
        <v/>
      </c>
      <c r="AW279" s="345">
        <f>IF($A279="",0,IF(ISNUMBER(AH279),IF(AH279&gt;=ProtHit,1,0),0))</f>
        <v/>
      </c>
      <c r="AX279" s="345">
        <f>IF($A279="",0,IF(ISNUMBER(AI279),IF(AI279&gt;=WaterHit,1,0),0))</f>
        <v/>
      </c>
      <c r="AY279" s="345">
        <f>IF($A279="",0,IF(ISNUMBER(AG279),IF(AG279&gt;=AR279,1,0),0))</f>
        <v/>
      </c>
      <c r="AZ279" s="345">
        <f>IF($A279="",0,G279)</f>
        <v/>
      </c>
      <c r="BA279" s="345">
        <f>IF($A279="",0,J279)</f>
        <v/>
      </c>
      <c r="BB279" s="345">
        <f>IF($A279="",0,K279)</f>
        <v/>
      </c>
      <c r="BC279" s="345">
        <f>IF($A279="",0,MAX(L279,AE279))</f>
        <v/>
      </c>
      <c r="BD279" s="344">
        <f>IF($A279="","",(AU279+AV279+AW279+AX279+AY279+AZ279+BB279+BC279+IF(AS279=1,BA279,0))/(8+AS279))</f>
        <v/>
      </c>
      <c r="BE279" s="344">
        <f>IF($A279="","",(IF(ISNUMBER(AI279),IF(AI279&gt;=WaterMVD,1,0),0)+AV279+IF(ISNUMBER(AH279),IF(AH279&gt;=ProtMVD,1,0),0)+MAX(H279,AD279)+AZ279+BB279+AU279)/7)</f>
        <v/>
      </c>
      <c r="BF279" s="344">
        <f>IF(AO279=0,"",IF(E279="S","",IF(AND(AP279=0,$A279=TODAY()),"",IF(E279="M",BE279,BD279))))</f>
        <v/>
      </c>
      <c r="BG279" s="344">
        <f>IF(AO279=0,"",IFERROR(AVERAGEIFS(Data!$BF$4:$BF$375,Data!$A$4:$A$375,"&gt;"&amp;($A279-7),Data!$A$4:$A$375,"&lt;="&amp;$A279),""))</f>
        <v/>
      </c>
      <c r="BH279" s="344">
        <f>IF(AO279=0,"",IFERROR(AVERAGEIFS(Data!$BF$4:$BF$375,Data!$A$4:$A$375,"&gt;"&amp;($A279-30),Data!$A$4:$A$375,"&lt;="&amp;$A279),""))</f>
        <v/>
      </c>
      <c r="BI279" s="359">
        <f>IF($A279="","",IFERROR(AVERAGEIFS(Data!$AF$4:$AF$375,Data!$A$4:$A$375,"&gt;"&amp;($A279-7),Data!$A$4:$A$375,"&lt;="&amp;$A279,Data!$AF$4:$AF$375,"&gt;0"),""))</f>
        <v/>
      </c>
      <c r="BJ279" s="345">
        <f>IF($A279="","",F279+G279+H279+I279+J279+K279+L279+M279+N279-IF(AS279=1,0,J279))</f>
        <v/>
      </c>
      <c r="BK279" s="345">
        <f>IF($A279="","",8+AS279)</f>
        <v/>
      </c>
      <c r="BL279" s="345">
        <f>IF(ISNUMBER(BF279),BF279,NA())</f>
        <v/>
      </c>
      <c r="BM279" s="345">
        <f>IF(ISNUMBER(AF279),AF279,NA())</f>
        <v/>
      </c>
      <c r="BN279" s="345">
        <f>IF(ISNUMBER(BI279),BI279,NA())</f>
        <v/>
      </c>
      <c r="BO279" s="345">
        <f>IF(ISNUMBER(AL279),AL279,NA())</f>
        <v/>
      </c>
      <c r="BP279" s="345">
        <f>IF(ISNUMBER(AM279),AM279,NA())</f>
        <v/>
      </c>
      <c r="BQ279" s="345">
        <f>IF(ISNUMBER(AN279),AN279,NA())</f>
        <v/>
      </c>
    </row>
    <row r="280">
      <c r="A280" s="358">
        <f>IF('Jun 2027'!AG7="","",'Jun 2027'!AG7)</f>
        <v/>
      </c>
      <c r="B280" s="345" t="n">
        <v>9</v>
      </c>
      <c r="C280" s="345">
        <f>IF($A280="","",29)</f>
        <v/>
      </c>
      <c r="D280" s="345">
        <f>IF($A280="","",WEEKDAY($A280,2))</f>
        <v/>
      </c>
      <c r="E280" s="345">
        <f>IF($A280="","",UPPER(TRIM('Jun 2027'!AG8)))</f>
        <v/>
      </c>
      <c r="F280" s="345">
        <f>IF($A280="","",IF(OR('Jun 2027'!AG10=TRUE,'Jun 2027'!AG10="x",'Jun 2027'!AG10="X"),1,0))</f>
        <v/>
      </c>
      <c r="G280" s="345">
        <f>IF($A280="","",IF(OR('Jun 2027'!AG11=TRUE,'Jun 2027'!AG11="x",'Jun 2027'!AG11="X"),1,0))</f>
        <v/>
      </c>
      <c r="H280" s="345">
        <f>IF($A280="","",IF(OR('Jun 2027'!AG12=TRUE,'Jun 2027'!AG12="x",'Jun 2027'!AG12="X"),1,0))</f>
        <v/>
      </c>
      <c r="I280" s="345">
        <f>IF($A280="","",IF(OR('Jun 2027'!AG13=TRUE,'Jun 2027'!AG13="x",'Jun 2027'!AG13="X"),1,0))</f>
        <v/>
      </c>
      <c r="J280" s="345">
        <f>IF($A280="","",IF(OR('Jun 2027'!AG14=TRUE,'Jun 2027'!AG14="x",'Jun 2027'!AG14="X"),1,0))</f>
        <v/>
      </c>
      <c r="K280" s="345">
        <f>IF($A280="","",IF(OR('Jun 2027'!AG15=TRUE,'Jun 2027'!AG15="x",'Jun 2027'!AG15="X"),1,0))</f>
        <v/>
      </c>
      <c r="L280" s="345">
        <f>IF($A280="","",IF(OR('Jun 2027'!AG16=TRUE,'Jun 2027'!AG16="x",'Jun 2027'!AG16="X"),1,0))</f>
        <v/>
      </c>
      <c r="M280" s="345">
        <f>IF($A280="","",IF(OR('Jun 2027'!AG17=TRUE,'Jun 2027'!AG17="x",'Jun 2027'!AG17="X"),1,0))</f>
        <v/>
      </c>
      <c r="N280" s="345">
        <f>IF($A280="","",IF(OR('Jun 2027'!AG18=TRUE,'Jun 2027'!AG18="x",'Jun 2027'!AG18="X"),1,0))</f>
        <v/>
      </c>
      <c r="O280" s="345">
        <f>IF($A280="","",IF(OR('Jun 2027'!AG20=TRUE,'Jun 2027'!AG20="x",'Jun 2027'!AG20="X"),1,0))</f>
        <v/>
      </c>
      <c r="P280" s="345">
        <f>IF($A280="","",IF(OR('Jun 2027'!AG21=TRUE,'Jun 2027'!AG21="x",'Jun 2027'!AG21="X"),1,0))</f>
        <v/>
      </c>
      <c r="Q280" s="345">
        <f>IF($A280="","",IF(OR('Jun 2027'!AG22=TRUE,'Jun 2027'!AG22="x",'Jun 2027'!AG22="X"),1,0))</f>
        <v/>
      </c>
      <c r="R280" s="345">
        <f>IF($A280="","",IF(OR('Jun 2027'!AG23=TRUE,'Jun 2027'!AG23="x",'Jun 2027'!AG23="X"),1,0))</f>
        <v/>
      </c>
      <c r="S280" s="345">
        <f>IF($A280="","",IF(OR('Jun 2027'!AG24=TRUE,'Jun 2027'!AG24="x",'Jun 2027'!AG24="X"),1,0))</f>
        <v/>
      </c>
      <c r="T280" s="345">
        <f>IF($A280="","",IF(OR('Jun 2027'!AG25=TRUE,'Jun 2027'!AG25="x",'Jun 2027'!AG25="X"),1,0))</f>
        <v/>
      </c>
      <c r="U280" s="345">
        <f>IF($A280="","",IF(OR('Jun 2027'!AG26=TRUE,'Jun 2027'!AG26="x",'Jun 2027'!AG26="X"),1,0))</f>
        <v/>
      </c>
      <c r="V280" s="345">
        <f>IF($A280="","",IF(OR('Jun 2027'!AG27=TRUE,'Jun 2027'!AG27="x",'Jun 2027'!AG27="X"),1,0))</f>
        <v/>
      </c>
      <c r="W280" s="345">
        <f>IF($A280="","",IF(OR('Jun 2027'!AG28=TRUE,'Jun 2027'!AG28="x",'Jun 2027'!AG28="X"),1,0))</f>
        <v/>
      </c>
      <c r="X280" s="345">
        <f>IF($A280="","",IF(OR('Jun 2027'!AG29=TRUE,'Jun 2027'!AG29="x",'Jun 2027'!AG29="X"),1,0))</f>
        <v/>
      </c>
      <c r="Y280" s="345">
        <f>IF($A280="","",IF(OR('Jun 2027'!AG30=TRUE,'Jun 2027'!AG30="x",'Jun 2027'!AG30="X"),1,0))</f>
        <v/>
      </c>
      <c r="Z280" s="345">
        <f>IF($A280="","",IF(OR('Jun 2027'!AG31=TRUE,'Jun 2027'!AG31="x",'Jun 2027'!AG31="X"),1,0))</f>
        <v/>
      </c>
      <c r="AA280" s="345">
        <f>IF($A280="","",IF(OR('Jun 2027'!AG32=TRUE,'Jun 2027'!AG32="x",'Jun 2027'!AG32="X"),1,0))</f>
        <v/>
      </c>
      <c r="AB280" s="345">
        <f>IF($A280="","",IF(OR('Jun 2027'!AG34=TRUE,'Jun 2027'!AG34="x",'Jun 2027'!AG34="X"),1,0))</f>
        <v/>
      </c>
      <c r="AC280" s="345">
        <f>IF($A280="","",IF(OR('Jun 2027'!AG35=TRUE,'Jun 2027'!AG35="x",'Jun 2027'!AG35="X"),1,0))</f>
        <v/>
      </c>
      <c r="AD280" s="345">
        <f>IF($A280="","",IF(OR('Jun 2027'!AG36=TRUE,'Jun 2027'!AG36="x",'Jun 2027'!AG36="X"),1,0))</f>
        <v/>
      </c>
      <c r="AE280" s="345">
        <f>IF($A280="","",IF(OR('Jun 2027'!AG37=TRUE,'Jun 2027'!AG37="x",'Jun 2027'!AG37="X"),1,0))</f>
        <v/>
      </c>
      <c r="AF280" s="345">
        <f>IF($A280="","",IF('Jun 2027'!AG59="","",'Jun 2027'!AG59))</f>
        <v/>
      </c>
      <c r="AG280" s="345">
        <f>IF($A280="","",IF('Jun 2027'!AG60="","",'Jun 2027'!AG60))</f>
        <v/>
      </c>
      <c r="AH280" s="345">
        <f>IF($A280="","",IF('Jun 2027'!AG61="","",'Jun 2027'!AG61))</f>
        <v/>
      </c>
      <c r="AI280" s="345">
        <f>IF($A280="","",IF('Jun 2027'!AG62="","",'Jun 2027'!AG62))</f>
        <v/>
      </c>
      <c r="AJ280" s="345">
        <f>IF($A280="","",IF('Jun 2027'!AG63="","",'Jun 2027'!AG63))</f>
        <v/>
      </c>
      <c r="AK280" s="345">
        <f>IF($A280="","",IF('Jun 2027'!AG64="","",'Jun 2027'!AG64))</f>
        <v/>
      </c>
      <c r="AL280" s="345">
        <f>IF($A280="","",IF('Jun 2027'!AG65="","",'Jun 2027'!AG65))</f>
        <v/>
      </c>
      <c r="AM280" s="345">
        <f>IF($A280="","",IF('Jun 2027'!AG66="","",'Jun 2027'!AG66))</f>
        <v/>
      </c>
      <c r="AN280" s="345">
        <f>IF($A280="","",IF('Jun 2027'!AG67="","",'Jun 2027'!AG67))</f>
        <v/>
      </c>
      <c r="AO280" s="345">
        <f>IF($A280="",0,IF(AND($A280&gt;=TrackStart,$A280&lt;=TODAY()),1,0))</f>
        <v/>
      </c>
      <c r="AP280" s="345">
        <f>IF($A280="",0,IF(SUM(F280:AE280)+COUNT(AF280:AN280)&gt;0,1,0))</f>
        <v/>
      </c>
      <c r="AQ280" s="345">
        <f>IF($A280="","",INT(($A280-TrackStart)/7)+1)</f>
        <v/>
      </c>
      <c r="AR280" s="345">
        <f>IF($A280="","",IF(AQ280&lt;=1,Steps1,IF(AQ280=2,Steps2,Steps3)))</f>
        <v/>
      </c>
      <c r="AS280" s="345">
        <f>IF($A280="",0,IF(ISNUMBER(SEARCH(TEXT(D280,"0"),WorkDays&amp;"")),1,0))</f>
        <v/>
      </c>
      <c r="AT280" s="345">
        <f>IF($A280="",0,IF(ISNUMBER(SEARCH(TEXT(D280,"0"),StrDays&amp;"")),1,0))</f>
        <v/>
      </c>
      <c r="AU280" s="345">
        <f>IF($A280="",0,IF(ISNUMBER(AK280),IF(AK280&gt;=SleepMin,1,0),N280))</f>
        <v/>
      </c>
      <c r="AV280" s="345">
        <f>IF($A280="",0,MAX(I280,O280,S280,AC280))</f>
        <v/>
      </c>
      <c r="AW280" s="345">
        <f>IF($A280="",0,IF(ISNUMBER(AH280),IF(AH280&gt;=ProtHit,1,0),0))</f>
        <v/>
      </c>
      <c r="AX280" s="345">
        <f>IF($A280="",0,IF(ISNUMBER(AI280),IF(AI280&gt;=WaterHit,1,0),0))</f>
        <v/>
      </c>
      <c r="AY280" s="345">
        <f>IF($A280="",0,IF(ISNUMBER(AG280),IF(AG280&gt;=AR280,1,0),0))</f>
        <v/>
      </c>
      <c r="AZ280" s="345">
        <f>IF($A280="",0,G280)</f>
        <v/>
      </c>
      <c r="BA280" s="345">
        <f>IF($A280="",0,J280)</f>
        <v/>
      </c>
      <c r="BB280" s="345">
        <f>IF($A280="",0,K280)</f>
        <v/>
      </c>
      <c r="BC280" s="345">
        <f>IF($A280="",0,MAX(L280,AE280))</f>
        <v/>
      </c>
      <c r="BD280" s="344">
        <f>IF($A280="","",(AU280+AV280+AW280+AX280+AY280+AZ280+BB280+BC280+IF(AS280=1,BA280,0))/(8+AS280))</f>
        <v/>
      </c>
      <c r="BE280" s="344">
        <f>IF($A280="","",(IF(ISNUMBER(AI280),IF(AI280&gt;=WaterMVD,1,0),0)+AV280+IF(ISNUMBER(AH280),IF(AH280&gt;=ProtMVD,1,0),0)+MAX(H280,AD280)+AZ280+BB280+AU280)/7)</f>
        <v/>
      </c>
      <c r="BF280" s="344">
        <f>IF(AO280=0,"",IF(E280="S","",IF(AND(AP280=0,$A280=TODAY()),"",IF(E280="M",BE280,BD280))))</f>
        <v/>
      </c>
      <c r="BG280" s="344">
        <f>IF(AO280=0,"",IFERROR(AVERAGEIFS(Data!$BF$4:$BF$375,Data!$A$4:$A$375,"&gt;"&amp;($A280-7),Data!$A$4:$A$375,"&lt;="&amp;$A280),""))</f>
        <v/>
      </c>
      <c r="BH280" s="344">
        <f>IF(AO280=0,"",IFERROR(AVERAGEIFS(Data!$BF$4:$BF$375,Data!$A$4:$A$375,"&gt;"&amp;($A280-30),Data!$A$4:$A$375,"&lt;="&amp;$A280),""))</f>
        <v/>
      </c>
      <c r="BI280" s="359">
        <f>IF($A280="","",IFERROR(AVERAGEIFS(Data!$AF$4:$AF$375,Data!$A$4:$A$375,"&gt;"&amp;($A280-7),Data!$A$4:$A$375,"&lt;="&amp;$A280,Data!$AF$4:$AF$375,"&gt;0"),""))</f>
        <v/>
      </c>
      <c r="BJ280" s="345">
        <f>IF($A280="","",F280+G280+H280+I280+J280+K280+L280+M280+N280-IF(AS280=1,0,J280))</f>
        <v/>
      </c>
      <c r="BK280" s="345">
        <f>IF($A280="","",8+AS280)</f>
        <v/>
      </c>
      <c r="BL280" s="345">
        <f>IF(ISNUMBER(BF280),BF280,NA())</f>
        <v/>
      </c>
      <c r="BM280" s="345">
        <f>IF(ISNUMBER(AF280),AF280,NA())</f>
        <v/>
      </c>
      <c r="BN280" s="345">
        <f>IF(ISNUMBER(BI280),BI280,NA())</f>
        <v/>
      </c>
      <c r="BO280" s="345">
        <f>IF(ISNUMBER(AL280),AL280,NA())</f>
        <v/>
      </c>
      <c r="BP280" s="345">
        <f>IF(ISNUMBER(AM280),AM280,NA())</f>
        <v/>
      </c>
      <c r="BQ280" s="345">
        <f>IF(ISNUMBER(AN280),AN280,NA())</f>
        <v/>
      </c>
    </row>
    <row r="281">
      <c r="A281" s="358">
        <f>IF('Jun 2027'!AH7="","",'Jun 2027'!AH7)</f>
        <v/>
      </c>
      <c r="B281" s="345" t="n">
        <v>9</v>
      </c>
      <c r="C281" s="345">
        <f>IF($A281="","",30)</f>
        <v/>
      </c>
      <c r="D281" s="345">
        <f>IF($A281="","",WEEKDAY($A281,2))</f>
        <v/>
      </c>
      <c r="E281" s="345">
        <f>IF($A281="","",UPPER(TRIM('Jun 2027'!AH8)))</f>
        <v/>
      </c>
      <c r="F281" s="345">
        <f>IF($A281="","",IF(OR('Jun 2027'!AH10=TRUE,'Jun 2027'!AH10="x",'Jun 2027'!AH10="X"),1,0))</f>
        <v/>
      </c>
      <c r="G281" s="345">
        <f>IF($A281="","",IF(OR('Jun 2027'!AH11=TRUE,'Jun 2027'!AH11="x",'Jun 2027'!AH11="X"),1,0))</f>
        <v/>
      </c>
      <c r="H281" s="345">
        <f>IF($A281="","",IF(OR('Jun 2027'!AH12=TRUE,'Jun 2027'!AH12="x",'Jun 2027'!AH12="X"),1,0))</f>
        <v/>
      </c>
      <c r="I281" s="345">
        <f>IF($A281="","",IF(OR('Jun 2027'!AH13=TRUE,'Jun 2027'!AH13="x",'Jun 2027'!AH13="X"),1,0))</f>
        <v/>
      </c>
      <c r="J281" s="345">
        <f>IF($A281="","",IF(OR('Jun 2027'!AH14=TRUE,'Jun 2027'!AH14="x",'Jun 2027'!AH14="X"),1,0))</f>
        <v/>
      </c>
      <c r="K281" s="345">
        <f>IF($A281="","",IF(OR('Jun 2027'!AH15=TRUE,'Jun 2027'!AH15="x",'Jun 2027'!AH15="X"),1,0))</f>
        <v/>
      </c>
      <c r="L281" s="345">
        <f>IF($A281="","",IF(OR('Jun 2027'!AH16=TRUE,'Jun 2027'!AH16="x",'Jun 2027'!AH16="X"),1,0))</f>
        <v/>
      </c>
      <c r="M281" s="345">
        <f>IF($A281="","",IF(OR('Jun 2027'!AH17=TRUE,'Jun 2027'!AH17="x",'Jun 2027'!AH17="X"),1,0))</f>
        <v/>
      </c>
      <c r="N281" s="345">
        <f>IF($A281="","",IF(OR('Jun 2027'!AH18=TRUE,'Jun 2027'!AH18="x",'Jun 2027'!AH18="X"),1,0))</f>
        <v/>
      </c>
      <c r="O281" s="345">
        <f>IF($A281="","",IF(OR('Jun 2027'!AH20=TRUE,'Jun 2027'!AH20="x",'Jun 2027'!AH20="X"),1,0))</f>
        <v/>
      </c>
      <c r="P281" s="345">
        <f>IF($A281="","",IF(OR('Jun 2027'!AH21=TRUE,'Jun 2027'!AH21="x",'Jun 2027'!AH21="X"),1,0))</f>
        <v/>
      </c>
      <c r="Q281" s="345">
        <f>IF($A281="","",IF(OR('Jun 2027'!AH22=TRUE,'Jun 2027'!AH22="x",'Jun 2027'!AH22="X"),1,0))</f>
        <v/>
      </c>
      <c r="R281" s="345">
        <f>IF($A281="","",IF(OR('Jun 2027'!AH23=TRUE,'Jun 2027'!AH23="x",'Jun 2027'!AH23="X"),1,0))</f>
        <v/>
      </c>
      <c r="S281" s="345">
        <f>IF($A281="","",IF(OR('Jun 2027'!AH24=TRUE,'Jun 2027'!AH24="x",'Jun 2027'!AH24="X"),1,0))</f>
        <v/>
      </c>
      <c r="T281" s="345">
        <f>IF($A281="","",IF(OR('Jun 2027'!AH25=TRUE,'Jun 2027'!AH25="x",'Jun 2027'!AH25="X"),1,0))</f>
        <v/>
      </c>
      <c r="U281" s="345">
        <f>IF($A281="","",IF(OR('Jun 2027'!AH26=TRUE,'Jun 2027'!AH26="x",'Jun 2027'!AH26="X"),1,0))</f>
        <v/>
      </c>
      <c r="V281" s="345">
        <f>IF($A281="","",IF(OR('Jun 2027'!AH27=TRUE,'Jun 2027'!AH27="x",'Jun 2027'!AH27="X"),1,0))</f>
        <v/>
      </c>
      <c r="W281" s="345">
        <f>IF($A281="","",IF(OR('Jun 2027'!AH28=TRUE,'Jun 2027'!AH28="x",'Jun 2027'!AH28="X"),1,0))</f>
        <v/>
      </c>
      <c r="X281" s="345">
        <f>IF($A281="","",IF(OR('Jun 2027'!AH29=TRUE,'Jun 2027'!AH29="x",'Jun 2027'!AH29="X"),1,0))</f>
        <v/>
      </c>
      <c r="Y281" s="345">
        <f>IF($A281="","",IF(OR('Jun 2027'!AH30=TRUE,'Jun 2027'!AH30="x",'Jun 2027'!AH30="X"),1,0))</f>
        <v/>
      </c>
      <c r="Z281" s="345">
        <f>IF($A281="","",IF(OR('Jun 2027'!AH31=TRUE,'Jun 2027'!AH31="x",'Jun 2027'!AH31="X"),1,0))</f>
        <v/>
      </c>
      <c r="AA281" s="345">
        <f>IF($A281="","",IF(OR('Jun 2027'!AH32=TRUE,'Jun 2027'!AH32="x",'Jun 2027'!AH32="X"),1,0))</f>
        <v/>
      </c>
      <c r="AB281" s="345">
        <f>IF($A281="","",IF(OR('Jun 2027'!AH34=TRUE,'Jun 2027'!AH34="x",'Jun 2027'!AH34="X"),1,0))</f>
        <v/>
      </c>
      <c r="AC281" s="345">
        <f>IF($A281="","",IF(OR('Jun 2027'!AH35=TRUE,'Jun 2027'!AH35="x",'Jun 2027'!AH35="X"),1,0))</f>
        <v/>
      </c>
      <c r="AD281" s="345">
        <f>IF($A281="","",IF(OR('Jun 2027'!AH36=TRUE,'Jun 2027'!AH36="x",'Jun 2027'!AH36="X"),1,0))</f>
        <v/>
      </c>
      <c r="AE281" s="345">
        <f>IF($A281="","",IF(OR('Jun 2027'!AH37=TRUE,'Jun 2027'!AH37="x",'Jun 2027'!AH37="X"),1,0))</f>
        <v/>
      </c>
      <c r="AF281" s="345">
        <f>IF($A281="","",IF('Jun 2027'!AH59="","",'Jun 2027'!AH59))</f>
        <v/>
      </c>
      <c r="AG281" s="345">
        <f>IF($A281="","",IF('Jun 2027'!AH60="","",'Jun 2027'!AH60))</f>
        <v/>
      </c>
      <c r="AH281" s="345">
        <f>IF($A281="","",IF('Jun 2027'!AH61="","",'Jun 2027'!AH61))</f>
        <v/>
      </c>
      <c r="AI281" s="345">
        <f>IF($A281="","",IF('Jun 2027'!AH62="","",'Jun 2027'!AH62))</f>
        <v/>
      </c>
      <c r="AJ281" s="345">
        <f>IF($A281="","",IF('Jun 2027'!AH63="","",'Jun 2027'!AH63))</f>
        <v/>
      </c>
      <c r="AK281" s="345">
        <f>IF($A281="","",IF('Jun 2027'!AH64="","",'Jun 2027'!AH64))</f>
        <v/>
      </c>
      <c r="AL281" s="345">
        <f>IF($A281="","",IF('Jun 2027'!AH65="","",'Jun 2027'!AH65))</f>
        <v/>
      </c>
      <c r="AM281" s="345">
        <f>IF($A281="","",IF('Jun 2027'!AH66="","",'Jun 2027'!AH66))</f>
        <v/>
      </c>
      <c r="AN281" s="345">
        <f>IF($A281="","",IF('Jun 2027'!AH67="","",'Jun 2027'!AH67))</f>
        <v/>
      </c>
      <c r="AO281" s="345">
        <f>IF($A281="",0,IF(AND($A281&gt;=TrackStart,$A281&lt;=TODAY()),1,0))</f>
        <v/>
      </c>
      <c r="AP281" s="345">
        <f>IF($A281="",0,IF(SUM(F281:AE281)+COUNT(AF281:AN281)&gt;0,1,0))</f>
        <v/>
      </c>
      <c r="AQ281" s="345">
        <f>IF($A281="","",INT(($A281-TrackStart)/7)+1)</f>
        <v/>
      </c>
      <c r="AR281" s="345">
        <f>IF($A281="","",IF(AQ281&lt;=1,Steps1,IF(AQ281=2,Steps2,Steps3)))</f>
        <v/>
      </c>
      <c r="AS281" s="345">
        <f>IF($A281="",0,IF(ISNUMBER(SEARCH(TEXT(D281,"0"),WorkDays&amp;"")),1,0))</f>
        <v/>
      </c>
      <c r="AT281" s="345">
        <f>IF($A281="",0,IF(ISNUMBER(SEARCH(TEXT(D281,"0"),StrDays&amp;"")),1,0))</f>
        <v/>
      </c>
      <c r="AU281" s="345">
        <f>IF($A281="",0,IF(ISNUMBER(AK281),IF(AK281&gt;=SleepMin,1,0),N281))</f>
        <v/>
      </c>
      <c r="AV281" s="345">
        <f>IF($A281="",0,MAX(I281,O281,S281,AC281))</f>
        <v/>
      </c>
      <c r="AW281" s="345">
        <f>IF($A281="",0,IF(ISNUMBER(AH281),IF(AH281&gt;=ProtHit,1,0),0))</f>
        <v/>
      </c>
      <c r="AX281" s="345">
        <f>IF($A281="",0,IF(ISNUMBER(AI281),IF(AI281&gt;=WaterHit,1,0),0))</f>
        <v/>
      </c>
      <c r="AY281" s="345">
        <f>IF($A281="",0,IF(ISNUMBER(AG281),IF(AG281&gt;=AR281,1,0),0))</f>
        <v/>
      </c>
      <c r="AZ281" s="345">
        <f>IF($A281="",0,G281)</f>
        <v/>
      </c>
      <c r="BA281" s="345">
        <f>IF($A281="",0,J281)</f>
        <v/>
      </c>
      <c r="BB281" s="345">
        <f>IF($A281="",0,K281)</f>
        <v/>
      </c>
      <c r="BC281" s="345">
        <f>IF($A281="",0,MAX(L281,AE281))</f>
        <v/>
      </c>
      <c r="BD281" s="344">
        <f>IF($A281="","",(AU281+AV281+AW281+AX281+AY281+AZ281+BB281+BC281+IF(AS281=1,BA281,0))/(8+AS281))</f>
        <v/>
      </c>
      <c r="BE281" s="344">
        <f>IF($A281="","",(IF(ISNUMBER(AI281),IF(AI281&gt;=WaterMVD,1,0),0)+AV281+IF(ISNUMBER(AH281),IF(AH281&gt;=ProtMVD,1,0),0)+MAX(H281,AD281)+AZ281+BB281+AU281)/7)</f>
        <v/>
      </c>
      <c r="BF281" s="344">
        <f>IF(AO281=0,"",IF(E281="S","",IF(AND(AP281=0,$A281=TODAY()),"",IF(E281="M",BE281,BD281))))</f>
        <v/>
      </c>
      <c r="BG281" s="344">
        <f>IF(AO281=0,"",IFERROR(AVERAGEIFS(Data!$BF$4:$BF$375,Data!$A$4:$A$375,"&gt;"&amp;($A281-7),Data!$A$4:$A$375,"&lt;="&amp;$A281),""))</f>
        <v/>
      </c>
      <c r="BH281" s="344">
        <f>IF(AO281=0,"",IFERROR(AVERAGEIFS(Data!$BF$4:$BF$375,Data!$A$4:$A$375,"&gt;"&amp;($A281-30),Data!$A$4:$A$375,"&lt;="&amp;$A281),""))</f>
        <v/>
      </c>
      <c r="BI281" s="359">
        <f>IF($A281="","",IFERROR(AVERAGEIFS(Data!$AF$4:$AF$375,Data!$A$4:$A$375,"&gt;"&amp;($A281-7),Data!$A$4:$A$375,"&lt;="&amp;$A281,Data!$AF$4:$AF$375,"&gt;0"),""))</f>
        <v/>
      </c>
      <c r="BJ281" s="345">
        <f>IF($A281="","",F281+G281+H281+I281+J281+K281+L281+M281+N281-IF(AS281=1,0,J281))</f>
        <v/>
      </c>
      <c r="BK281" s="345">
        <f>IF($A281="","",8+AS281)</f>
        <v/>
      </c>
      <c r="BL281" s="345">
        <f>IF(ISNUMBER(BF281),BF281,NA())</f>
        <v/>
      </c>
      <c r="BM281" s="345">
        <f>IF(ISNUMBER(AF281),AF281,NA())</f>
        <v/>
      </c>
      <c r="BN281" s="345">
        <f>IF(ISNUMBER(BI281),BI281,NA())</f>
        <v/>
      </c>
      <c r="BO281" s="345">
        <f>IF(ISNUMBER(AL281),AL281,NA())</f>
        <v/>
      </c>
      <c r="BP281" s="345">
        <f>IF(ISNUMBER(AM281),AM281,NA())</f>
        <v/>
      </c>
      <c r="BQ281" s="345">
        <f>IF(ISNUMBER(AN281),AN281,NA())</f>
        <v/>
      </c>
    </row>
    <row r="282">
      <c r="A282" s="358">
        <f>IF('Jun 2027'!AI7="","",'Jun 2027'!AI7)</f>
        <v/>
      </c>
      <c r="B282" s="345" t="n">
        <v>9</v>
      </c>
      <c r="C282" s="345">
        <f>IF($A282="","",31)</f>
        <v/>
      </c>
      <c r="D282" s="345">
        <f>IF($A282="","",WEEKDAY($A282,2))</f>
        <v/>
      </c>
      <c r="E282" s="345">
        <f>IF($A282="","",UPPER(TRIM('Jun 2027'!AI8)))</f>
        <v/>
      </c>
      <c r="F282" s="345">
        <f>IF($A282="","",IF(OR('Jun 2027'!AI10=TRUE,'Jun 2027'!AI10="x",'Jun 2027'!AI10="X"),1,0))</f>
        <v/>
      </c>
      <c r="G282" s="345">
        <f>IF($A282="","",IF(OR('Jun 2027'!AI11=TRUE,'Jun 2027'!AI11="x",'Jun 2027'!AI11="X"),1,0))</f>
        <v/>
      </c>
      <c r="H282" s="345">
        <f>IF($A282="","",IF(OR('Jun 2027'!AI12=TRUE,'Jun 2027'!AI12="x",'Jun 2027'!AI12="X"),1,0))</f>
        <v/>
      </c>
      <c r="I282" s="345">
        <f>IF($A282="","",IF(OR('Jun 2027'!AI13=TRUE,'Jun 2027'!AI13="x",'Jun 2027'!AI13="X"),1,0))</f>
        <v/>
      </c>
      <c r="J282" s="345">
        <f>IF($A282="","",IF(OR('Jun 2027'!AI14=TRUE,'Jun 2027'!AI14="x",'Jun 2027'!AI14="X"),1,0))</f>
        <v/>
      </c>
      <c r="K282" s="345">
        <f>IF($A282="","",IF(OR('Jun 2027'!AI15=TRUE,'Jun 2027'!AI15="x",'Jun 2027'!AI15="X"),1,0))</f>
        <v/>
      </c>
      <c r="L282" s="345">
        <f>IF($A282="","",IF(OR('Jun 2027'!AI16=TRUE,'Jun 2027'!AI16="x",'Jun 2027'!AI16="X"),1,0))</f>
        <v/>
      </c>
      <c r="M282" s="345">
        <f>IF($A282="","",IF(OR('Jun 2027'!AI17=TRUE,'Jun 2027'!AI17="x",'Jun 2027'!AI17="X"),1,0))</f>
        <v/>
      </c>
      <c r="N282" s="345">
        <f>IF($A282="","",IF(OR('Jun 2027'!AI18=TRUE,'Jun 2027'!AI18="x",'Jun 2027'!AI18="X"),1,0))</f>
        <v/>
      </c>
      <c r="O282" s="345">
        <f>IF($A282="","",IF(OR('Jun 2027'!AI20=TRUE,'Jun 2027'!AI20="x",'Jun 2027'!AI20="X"),1,0))</f>
        <v/>
      </c>
      <c r="P282" s="345">
        <f>IF($A282="","",IF(OR('Jun 2027'!AI21=TRUE,'Jun 2027'!AI21="x",'Jun 2027'!AI21="X"),1,0))</f>
        <v/>
      </c>
      <c r="Q282" s="345">
        <f>IF($A282="","",IF(OR('Jun 2027'!AI22=TRUE,'Jun 2027'!AI22="x",'Jun 2027'!AI22="X"),1,0))</f>
        <v/>
      </c>
      <c r="R282" s="345">
        <f>IF($A282="","",IF(OR('Jun 2027'!AI23=TRUE,'Jun 2027'!AI23="x",'Jun 2027'!AI23="X"),1,0))</f>
        <v/>
      </c>
      <c r="S282" s="345">
        <f>IF($A282="","",IF(OR('Jun 2027'!AI24=TRUE,'Jun 2027'!AI24="x",'Jun 2027'!AI24="X"),1,0))</f>
        <v/>
      </c>
      <c r="T282" s="345">
        <f>IF($A282="","",IF(OR('Jun 2027'!AI25=TRUE,'Jun 2027'!AI25="x",'Jun 2027'!AI25="X"),1,0))</f>
        <v/>
      </c>
      <c r="U282" s="345">
        <f>IF($A282="","",IF(OR('Jun 2027'!AI26=TRUE,'Jun 2027'!AI26="x",'Jun 2027'!AI26="X"),1,0))</f>
        <v/>
      </c>
      <c r="V282" s="345">
        <f>IF($A282="","",IF(OR('Jun 2027'!AI27=TRUE,'Jun 2027'!AI27="x",'Jun 2027'!AI27="X"),1,0))</f>
        <v/>
      </c>
      <c r="W282" s="345">
        <f>IF($A282="","",IF(OR('Jun 2027'!AI28=TRUE,'Jun 2027'!AI28="x",'Jun 2027'!AI28="X"),1,0))</f>
        <v/>
      </c>
      <c r="X282" s="345">
        <f>IF($A282="","",IF(OR('Jun 2027'!AI29=TRUE,'Jun 2027'!AI29="x",'Jun 2027'!AI29="X"),1,0))</f>
        <v/>
      </c>
      <c r="Y282" s="345">
        <f>IF($A282="","",IF(OR('Jun 2027'!AI30=TRUE,'Jun 2027'!AI30="x",'Jun 2027'!AI30="X"),1,0))</f>
        <v/>
      </c>
      <c r="Z282" s="345">
        <f>IF($A282="","",IF(OR('Jun 2027'!AI31=TRUE,'Jun 2027'!AI31="x",'Jun 2027'!AI31="X"),1,0))</f>
        <v/>
      </c>
      <c r="AA282" s="345">
        <f>IF($A282="","",IF(OR('Jun 2027'!AI32=TRUE,'Jun 2027'!AI32="x",'Jun 2027'!AI32="X"),1,0))</f>
        <v/>
      </c>
      <c r="AB282" s="345">
        <f>IF($A282="","",IF(OR('Jun 2027'!AI34=TRUE,'Jun 2027'!AI34="x",'Jun 2027'!AI34="X"),1,0))</f>
        <v/>
      </c>
      <c r="AC282" s="345">
        <f>IF($A282="","",IF(OR('Jun 2027'!AI35=TRUE,'Jun 2027'!AI35="x",'Jun 2027'!AI35="X"),1,0))</f>
        <v/>
      </c>
      <c r="AD282" s="345">
        <f>IF($A282="","",IF(OR('Jun 2027'!AI36=TRUE,'Jun 2027'!AI36="x",'Jun 2027'!AI36="X"),1,0))</f>
        <v/>
      </c>
      <c r="AE282" s="345">
        <f>IF($A282="","",IF(OR('Jun 2027'!AI37=TRUE,'Jun 2027'!AI37="x",'Jun 2027'!AI37="X"),1,0))</f>
        <v/>
      </c>
      <c r="AF282" s="345">
        <f>IF($A282="","",IF('Jun 2027'!AI59="","",'Jun 2027'!AI59))</f>
        <v/>
      </c>
      <c r="AG282" s="345">
        <f>IF($A282="","",IF('Jun 2027'!AI60="","",'Jun 2027'!AI60))</f>
        <v/>
      </c>
      <c r="AH282" s="345">
        <f>IF($A282="","",IF('Jun 2027'!AI61="","",'Jun 2027'!AI61))</f>
        <v/>
      </c>
      <c r="AI282" s="345">
        <f>IF($A282="","",IF('Jun 2027'!AI62="","",'Jun 2027'!AI62))</f>
        <v/>
      </c>
      <c r="AJ282" s="345">
        <f>IF($A282="","",IF('Jun 2027'!AI63="","",'Jun 2027'!AI63))</f>
        <v/>
      </c>
      <c r="AK282" s="345">
        <f>IF($A282="","",IF('Jun 2027'!AI64="","",'Jun 2027'!AI64))</f>
        <v/>
      </c>
      <c r="AL282" s="345">
        <f>IF($A282="","",IF('Jun 2027'!AI65="","",'Jun 2027'!AI65))</f>
        <v/>
      </c>
      <c r="AM282" s="345">
        <f>IF($A282="","",IF('Jun 2027'!AI66="","",'Jun 2027'!AI66))</f>
        <v/>
      </c>
      <c r="AN282" s="345">
        <f>IF($A282="","",IF('Jun 2027'!AI67="","",'Jun 2027'!AI67))</f>
        <v/>
      </c>
      <c r="AO282" s="345">
        <f>IF($A282="",0,IF(AND($A282&gt;=TrackStart,$A282&lt;=TODAY()),1,0))</f>
        <v/>
      </c>
      <c r="AP282" s="345">
        <f>IF($A282="",0,IF(SUM(F282:AE282)+COUNT(AF282:AN282)&gt;0,1,0))</f>
        <v/>
      </c>
      <c r="AQ282" s="345">
        <f>IF($A282="","",INT(($A282-TrackStart)/7)+1)</f>
        <v/>
      </c>
      <c r="AR282" s="345">
        <f>IF($A282="","",IF(AQ282&lt;=1,Steps1,IF(AQ282=2,Steps2,Steps3)))</f>
        <v/>
      </c>
      <c r="AS282" s="345">
        <f>IF($A282="",0,IF(ISNUMBER(SEARCH(TEXT(D282,"0"),WorkDays&amp;"")),1,0))</f>
        <v/>
      </c>
      <c r="AT282" s="345">
        <f>IF($A282="",0,IF(ISNUMBER(SEARCH(TEXT(D282,"0"),StrDays&amp;"")),1,0))</f>
        <v/>
      </c>
      <c r="AU282" s="345">
        <f>IF($A282="",0,IF(ISNUMBER(AK282),IF(AK282&gt;=SleepMin,1,0),N282))</f>
        <v/>
      </c>
      <c r="AV282" s="345">
        <f>IF($A282="",0,MAX(I282,O282,S282,AC282))</f>
        <v/>
      </c>
      <c r="AW282" s="345">
        <f>IF($A282="",0,IF(ISNUMBER(AH282),IF(AH282&gt;=ProtHit,1,0),0))</f>
        <v/>
      </c>
      <c r="AX282" s="345">
        <f>IF($A282="",0,IF(ISNUMBER(AI282),IF(AI282&gt;=WaterHit,1,0),0))</f>
        <v/>
      </c>
      <c r="AY282" s="345">
        <f>IF($A282="",0,IF(ISNUMBER(AG282),IF(AG282&gt;=AR282,1,0),0))</f>
        <v/>
      </c>
      <c r="AZ282" s="345">
        <f>IF($A282="",0,G282)</f>
        <v/>
      </c>
      <c r="BA282" s="345">
        <f>IF($A282="",0,J282)</f>
        <v/>
      </c>
      <c r="BB282" s="345">
        <f>IF($A282="",0,K282)</f>
        <v/>
      </c>
      <c r="BC282" s="345">
        <f>IF($A282="",0,MAX(L282,AE282))</f>
        <v/>
      </c>
      <c r="BD282" s="344">
        <f>IF($A282="","",(AU282+AV282+AW282+AX282+AY282+AZ282+BB282+BC282+IF(AS282=1,BA282,0))/(8+AS282))</f>
        <v/>
      </c>
      <c r="BE282" s="344">
        <f>IF($A282="","",(IF(ISNUMBER(AI282),IF(AI282&gt;=WaterMVD,1,0),0)+AV282+IF(ISNUMBER(AH282),IF(AH282&gt;=ProtMVD,1,0),0)+MAX(H282,AD282)+AZ282+BB282+AU282)/7)</f>
        <v/>
      </c>
      <c r="BF282" s="344">
        <f>IF(AO282=0,"",IF(E282="S","",IF(AND(AP282=0,$A282=TODAY()),"",IF(E282="M",BE282,BD282))))</f>
        <v/>
      </c>
      <c r="BG282" s="344">
        <f>IF(AO282=0,"",IFERROR(AVERAGEIFS(Data!$BF$4:$BF$375,Data!$A$4:$A$375,"&gt;"&amp;($A282-7),Data!$A$4:$A$375,"&lt;="&amp;$A282),""))</f>
        <v/>
      </c>
      <c r="BH282" s="344">
        <f>IF(AO282=0,"",IFERROR(AVERAGEIFS(Data!$BF$4:$BF$375,Data!$A$4:$A$375,"&gt;"&amp;($A282-30),Data!$A$4:$A$375,"&lt;="&amp;$A282),""))</f>
        <v/>
      </c>
      <c r="BI282" s="359">
        <f>IF($A282="","",IFERROR(AVERAGEIFS(Data!$AF$4:$AF$375,Data!$A$4:$A$375,"&gt;"&amp;($A282-7),Data!$A$4:$A$375,"&lt;="&amp;$A282,Data!$AF$4:$AF$375,"&gt;0"),""))</f>
        <v/>
      </c>
      <c r="BJ282" s="345">
        <f>IF($A282="","",F282+G282+H282+I282+J282+K282+L282+M282+N282-IF(AS282=1,0,J282))</f>
        <v/>
      </c>
      <c r="BK282" s="345">
        <f>IF($A282="","",8+AS282)</f>
        <v/>
      </c>
      <c r="BL282" s="345">
        <f>IF(ISNUMBER(BF282),BF282,NA())</f>
        <v/>
      </c>
      <c r="BM282" s="345">
        <f>IF(ISNUMBER(AF282),AF282,NA())</f>
        <v/>
      </c>
      <c r="BN282" s="345">
        <f>IF(ISNUMBER(BI282),BI282,NA())</f>
        <v/>
      </c>
      <c r="BO282" s="345">
        <f>IF(ISNUMBER(AL282),AL282,NA())</f>
        <v/>
      </c>
      <c r="BP282" s="345">
        <f>IF(ISNUMBER(AM282),AM282,NA())</f>
        <v/>
      </c>
      <c r="BQ282" s="345">
        <f>IF(ISNUMBER(AN282),AN282,NA())</f>
        <v/>
      </c>
    </row>
    <row r="283">
      <c r="A283" s="358">
        <f>IF('Jul 2027'!E7="","",'Jul 2027'!E7)</f>
        <v/>
      </c>
      <c r="B283" s="345" t="n">
        <v>10</v>
      </c>
      <c r="C283" s="345">
        <f>IF($A283="","",1)</f>
        <v/>
      </c>
      <c r="D283" s="345">
        <f>IF($A283="","",WEEKDAY($A283,2))</f>
        <v/>
      </c>
      <c r="E283" s="345">
        <f>IF($A283="","",UPPER(TRIM('Jul 2027'!E8)))</f>
        <v/>
      </c>
      <c r="F283" s="345">
        <f>IF($A283="","",IF(OR('Jul 2027'!E10=TRUE,'Jul 2027'!E10="x",'Jul 2027'!E10="X"),1,0))</f>
        <v/>
      </c>
      <c r="G283" s="345">
        <f>IF($A283="","",IF(OR('Jul 2027'!E11=TRUE,'Jul 2027'!E11="x",'Jul 2027'!E11="X"),1,0))</f>
        <v/>
      </c>
      <c r="H283" s="345">
        <f>IF($A283="","",IF(OR('Jul 2027'!E12=TRUE,'Jul 2027'!E12="x",'Jul 2027'!E12="X"),1,0))</f>
        <v/>
      </c>
      <c r="I283" s="345">
        <f>IF($A283="","",IF(OR('Jul 2027'!E13=TRUE,'Jul 2027'!E13="x",'Jul 2027'!E13="X"),1,0))</f>
        <v/>
      </c>
      <c r="J283" s="345">
        <f>IF($A283="","",IF(OR('Jul 2027'!E14=TRUE,'Jul 2027'!E14="x",'Jul 2027'!E14="X"),1,0))</f>
        <v/>
      </c>
      <c r="K283" s="345">
        <f>IF($A283="","",IF(OR('Jul 2027'!E15=TRUE,'Jul 2027'!E15="x",'Jul 2027'!E15="X"),1,0))</f>
        <v/>
      </c>
      <c r="L283" s="345">
        <f>IF($A283="","",IF(OR('Jul 2027'!E16=TRUE,'Jul 2027'!E16="x",'Jul 2027'!E16="X"),1,0))</f>
        <v/>
      </c>
      <c r="M283" s="345">
        <f>IF($A283="","",IF(OR('Jul 2027'!E17=TRUE,'Jul 2027'!E17="x",'Jul 2027'!E17="X"),1,0))</f>
        <v/>
      </c>
      <c r="N283" s="345">
        <f>IF($A283="","",IF(OR('Jul 2027'!E18=TRUE,'Jul 2027'!E18="x",'Jul 2027'!E18="X"),1,0))</f>
        <v/>
      </c>
      <c r="O283" s="345">
        <f>IF($A283="","",IF(OR('Jul 2027'!E20=TRUE,'Jul 2027'!E20="x",'Jul 2027'!E20="X"),1,0))</f>
        <v/>
      </c>
      <c r="P283" s="345">
        <f>IF($A283="","",IF(OR('Jul 2027'!E21=TRUE,'Jul 2027'!E21="x",'Jul 2027'!E21="X"),1,0))</f>
        <v/>
      </c>
      <c r="Q283" s="345">
        <f>IF($A283="","",IF(OR('Jul 2027'!E22=TRUE,'Jul 2027'!E22="x",'Jul 2027'!E22="X"),1,0))</f>
        <v/>
      </c>
      <c r="R283" s="345">
        <f>IF($A283="","",IF(OR('Jul 2027'!E23=TRUE,'Jul 2027'!E23="x",'Jul 2027'!E23="X"),1,0))</f>
        <v/>
      </c>
      <c r="S283" s="345">
        <f>IF($A283="","",IF(OR('Jul 2027'!E24=TRUE,'Jul 2027'!E24="x",'Jul 2027'!E24="X"),1,0))</f>
        <v/>
      </c>
      <c r="T283" s="345">
        <f>IF($A283="","",IF(OR('Jul 2027'!E25=TRUE,'Jul 2027'!E25="x",'Jul 2027'!E25="X"),1,0))</f>
        <v/>
      </c>
      <c r="U283" s="345">
        <f>IF($A283="","",IF(OR('Jul 2027'!E26=TRUE,'Jul 2027'!E26="x",'Jul 2027'!E26="X"),1,0))</f>
        <v/>
      </c>
      <c r="V283" s="345">
        <f>IF($A283="","",IF(OR('Jul 2027'!E27=TRUE,'Jul 2027'!E27="x",'Jul 2027'!E27="X"),1,0))</f>
        <v/>
      </c>
      <c r="W283" s="345">
        <f>IF($A283="","",IF(OR('Jul 2027'!E28=TRUE,'Jul 2027'!E28="x",'Jul 2027'!E28="X"),1,0))</f>
        <v/>
      </c>
      <c r="X283" s="345">
        <f>IF($A283="","",IF(OR('Jul 2027'!E29=TRUE,'Jul 2027'!E29="x",'Jul 2027'!E29="X"),1,0))</f>
        <v/>
      </c>
      <c r="Y283" s="345">
        <f>IF($A283="","",IF(OR('Jul 2027'!E30=TRUE,'Jul 2027'!E30="x",'Jul 2027'!E30="X"),1,0))</f>
        <v/>
      </c>
      <c r="Z283" s="345">
        <f>IF($A283="","",IF(OR('Jul 2027'!E31=TRUE,'Jul 2027'!E31="x",'Jul 2027'!E31="X"),1,0))</f>
        <v/>
      </c>
      <c r="AA283" s="345">
        <f>IF($A283="","",IF(OR('Jul 2027'!E32=TRUE,'Jul 2027'!E32="x",'Jul 2027'!E32="X"),1,0))</f>
        <v/>
      </c>
      <c r="AB283" s="345">
        <f>IF($A283="","",IF(OR('Jul 2027'!E34=TRUE,'Jul 2027'!E34="x",'Jul 2027'!E34="X"),1,0))</f>
        <v/>
      </c>
      <c r="AC283" s="345">
        <f>IF($A283="","",IF(OR('Jul 2027'!E35=TRUE,'Jul 2027'!E35="x",'Jul 2027'!E35="X"),1,0))</f>
        <v/>
      </c>
      <c r="AD283" s="345">
        <f>IF($A283="","",IF(OR('Jul 2027'!E36=TRUE,'Jul 2027'!E36="x",'Jul 2027'!E36="X"),1,0))</f>
        <v/>
      </c>
      <c r="AE283" s="345">
        <f>IF($A283="","",IF(OR('Jul 2027'!E37=TRUE,'Jul 2027'!E37="x",'Jul 2027'!E37="X"),1,0))</f>
        <v/>
      </c>
      <c r="AF283" s="345">
        <f>IF($A283="","",IF('Jul 2027'!E59="","",'Jul 2027'!E59))</f>
        <v/>
      </c>
      <c r="AG283" s="345">
        <f>IF($A283="","",IF('Jul 2027'!E60="","",'Jul 2027'!E60))</f>
        <v/>
      </c>
      <c r="AH283" s="345">
        <f>IF($A283="","",IF('Jul 2027'!E61="","",'Jul 2027'!E61))</f>
        <v/>
      </c>
      <c r="AI283" s="345">
        <f>IF($A283="","",IF('Jul 2027'!E62="","",'Jul 2027'!E62))</f>
        <v/>
      </c>
      <c r="AJ283" s="345">
        <f>IF($A283="","",IF('Jul 2027'!E63="","",'Jul 2027'!E63))</f>
        <v/>
      </c>
      <c r="AK283" s="345">
        <f>IF($A283="","",IF('Jul 2027'!E64="","",'Jul 2027'!E64))</f>
        <v/>
      </c>
      <c r="AL283" s="345">
        <f>IF($A283="","",IF('Jul 2027'!E65="","",'Jul 2027'!E65))</f>
        <v/>
      </c>
      <c r="AM283" s="345">
        <f>IF($A283="","",IF('Jul 2027'!E66="","",'Jul 2027'!E66))</f>
        <v/>
      </c>
      <c r="AN283" s="345">
        <f>IF($A283="","",IF('Jul 2027'!E67="","",'Jul 2027'!E67))</f>
        <v/>
      </c>
      <c r="AO283" s="345">
        <f>IF($A283="",0,IF(AND($A283&gt;=TrackStart,$A283&lt;=TODAY()),1,0))</f>
        <v/>
      </c>
      <c r="AP283" s="345">
        <f>IF($A283="",0,IF(SUM(F283:AE283)+COUNT(AF283:AN283)&gt;0,1,0))</f>
        <v/>
      </c>
      <c r="AQ283" s="345">
        <f>IF($A283="","",INT(($A283-TrackStart)/7)+1)</f>
        <v/>
      </c>
      <c r="AR283" s="345">
        <f>IF($A283="","",IF(AQ283&lt;=1,Steps1,IF(AQ283=2,Steps2,Steps3)))</f>
        <v/>
      </c>
      <c r="AS283" s="345">
        <f>IF($A283="",0,IF(ISNUMBER(SEARCH(TEXT(D283,"0"),WorkDays&amp;"")),1,0))</f>
        <v/>
      </c>
      <c r="AT283" s="345">
        <f>IF($A283="",0,IF(ISNUMBER(SEARCH(TEXT(D283,"0"),StrDays&amp;"")),1,0))</f>
        <v/>
      </c>
      <c r="AU283" s="345">
        <f>IF($A283="",0,IF(ISNUMBER(AK283),IF(AK283&gt;=SleepMin,1,0),N283))</f>
        <v/>
      </c>
      <c r="AV283" s="345">
        <f>IF($A283="",0,MAX(I283,O283,S283,AC283))</f>
        <v/>
      </c>
      <c r="AW283" s="345">
        <f>IF($A283="",0,IF(ISNUMBER(AH283),IF(AH283&gt;=ProtHit,1,0),0))</f>
        <v/>
      </c>
      <c r="AX283" s="345">
        <f>IF($A283="",0,IF(ISNUMBER(AI283),IF(AI283&gt;=WaterHit,1,0),0))</f>
        <v/>
      </c>
      <c r="AY283" s="345">
        <f>IF($A283="",0,IF(ISNUMBER(AG283),IF(AG283&gt;=AR283,1,0),0))</f>
        <v/>
      </c>
      <c r="AZ283" s="345">
        <f>IF($A283="",0,G283)</f>
        <v/>
      </c>
      <c r="BA283" s="345">
        <f>IF($A283="",0,J283)</f>
        <v/>
      </c>
      <c r="BB283" s="345">
        <f>IF($A283="",0,K283)</f>
        <v/>
      </c>
      <c r="BC283" s="345">
        <f>IF($A283="",0,MAX(L283,AE283))</f>
        <v/>
      </c>
      <c r="BD283" s="344">
        <f>IF($A283="","",(AU283+AV283+AW283+AX283+AY283+AZ283+BB283+BC283+IF(AS283=1,BA283,0))/(8+AS283))</f>
        <v/>
      </c>
      <c r="BE283" s="344">
        <f>IF($A283="","",(IF(ISNUMBER(AI283),IF(AI283&gt;=WaterMVD,1,0),0)+AV283+IF(ISNUMBER(AH283),IF(AH283&gt;=ProtMVD,1,0),0)+MAX(H283,AD283)+AZ283+BB283+AU283)/7)</f>
        <v/>
      </c>
      <c r="BF283" s="344">
        <f>IF(AO283=0,"",IF(E283="S","",IF(AND(AP283=0,$A283=TODAY()),"",IF(E283="M",BE283,BD283))))</f>
        <v/>
      </c>
      <c r="BG283" s="344">
        <f>IF(AO283=0,"",IFERROR(AVERAGEIFS(Data!$BF$4:$BF$375,Data!$A$4:$A$375,"&gt;"&amp;($A283-7),Data!$A$4:$A$375,"&lt;="&amp;$A283),""))</f>
        <v/>
      </c>
      <c r="BH283" s="344">
        <f>IF(AO283=0,"",IFERROR(AVERAGEIFS(Data!$BF$4:$BF$375,Data!$A$4:$A$375,"&gt;"&amp;($A283-30),Data!$A$4:$A$375,"&lt;="&amp;$A283),""))</f>
        <v/>
      </c>
      <c r="BI283" s="359">
        <f>IF($A283="","",IFERROR(AVERAGEIFS(Data!$AF$4:$AF$375,Data!$A$4:$A$375,"&gt;"&amp;($A283-7),Data!$A$4:$A$375,"&lt;="&amp;$A283,Data!$AF$4:$AF$375,"&gt;0"),""))</f>
        <v/>
      </c>
      <c r="BJ283" s="345">
        <f>IF($A283="","",F283+G283+H283+I283+J283+K283+L283+M283+N283-IF(AS283=1,0,J283))</f>
        <v/>
      </c>
      <c r="BK283" s="345">
        <f>IF($A283="","",8+AS283)</f>
        <v/>
      </c>
      <c r="BL283" s="345">
        <f>IF(ISNUMBER(BF283),BF283,NA())</f>
        <v/>
      </c>
      <c r="BM283" s="345">
        <f>IF(ISNUMBER(AF283),AF283,NA())</f>
        <v/>
      </c>
      <c r="BN283" s="345">
        <f>IF(ISNUMBER(BI283),BI283,NA())</f>
        <v/>
      </c>
      <c r="BO283" s="345">
        <f>IF(ISNUMBER(AL283),AL283,NA())</f>
        <v/>
      </c>
      <c r="BP283" s="345">
        <f>IF(ISNUMBER(AM283),AM283,NA())</f>
        <v/>
      </c>
      <c r="BQ283" s="345">
        <f>IF(ISNUMBER(AN283),AN283,NA())</f>
        <v/>
      </c>
    </row>
    <row r="284">
      <c r="A284" s="358">
        <f>IF('Jul 2027'!F7="","",'Jul 2027'!F7)</f>
        <v/>
      </c>
      <c r="B284" s="345" t="n">
        <v>10</v>
      </c>
      <c r="C284" s="345">
        <f>IF($A284="","",2)</f>
        <v/>
      </c>
      <c r="D284" s="345">
        <f>IF($A284="","",WEEKDAY($A284,2))</f>
        <v/>
      </c>
      <c r="E284" s="345">
        <f>IF($A284="","",UPPER(TRIM('Jul 2027'!F8)))</f>
        <v/>
      </c>
      <c r="F284" s="345">
        <f>IF($A284="","",IF(OR('Jul 2027'!F10=TRUE,'Jul 2027'!F10="x",'Jul 2027'!F10="X"),1,0))</f>
        <v/>
      </c>
      <c r="G284" s="345">
        <f>IF($A284="","",IF(OR('Jul 2027'!F11=TRUE,'Jul 2027'!F11="x",'Jul 2027'!F11="X"),1,0))</f>
        <v/>
      </c>
      <c r="H284" s="345">
        <f>IF($A284="","",IF(OR('Jul 2027'!F12=TRUE,'Jul 2027'!F12="x",'Jul 2027'!F12="X"),1,0))</f>
        <v/>
      </c>
      <c r="I284" s="345">
        <f>IF($A284="","",IF(OR('Jul 2027'!F13=TRUE,'Jul 2027'!F13="x",'Jul 2027'!F13="X"),1,0))</f>
        <v/>
      </c>
      <c r="J284" s="345">
        <f>IF($A284="","",IF(OR('Jul 2027'!F14=TRUE,'Jul 2027'!F14="x",'Jul 2027'!F14="X"),1,0))</f>
        <v/>
      </c>
      <c r="K284" s="345">
        <f>IF($A284="","",IF(OR('Jul 2027'!F15=TRUE,'Jul 2027'!F15="x",'Jul 2027'!F15="X"),1,0))</f>
        <v/>
      </c>
      <c r="L284" s="345">
        <f>IF($A284="","",IF(OR('Jul 2027'!F16=TRUE,'Jul 2027'!F16="x",'Jul 2027'!F16="X"),1,0))</f>
        <v/>
      </c>
      <c r="M284" s="345">
        <f>IF($A284="","",IF(OR('Jul 2027'!F17=TRUE,'Jul 2027'!F17="x",'Jul 2027'!F17="X"),1,0))</f>
        <v/>
      </c>
      <c r="N284" s="345">
        <f>IF($A284="","",IF(OR('Jul 2027'!F18=TRUE,'Jul 2027'!F18="x",'Jul 2027'!F18="X"),1,0))</f>
        <v/>
      </c>
      <c r="O284" s="345">
        <f>IF($A284="","",IF(OR('Jul 2027'!F20=TRUE,'Jul 2027'!F20="x",'Jul 2027'!F20="X"),1,0))</f>
        <v/>
      </c>
      <c r="P284" s="345">
        <f>IF($A284="","",IF(OR('Jul 2027'!F21=TRUE,'Jul 2027'!F21="x",'Jul 2027'!F21="X"),1,0))</f>
        <v/>
      </c>
      <c r="Q284" s="345">
        <f>IF($A284="","",IF(OR('Jul 2027'!F22=TRUE,'Jul 2027'!F22="x",'Jul 2027'!F22="X"),1,0))</f>
        <v/>
      </c>
      <c r="R284" s="345">
        <f>IF($A284="","",IF(OR('Jul 2027'!F23=TRUE,'Jul 2027'!F23="x",'Jul 2027'!F23="X"),1,0))</f>
        <v/>
      </c>
      <c r="S284" s="345">
        <f>IF($A284="","",IF(OR('Jul 2027'!F24=TRUE,'Jul 2027'!F24="x",'Jul 2027'!F24="X"),1,0))</f>
        <v/>
      </c>
      <c r="T284" s="345">
        <f>IF($A284="","",IF(OR('Jul 2027'!F25=TRUE,'Jul 2027'!F25="x",'Jul 2027'!F25="X"),1,0))</f>
        <v/>
      </c>
      <c r="U284" s="345">
        <f>IF($A284="","",IF(OR('Jul 2027'!F26=TRUE,'Jul 2027'!F26="x",'Jul 2027'!F26="X"),1,0))</f>
        <v/>
      </c>
      <c r="V284" s="345">
        <f>IF($A284="","",IF(OR('Jul 2027'!F27=TRUE,'Jul 2027'!F27="x",'Jul 2027'!F27="X"),1,0))</f>
        <v/>
      </c>
      <c r="W284" s="345">
        <f>IF($A284="","",IF(OR('Jul 2027'!F28=TRUE,'Jul 2027'!F28="x",'Jul 2027'!F28="X"),1,0))</f>
        <v/>
      </c>
      <c r="X284" s="345">
        <f>IF($A284="","",IF(OR('Jul 2027'!F29=TRUE,'Jul 2027'!F29="x",'Jul 2027'!F29="X"),1,0))</f>
        <v/>
      </c>
      <c r="Y284" s="345">
        <f>IF($A284="","",IF(OR('Jul 2027'!F30=TRUE,'Jul 2027'!F30="x",'Jul 2027'!F30="X"),1,0))</f>
        <v/>
      </c>
      <c r="Z284" s="345">
        <f>IF($A284="","",IF(OR('Jul 2027'!F31=TRUE,'Jul 2027'!F31="x",'Jul 2027'!F31="X"),1,0))</f>
        <v/>
      </c>
      <c r="AA284" s="345">
        <f>IF($A284="","",IF(OR('Jul 2027'!F32=TRUE,'Jul 2027'!F32="x",'Jul 2027'!F32="X"),1,0))</f>
        <v/>
      </c>
      <c r="AB284" s="345">
        <f>IF($A284="","",IF(OR('Jul 2027'!F34=TRUE,'Jul 2027'!F34="x",'Jul 2027'!F34="X"),1,0))</f>
        <v/>
      </c>
      <c r="AC284" s="345">
        <f>IF($A284="","",IF(OR('Jul 2027'!F35=TRUE,'Jul 2027'!F35="x",'Jul 2027'!F35="X"),1,0))</f>
        <v/>
      </c>
      <c r="AD284" s="345">
        <f>IF($A284="","",IF(OR('Jul 2027'!F36=TRUE,'Jul 2027'!F36="x",'Jul 2027'!F36="X"),1,0))</f>
        <v/>
      </c>
      <c r="AE284" s="345">
        <f>IF($A284="","",IF(OR('Jul 2027'!F37=TRUE,'Jul 2027'!F37="x",'Jul 2027'!F37="X"),1,0))</f>
        <v/>
      </c>
      <c r="AF284" s="345">
        <f>IF($A284="","",IF('Jul 2027'!F59="","",'Jul 2027'!F59))</f>
        <v/>
      </c>
      <c r="AG284" s="345">
        <f>IF($A284="","",IF('Jul 2027'!F60="","",'Jul 2027'!F60))</f>
        <v/>
      </c>
      <c r="AH284" s="345">
        <f>IF($A284="","",IF('Jul 2027'!F61="","",'Jul 2027'!F61))</f>
        <v/>
      </c>
      <c r="AI284" s="345">
        <f>IF($A284="","",IF('Jul 2027'!F62="","",'Jul 2027'!F62))</f>
        <v/>
      </c>
      <c r="AJ284" s="345">
        <f>IF($A284="","",IF('Jul 2027'!F63="","",'Jul 2027'!F63))</f>
        <v/>
      </c>
      <c r="AK284" s="345">
        <f>IF($A284="","",IF('Jul 2027'!F64="","",'Jul 2027'!F64))</f>
        <v/>
      </c>
      <c r="AL284" s="345">
        <f>IF($A284="","",IF('Jul 2027'!F65="","",'Jul 2027'!F65))</f>
        <v/>
      </c>
      <c r="AM284" s="345">
        <f>IF($A284="","",IF('Jul 2027'!F66="","",'Jul 2027'!F66))</f>
        <v/>
      </c>
      <c r="AN284" s="345">
        <f>IF($A284="","",IF('Jul 2027'!F67="","",'Jul 2027'!F67))</f>
        <v/>
      </c>
      <c r="AO284" s="345">
        <f>IF($A284="",0,IF(AND($A284&gt;=TrackStart,$A284&lt;=TODAY()),1,0))</f>
        <v/>
      </c>
      <c r="AP284" s="345">
        <f>IF($A284="",0,IF(SUM(F284:AE284)+COUNT(AF284:AN284)&gt;0,1,0))</f>
        <v/>
      </c>
      <c r="AQ284" s="345">
        <f>IF($A284="","",INT(($A284-TrackStart)/7)+1)</f>
        <v/>
      </c>
      <c r="AR284" s="345">
        <f>IF($A284="","",IF(AQ284&lt;=1,Steps1,IF(AQ284=2,Steps2,Steps3)))</f>
        <v/>
      </c>
      <c r="AS284" s="345">
        <f>IF($A284="",0,IF(ISNUMBER(SEARCH(TEXT(D284,"0"),WorkDays&amp;"")),1,0))</f>
        <v/>
      </c>
      <c r="AT284" s="345">
        <f>IF($A284="",0,IF(ISNUMBER(SEARCH(TEXT(D284,"0"),StrDays&amp;"")),1,0))</f>
        <v/>
      </c>
      <c r="AU284" s="345">
        <f>IF($A284="",0,IF(ISNUMBER(AK284),IF(AK284&gt;=SleepMin,1,0),N284))</f>
        <v/>
      </c>
      <c r="AV284" s="345">
        <f>IF($A284="",0,MAX(I284,O284,S284,AC284))</f>
        <v/>
      </c>
      <c r="AW284" s="345">
        <f>IF($A284="",0,IF(ISNUMBER(AH284),IF(AH284&gt;=ProtHit,1,0),0))</f>
        <v/>
      </c>
      <c r="AX284" s="345">
        <f>IF($A284="",0,IF(ISNUMBER(AI284),IF(AI284&gt;=WaterHit,1,0),0))</f>
        <v/>
      </c>
      <c r="AY284" s="345">
        <f>IF($A284="",0,IF(ISNUMBER(AG284),IF(AG284&gt;=AR284,1,0),0))</f>
        <v/>
      </c>
      <c r="AZ284" s="345">
        <f>IF($A284="",0,G284)</f>
        <v/>
      </c>
      <c r="BA284" s="345">
        <f>IF($A284="",0,J284)</f>
        <v/>
      </c>
      <c r="BB284" s="345">
        <f>IF($A284="",0,K284)</f>
        <v/>
      </c>
      <c r="BC284" s="345">
        <f>IF($A284="",0,MAX(L284,AE284))</f>
        <v/>
      </c>
      <c r="BD284" s="344">
        <f>IF($A284="","",(AU284+AV284+AW284+AX284+AY284+AZ284+BB284+BC284+IF(AS284=1,BA284,0))/(8+AS284))</f>
        <v/>
      </c>
      <c r="BE284" s="344">
        <f>IF($A284="","",(IF(ISNUMBER(AI284),IF(AI284&gt;=WaterMVD,1,0),0)+AV284+IF(ISNUMBER(AH284),IF(AH284&gt;=ProtMVD,1,0),0)+MAX(H284,AD284)+AZ284+BB284+AU284)/7)</f>
        <v/>
      </c>
      <c r="BF284" s="344">
        <f>IF(AO284=0,"",IF(E284="S","",IF(AND(AP284=0,$A284=TODAY()),"",IF(E284="M",BE284,BD284))))</f>
        <v/>
      </c>
      <c r="BG284" s="344">
        <f>IF(AO284=0,"",IFERROR(AVERAGEIFS(Data!$BF$4:$BF$375,Data!$A$4:$A$375,"&gt;"&amp;($A284-7),Data!$A$4:$A$375,"&lt;="&amp;$A284),""))</f>
        <v/>
      </c>
      <c r="BH284" s="344">
        <f>IF(AO284=0,"",IFERROR(AVERAGEIFS(Data!$BF$4:$BF$375,Data!$A$4:$A$375,"&gt;"&amp;($A284-30),Data!$A$4:$A$375,"&lt;="&amp;$A284),""))</f>
        <v/>
      </c>
      <c r="BI284" s="359">
        <f>IF($A284="","",IFERROR(AVERAGEIFS(Data!$AF$4:$AF$375,Data!$A$4:$A$375,"&gt;"&amp;($A284-7),Data!$A$4:$A$375,"&lt;="&amp;$A284,Data!$AF$4:$AF$375,"&gt;0"),""))</f>
        <v/>
      </c>
      <c r="BJ284" s="345">
        <f>IF($A284="","",F284+G284+H284+I284+J284+K284+L284+M284+N284-IF(AS284=1,0,J284))</f>
        <v/>
      </c>
      <c r="BK284" s="345">
        <f>IF($A284="","",8+AS284)</f>
        <v/>
      </c>
      <c r="BL284" s="345">
        <f>IF(ISNUMBER(BF284),BF284,NA())</f>
        <v/>
      </c>
      <c r="BM284" s="345">
        <f>IF(ISNUMBER(AF284),AF284,NA())</f>
        <v/>
      </c>
      <c r="BN284" s="345">
        <f>IF(ISNUMBER(BI284),BI284,NA())</f>
        <v/>
      </c>
      <c r="BO284" s="345">
        <f>IF(ISNUMBER(AL284),AL284,NA())</f>
        <v/>
      </c>
      <c r="BP284" s="345">
        <f>IF(ISNUMBER(AM284),AM284,NA())</f>
        <v/>
      </c>
      <c r="BQ284" s="345">
        <f>IF(ISNUMBER(AN284),AN284,NA())</f>
        <v/>
      </c>
    </row>
    <row r="285">
      <c r="A285" s="358">
        <f>IF('Jul 2027'!G7="","",'Jul 2027'!G7)</f>
        <v/>
      </c>
      <c r="B285" s="345" t="n">
        <v>10</v>
      </c>
      <c r="C285" s="345">
        <f>IF($A285="","",3)</f>
        <v/>
      </c>
      <c r="D285" s="345">
        <f>IF($A285="","",WEEKDAY($A285,2))</f>
        <v/>
      </c>
      <c r="E285" s="345">
        <f>IF($A285="","",UPPER(TRIM('Jul 2027'!G8)))</f>
        <v/>
      </c>
      <c r="F285" s="345">
        <f>IF($A285="","",IF(OR('Jul 2027'!G10=TRUE,'Jul 2027'!G10="x",'Jul 2027'!G10="X"),1,0))</f>
        <v/>
      </c>
      <c r="G285" s="345">
        <f>IF($A285="","",IF(OR('Jul 2027'!G11=TRUE,'Jul 2027'!G11="x",'Jul 2027'!G11="X"),1,0))</f>
        <v/>
      </c>
      <c r="H285" s="345">
        <f>IF($A285="","",IF(OR('Jul 2027'!G12=TRUE,'Jul 2027'!G12="x",'Jul 2027'!G12="X"),1,0))</f>
        <v/>
      </c>
      <c r="I285" s="345">
        <f>IF($A285="","",IF(OR('Jul 2027'!G13=TRUE,'Jul 2027'!G13="x",'Jul 2027'!G13="X"),1,0))</f>
        <v/>
      </c>
      <c r="J285" s="345">
        <f>IF($A285="","",IF(OR('Jul 2027'!G14=TRUE,'Jul 2027'!G14="x",'Jul 2027'!G14="X"),1,0))</f>
        <v/>
      </c>
      <c r="K285" s="345">
        <f>IF($A285="","",IF(OR('Jul 2027'!G15=TRUE,'Jul 2027'!G15="x",'Jul 2027'!G15="X"),1,0))</f>
        <v/>
      </c>
      <c r="L285" s="345">
        <f>IF($A285="","",IF(OR('Jul 2027'!G16=TRUE,'Jul 2027'!G16="x",'Jul 2027'!G16="X"),1,0))</f>
        <v/>
      </c>
      <c r="M285" s="345">
        <f>IF($A285="","",IF(OR('Jul 2027'!G17=TRUE,'Jul 2027'!G17="x",'Jul 2027'!G17="X"),1,0))</f>
        <v/>
      </c>
      <c r="N285" s="345">
        <f>IF($A285="","",IF(OR('Jul 2027'!G18=TRUE,'Jul 2027'!G18="x",'Jul 2027'!G18="X"),1,0))</f>
        <v/>
      </c>
      <c r="O285" s="345">
        <f>IF($A285="","",IF(OR('Jul 2027'!G20=TRUE,'Jul 2027'!G20="x",'Jul 2027'!G20="X"),1,0))</f>
        <v/>
      </c>
      <c r="P285" s="345">
        <f>IF($A285="","",IF(OR('Jul 2027'!G21=TRUE,'Jul 2027'!G21="x",'Jul 2027'!G21="X"),1,0))</f>
        <v/>
      </c>
      <c r="Q285" s="345">
        <f>IF($A285="","",IF(OR('Jul 2027'!G22=TRUE,'Jul 2027'!G22="x",'Jul 2027'!G22="X"),1,0))</f>
        <v/>
      </c>
      <c r="R285" s="345">
        <f>IF($A285="","",IF(OR('Jul 2027'!G23=TRUE,'Jul 2027'!G23="x",'Jul 2027'!G23="X"),1,0))</f>
        <v/>
      </c>
      <c r="S285" s="345">
        <f>IF($A285="","",IF(OR('Jul 2027'!G24=TRUE,'Jul 2027'!G24="x",'Jul 2027'!G24="X"),1,0))</f>
        <v/>
      </c>
      <c r="T285" s="345">
        <f>IF($A285="","",IF(OR('Jul 2027'!G25=TRUE,'Jul 2027'!G25="x",'Jul 2027'!G25="X"),1,0))</f>
        <v/>
      </c>
      <c r="U285" s="345">
        <f>IF($A285="","",IF(OR('Jul 2027'!G26=TRUE,'Jul 2027'!G26="x",'Jul 2027'!G26="X"),1,0))</f>
        <v/>
      </c>
      <c r="V285" s="345">
        <f>IF($A285="","",IF(OR('Jul 2027'!G27=TRUE,'Jul 2027'!G27="x",'Jul 2027'!G27="X"),1,0))</f>
        <v/>
      </c>
      <c r="W285" s="345">
        <f>IF($A285="","",IF(OR('Jul 2027'!G28=TRUE,'Jul 2027'!G28="x",'Jul 2027'!G28="X"),1,0))</f>
        <v/>
      </c>
      <c r="X285" s="345">
        <f>IF($A285="","",IF(OR('Jul 2027'!G29=TRUE,'Jul 2027'!G29="x",'Jul 2027'!G29="X"),1,0))</f>
        <v/>
      </c>
      <c r="Y285" s="345">
        <f>IF($A285="","",IF(OR('Jul 2027'!G30=TRUE,'Jul 2027'!G30="x",'Jul 2027'!G30="X"),1,0))</f>
        <v/>
      </c>
      <c r="Z285" s="345">
        <f>IF($A285="","",IF(OR('Jul 2027'!G31=TRUE,'Jul 2027'!G31="x",'Jul 2027'!G31="X"),1,0))</f>
        <v/>
      </c>
      <c r="AA285" s="345">
        <f>IF($A285="","",IF(OR('Jul 2027'!G32=TRUE,'Jul 2027'!G32="x",'Jul 2027'!G32="X"),1,0))</f>
        <v/>
      </c>
      <c r="AB285" s="345">
        <f>IF($A285="","",IF(OR('Jul 2027'!G34=TRUE,'Jul 2027'!G34="x",'Jul 2027'!G34="X"),1,0))</f>
        <v/>
      </c>
      <c r="AC285" s="345">
        <f>IF($A285="","",IF(OR('Jul 2027'!G35=TRUE,'Jul 2027'!G35="x",'Jul 2027'!G35="X"),1,0))</f>
        <v/>
      </c>
      <c r="AD285" s="345">
        <f>IF($A285="","",IF(OR('Jul 2027'!G36=TRUE,'Jul 2027'!G36="x",'Jul 2027'!G36="X"),1,0))</f>
        <v/>
      </c>
      <c r="AE285" s="345">
        <f>IF($A285="","",IF(OR('Jul 2027'!G37=TRUE,'Jul 2027'!G37="x",'Jul 2027'!G37="X"),1,0))</f>
        <v/>
      </c>
      <c r="AF285" s="345">
        <f>IF($A285="","",IF('Jul 2027'!G59="","",'Jul 2027'!G59))</f>
        <v/>
      </c>
      <c r="AG285" s="345">
        <f>IF($A285="","",IF('Jul 2027'!G60="","",'Jul 2027'!G60))</f>
        <v/>
      </c>
      <c r="AH285" s="345">
        <f>IF($A285="","",IF('Jul 2027'!G61="","",'Jul 2027'!G61))</f>
        <v/>
      </c>
      <c r="AI285" s="345">
        <f>IF($A285="","",IF('Jul 2027'!G62="","",'Jul 2027'!G62))</f>
        <v/>
      </c>
      <c r="AJ285" s="345">
        <f>IF($A285="","",IF('Jul 2027'!G63="","",'Jul 2027'!G63))</f>
        <v/>
      </c>
      <c r="AK285" s="345">
        <f>IF($A285="","",IF('Jul 2027'!G64="","",'Jul 2027'!G64))</f>
        <v/>
      </c>
      <c r="AL285" s="345">
        <f>IF($A285="","",IF('Jul 2027'!G65="","",'Jul 2027'!G65))</f>
        <v/>
      </c>
      <c r="AM285" s="345">
        <f>IF($A285="","",IF('Jul 2027'!G66="","",'Jul 2027'!G66))</f>
        <v/>
      </c>
      <c r="AN285" s="345">
        <f>IF($A285="","",IF('Jul 2027'!G67="","",'Jul 2027'!G67))</f>
        <v/>
      </c>
      <c r="AO285" s="345">
        <f>IF($A285="",0,IF(AND($A285&gt;=TrackStart,$A285&lt;=TODAY()),1,0))</f>
        <v/>
      </c>
      <c r="AP285" s="345">
        <f>IF($A285="",0,IF(SUM(F285:AE285)+COUNT(AF285:AN285)&gt;0,1,0))</f>
        <v/>
      </c>
      <c r="AQ285" s="345">
        <f>IF($A285="","",INT(($A285-TrackStart)/7)+1)</f>
        <v/>
      </c>
      <c r="AR285" s="345">
        <f>IF($A285="","",IF(AQ285&lt;=1,Steps1,IF(AQ285=2,Steps2,Steps3)))</f>
        <v/>
      </c>
      <c r="AS285" s="345">
        <f>IF($A285="",0,IF(ISNUMBER(SEARCH(TEXT(D285,"0"),WorkDays&amp;"")),1,0))</f>
        <v/>
      </c>
      <c r="AT285" s="345">
        <f>IF($A285="",0,IF(ISNUMBER(SEARCH(TEXT(D285,"0"),StrDays&amp;"")),1,0))</f>
        <v/>
      </c>
      <c r="AU285" s="345">
        <f>IF($A285="",0,IF(ISNUMBER(AK285),IF(AK285&gt;=SleepMin,1,0),N285))</f>
        <v/>
      </c>
      <c r="AV285" s="345">
        <f>IF($A285="",0,MAX(I285,O285,S285,AC285))</f>
        <v/>
      </c>
      <c r="AW285" s="345">
        <f>IF($A285="",0,IF(ISNUMBER(AH285),IF(AH285&gt;=ProtHit,1,0),0))</f>
        <v/>
      </c>
      <c r="AX285" s="345">
        <f>IF($A285="",0,IF(ISNUMBER(AI285),IF(AI285&gt;=WaterHit,1,0),0))</f>
        <v/>
      </c>
      <c r="AY285" s="345">
        <f>IF($A285="",0,IF(ISNUMBER(AG285),IF(AG285&gt;=AR285,1,0),0))</f>
        <v/>
      </c>
      <c r="AZ285" s="345">
        <f>IF($A285="",0,G285)</f>
        <v/>
      </c>
      <c r="BA285" s="345">
        <f>IF($A285="",0,J285)</f>
        <v/>
      </c>
      <c r="BB285" s="345">
        <f>IF($A285="",0,K285)</f>
        <v/>
      </c>
      <c r="BC285" s="345">
        <f>IF($A285="",0,MAX(L285,AE285))</f>
        <v/>
      </c>
      <c r="BD285" s="344">
        <f>IF($A285="","",(AU285+AV285+AW285+AX285+AY285+AZ285+BB285+BC285+IF(AS285=1,BA285,0))/(8+AS285))</f>
        <v/>
      </c>
      <c r="BE285" s="344">
        <f>IF($A285="","",(IF(ISNUMBER(AI285),IF(AI285&gt;=WaterMVD,1,0),0)+AV285+IF(ISNUMBER(AH285),IF(AH285&gt;=ProtMVD,1,0),0)+MAX(H285,AD285)+AZ285+BB285+AU285)/7)</f>
        <v/>
      </c>
      <c r="BF285" s="344">
        <f>IF(AO285=0,"",IF(E285="S","",IF(AND(AP285=0,$A285=TODAY()),"",IF(E285="M",BE285,BD285))))</f>
        <v/>
      </c>
      <c r="BG285" s="344">
        <f>IF(AO285=0,"",IFERROR(AVERAGEIFS(Data!$BF$4:$BF$375,Data!$A$4:$A$375,"&gt;"&amp;($A285-7),Data!$A$4:$A$375,"&lt;="&amp;$A285),""))</f>
        <v/>
      </c>
      <c r="BH285" s="344">
        <f>IF(AO285=0,"",IFERROR(AVERAGEIFS(Data!$BF$4:$BF$375,Data!$A$4:$A$375,"&gt;"&amp;($A285-30),Data!$A$4:$A$375,"&lt;="&amp;$A285),""))</f>
        <v/>
      </c>
      <c r="BI285" s="359">
        <f>IF($A285="","",IFERROR(AVERAGEIFS(Data!$AF$4:$AF$375,Data!$A$4:$A$375,"&gt;"&amp;($A285-7),Data!$A$4:$A$375,"&lt;="&amp;$A285,Data!$AF$4:$AF$375,"&gt;0"),""))</f>
        <v/>
      </c>
      <c r="BJ285" s="345">
        <f>IF($A285="","",F285+G285+H285+I285+J285+K285+L285+M285+N285-IF(AS285=1,0,J285))</f>
        <v/>
      </c>
      <c r="BK285" s="345">
        <f>IF($A285="","",8+AS285)</f>
        <v/>
      </c>
      <c r="BL285" s="345">
        <f>IF(ISNUMBER(BF285),BF285,NA())</f>
        <v/>
      </c>
      <c r="BM285" s="345">
        <f>IF(ISNUMBER(AF285),AF285,NA())</f>
        <v/>
      </c>
      <c r="BN285" s="345">
        <f>IF(ISNUMBER(BI285),BI285,NA())</f>
        <v/>
      </c>
      <c r="BO285" s="345">
        <f>IF(ISNUMBER(AL285),AL285,NA())</f>
        <v/>
      </c>
      <c r="BP285" s="345">
        <f>IF(ISNUMBER(AM285),AM285,NA())</f>
        <v/>
      </c>
      <c r="BQ285" s="345">
        <f>IF(ISNUMBER(AN285),AN285,NA())</f>
        <v/>
      </c>
    </row>
    <row r="286">
      <c r="A286" s="358">
        <f>IF('Jul 2027'!H7="","",'Jul 2027'!H7)</f>
        <v/>
      </c>
      <c r="B286" s="345" t="n">
        <v>10</v>
      </c>
      <c r="C286" s="345">
        <f>IF($A286="","",4)</f>
        <v/>
      </c>
      <c r="D286" s="345">
        <f>IF($A286="","",WEEKDAY($A286,2))</f>
        <v/>
      </c>
      <c r="E286" s="345">
        <f>IF($A286="","",UPPER(TRIM('Jul 2027'!H8)))</f>
        <v/>
      </c>
      <c r="F286" s="345">
        <f>IF($A286="","",IF(OR('Jul 2027'!H10=TRUE,'Jul 2027'!H10="x",'Jul 2027'!H10="X"),1,0))</f>
        <v/>
      </c>
      <c r="G286" s="345">
        <f>IF($A286="","",IF(OR('Jul 2027'!H11=TRUE,'Jul 2027'!H11="x",'Jul 2027'!H11="X"),1,0))</f>
        <v/>
      </c>
      <c r="H286" s="345">
        <f>IF($A286="","",IF(OR('Jul 2027'!H12=TRUE,'Jul 2027'!H12="x",'Jul 2027'!H12="X"),1,0))</f>
        <v/>
      </c>
      <c r="I286" s="345">
        <f>IF($A286="","",IF(OR('Jul 2027'!H13=TRUE,'Jul 2027'!H13="x",'Jul 2027'!H13="X"),1,0))</f>
        <v/>
      </c>
      <c r="J286" s="345">
        <f>IF($A286="","",IF(OR('Jul 2027'!H14=TRUE,'Jul 2027'!H14="x",'Jul 2027'!H14="X"),1,0))</f>
        <v/>
      </c>
      <c r="K286" s="345">
        <f>IF($A286="","",IF(OR('Jul 2027'!H15=TRUE,'Jul 2027'!H15="x",'Jul 2027'!H15="X"),1,0))</f>
        <v/>
      </c>
      <c r="L286" s="345">
        <f>IF($A286="","",IF(OR('Jul 2027'!H16=TRUE,'Jul 2027'!H16="x",'Jul 2027'!H16="X"),1,0))</f>
        <v/>
      </c>
      <c r="M286" s="345">
        <f>IF($A286="","",IF(OR('Jul 2027'!H17=TRUE,'Jul 2027'!H17="x",'Jul 2027'!H17="X"),1,0))</f>
        <v/>
      </c>
      <c r="N286" s="345">
        <f>IF($A286="","",IF(OR('Jul 2027'!H18=TRUE,'Jul 2027'!H18="x",'Jul 2027'!H18="X"),1,0))</f>
        <v/>
      </c>
      <c r="O286" s="345">
        <f>IF($A286="","",IF(OR('Jul 2027'!H20=TRUE,'Jul 2027'!H20="x",'Jul 2027'!H20="X"),1,0))</f>
        <v/>
      </c>
      <c r="P286" s="345">
        <f>IF($A286="","",IF(OR('Jul 2027'!H21=TRUE,'Jul 2027'!H21="x",'Jul 2027'!H21="X"),1,0))</f>
        <v/>
      </c>
      <c r="Q286" s="345">
        <f>IF($A286="","",IF(OR('Jul 2027'!H22=TRUE,'Jul 2027'!H22="x",'Jul 2027'!H22="X"),1,0))</f>
        <v/>
      </c>
      <c r="R286" s="345">
        <f>IF($A286="","",IF(OR('Jul 2027'!H23=TRUE,'Jul 2027'!H23="x",'Jul 2027'!H23="X"),1,0))</f>
        <v/>
      </c>
      <c r="S286" s="345">
        <f>IF($A286="","",IF(OR('Jul 2027'!H24=TRUE,'Jul 2027'!H24="x",'Jul 2027'!H24="X"),1,0))</f>
        <v/>
      </c>
      <c r="T286" s="345">
        <f>IF($A286="","",IF(OR('Jul 2027'!H25=TRUE,'Jul 2027'!H25="x",'Jul 2027'!H25="X"),1,0))</f>
        <v/>
      </c>
      <c r="U286" s="345">
        <f>IF($A286="","",IF(OR('Jul 2027'!H26=TRUE,'Jul 2027'!H26="x",'Jul 2027'!H26="X"),1,0))</f>
        <v/>
      </c>
      <c r="V286" s="345">
        <f>IF($A286="","",IF(OR('Jul 2027'!H27=TRUE,'Jul 2027'!H27="x",'Jul 2027'!H27="X"),1,0))</f>
        <v/>
      </c>
      <c r="W286" s="345">
        <f>IF($A286="","",IF(OR('Jul 2027'!H28=TRUE,'Jul 2027'!H28="x",'Jul 2027'!H28="X"),1,0))</f>
        <v/>
      </c>
      <c r="X286" s="345">
        <f>IF($A286="","",IF(OR('Jul 2027'!H29=TRUE,'Jul 2027'!H29="x",'Jul 2027'!H29="X"),1,0))</f>
        <v/>
      </c>
      <c r="Y286" s="345">
        <f>IF($A286="","",IF(OR('Jul 2027'!H30=TRUE,'Jul 2027'!H30="x",'Jul 2027'!H30="X"),1,0))</f>
        <v/>
      </c>
      <c r="Z286" s="345">
        <f>IF($A286="","",IF(OR('Jul 2027'!H31=TRUE,'Jul 2027'!H31="x",'Jul 2027'!H31="X"),1,0))</f>
        <v/>
      </c>
      <c r="AA286" s="345">
        <f>IF($A286="","",IF(OR('Jul 2027'!H32=TRUE,'Jul 2027'!H32="x",'Jul 2027'!H32="X"),1,0))</f>
        <v/>
      </c>
      <c r="AB286" s="345">
        <f>IF($A286="","",IF(OR('Jul 2027'!H34=TRUE,'Jul 2027'!H34="x",'Jul 2027'!H34="X"),1,0))</f>
        <v/>
      </c>
      <c r="AC286" s="345">
        <f>IF($A286="","",IF(OR('Jul 2027'!H35=TRUE,'Jul 2027'!H35="x",'Jul 2027'!H35="X"),1,0))</f>
        <v/>
      </c>
      <c r="AD286" s="345">
        <f>IF($A286="","",IF(OR('Jul 2027'!H36=TRUE,'Jul 2027'!H36="x",'Jul 2027'!H36="X"),1,0))</f>
        <v/>
      </c>
      <c r="AE286" s="345">
        <f>IF($A286="","",IF(OR('Jul 2027'!H37=TRUE,'Jul 2027'!H37="x",'Jul 2027'!H37="X"),1,0))</f>
        <v/>
      </c>
      <c r="AF286" s="345">
        <f>IF($A286="","",IF('Jul 2027'!H59="","",'Jul 2027'!H59))</f>
        <v/>
      </c>
      <c r="AG286" s="345">
        <f>IF($A286="","",IF('Jul 2027'!H60="","",'Jul 2027'!H60))</f>
        <v/>
      </c>
      <c r="AH286" s="345">
        <f>IF($A286="","",IF('Jul 2027'!H61="","",'Jul 2027'!H61))</f>
        <v/>
      </c>
      <c r="AI286" s="345">
        <f>IF($A286="","",IF('Jul 2027'!H62="","",'Jul 2027'!H62))</f>
        <v/>
      </c>
      <c r="AJ286" s="345">
        <f>IF($A286="","",IF('Jul 2027'!H63="","",'Jul 2027'!H63))</f>
        <v/>
      </c>
      <c r="AK286" s="345">
        <f>IF($A286="","",IF('Jul 2027'!H64="","",'Jul 2027'!H64))</f>
        <v/>
      </c>
      <c r="AL286" s="345">
        <f>IF($A286="","",IF('Jul 2027'!H65="","",'Jul 2027'!H65))</f>
        <v/>
      </c>
      <c r="AM286" s="345">
        <f>IF($A286="","",IF('Jul 2027'!H66="","",'Jul 2027'!H66))</f>
        <v/>
      </c>
      <c r="AN286" s="345">
        <f>IF($A286="","",IF('Jul 2027'!H67="","",'Jul 2027'!H67))</f>
        <v/>
      </c>
      <c r="AO286" s="345">
        <f>IF($A286="",0,IF(AND($A286&gt;=TrackStart,$A286&lt;=TODAY()),1,0))</f>
        <v/>
      </c>
      <c r="AP286" s="345">
        <f>IF($A286="",0,IF(SUM(F286:AE286)+COUNT(AF286:AN286)&gt;0,1,0))</f>
        <v/>
      </c>
      <c r="AQ286" s="345">
        <f>IF($A286="","",INT(($A286-TrackStart)/7)+1)</f>
        <v/>
      </c>
      <c r="AR286" s="345">
        <f>IF($A286="","",IF(AQ286&lt;=1,Steps1,IF(AQ286=2,Steps2,Steps3)))</f>
        <v/>
      </c>
      <c r="AS286" s="345">
        <f>IF($A286="",0,IF(ISNUMBER(SEARCH(TEXT(D286,"0"),WorkDays&amp;"")),1,0))</f>
        <v/>
      </c>
      <c r="AT286" s="345">
        <f>IF($A286="",0,IF(ISNUMBER(SEARCH(TEXT(D286,"0"),StrDays&amp;"")),1,0))</f>
        <v/>
      </c>
      <c r="AU286" s="345">
        <f>IF($A286="",0,IF(ISNUMBER(AK286),IF(AK286&gt;=SleepMin,1,0),N286))</f>
        <v/>
      </c>
      <c r="AV286" s="345">
        <f>IF($A286="",0,MAX(I286,O286,S286,AC286))</f>
        <v/>
      </c>
      <c r="AW286" s="345">
        <f>IF($A286="",0,IF(ISNUMBER(AH286),IF(AH286&gt;=ProtHit,1,0),0))</f>
        <v/>
      </c>
      <c r="AX286" s="345">
        <f>IF($A286="",0,IF(ISNUMBER(AI286),IF(AI286&gt;=WaterHit,1,0),0))</f>
        <v/>
      </c>
      <c r="AY286" s="345">
        <f>IF($A286="",0,IF(ISNUMBER(AG286),IF(AG286&gt;=AR286,1,0),0))</f>
        <v/>
      </c>
      <c r="AZ286" s="345">
        <f>IF($A286="",0,G286)</f>
        <v/>
      </c>
      <c r="BA286" s="345">
        <f>IF($A286="",0,J286)</f>
        <v/>
      </c>
      <c r="BB286" s="345">
        <f>IF($A286="",0,K286)</f>
        <v/>
      </c>
      <c r="BC286" s="345">
        <f>IF($A286="",0,MAX(L286,AE286))</f>
        <v/>
      </c>
      <c r="BD286" s="344">
        <f>IF($A286="","",(AU286+AV286+AW286+AX286+AY286+AZ286+BB286+BC286+IF(AS286=1,BA286,0))/(8+AS286))</f>
        <v/>
      </c>
      <c r="BE286" s="344">
        <f>IF($A286="","",(IF(ISNUMBER(AI286),IF(AI286&gt;=WaterMVD,1,0),0)+AV286+IF(ISNUMBER(AH286),IF(AH286&gt;=ProtMVD,1,0),0)+MAX(H286,AD286)+AZ286+BB286+AU286)/7)</f>
        <v/>
      </c>
      <c r="BF286" s="344">
        <f>IF(AO286=0,"",IF(E286="S","",IF(AND(AP286=0,$A286=TODAY()),"",IF(E286="M",BE286,BD286))))</f>
        <v/>
      </c>
      <c r="BG286" s="344">
        <f>IF(AO286=0,"",IFERROR(AVERAGEIFS(Data!$BF$4:$BF$375,Data!$A$4:$A$375,"&gt;"&amp;($A286-7),Data!$A$4:$A$375,"&lt;="&amp;$A286),""))</f>
        <v/>
      </c>
      <c r="BH286" s="344">
        <f>IF(AO286=0,"",IFERROR(AVERAGEIFS(Data!$BF$4:$BF$375,Data!$A$4:$A$375,"&gt;"&amp;($A286-30),Data!$A$4:$A$375,"&lt;="&amp;$A286),""))</f>
        <v/>
      </c>
      <c r="BI286" s="359">
        <f>IF($A286="","",IFERROR(AVERAGEIFS(Data!$AF$4:$AF$375,Data!$A$4:$A$375,"&gt;"&amp;($A286-7),Data!$A$4:$A$375,"&lt;="&amp;$A286,Data!$AF$4:$AF$375,"&gt;0"),""))</f>
        <v/>
      </c>
      <c r="BJ286" s="345">
        <f>IF($A286="","",F286+G286+H286+I286+J286+K286+L286+M286+N286-IF(AS286=1,0,J286))</f>
        <v/>
      </c>
      <c r="BK286" s="345">
        <f>IF($A286="","",8+AS286)</f>
        <v/>
      </c>
      <c r="BL286" s="345">
        <f>IF(ISNUMBER(BF286),BF286,NA())</f>
        <v/>
      </c>
      <c r="BM286" s="345">
        <f>IF(ISNUMBER(AF286),AF286,NA())</f>
        <v/>
      </c>
      <c r="BN286" s="345">
        <f>IF(ISNUMBER(BI286),BI286,NA())</f>
        <v/>
      </c>
      <c r="BO286" s="345">
        <f>IF(ISNUMBER(AL286),AL286,NA())</f>
        <v/>
      </c>
      <c r="BP286" s="345">
        <f>IF(ISNUMBER(AM286),AM286,NA())</f>
        <v/>
      </c>
      <c r="BQ286" s="345">
        <f>IF(ISNUMBER(AN286),AN286,NA())</f>
        <v/>
      </c>
    </row>
    <row r="287">
      <c r="A287" s="358">
        <f>IF('Jul 2027'!I7="","",'Jul 2027'!I7)</f>
        <v/>
      </c>
      <c r="B287" s="345" t="n">
        <v>10</v>
      </c>
      <c r="C287" s="345">
        <f>IF($A287="","",5)</f>
        <v/>
      </c>
      <c r="D287" s="345">
        <f>IF($A287="","",WEEKDAY($A287,2))</f>
        <v/>
      </c>
      <c r="E287" s="345">
        <f>IF($A287="","",UPPER(TRIM('Jul 2027'!I8)))</f>
        <v/>
      </c>
      <c r="F287" s="345">
        <f>IF($A287="","",IF(OR('Jul 2027'!I10=TRUE,'Jul 2027'!I10="x",'Jul 2027'!I10="X"),1,0))</f>
        <v/>
      </c>
      <c r="G287" s="345">
        <f>IF($A287="","",IF(OR('Jul 2027'!I11=TRUE,'Jul 2027'!I11="x",'Jul 2027'!I11="X"),1,0))</f>
        <v/>
      </c>
      <c r="H287" s="345">
        <f>IF($A287="","",IF(OR('Jul 2027'!I12=TRUE,'Jul 2027'!I12="x",'Jul 2027'!I12="X"),1,0))</f>
        <v/>
      </c>
      <c r="I287" s="345">
        <f>IF($A287="","",IF(OR('Jul 2027'!I13=TRUE,'Jul 2027'!I13="x",'Jul 2027'!I13="X"),1,0))</f>
        <v/>
      </c>
      <c r="J287" s="345">
        <f>IF($A287="","",IF(OR('Jul 2027'!I14=TRUE,'Jul 2027'!I14="x",'Jul 2027'!I14="X"),1,0))</f>
        <v/>
      </c>
      <c r="K287" s="345">
        <f>IF($A287="","",IF(OR('Jul 2027'!I15=TRUE,'Jul 2027'!I15="x",'Jul 2027'!I15="X"),1,0))</f>
        <v/>
      </c>
      <c r="L287" s="345">
        <f>IF($A287="","",IF(OR('Jul 2027'!I16=TRUE,'Jul 2027'!I16="x",'Jul 2027'!I16="X"),1,0))</f>
        <v/>
      </c>
      <c r="M287" s="345">
        <f>IF($A287="","",IF(OR('Jul 2027'!I17=TRUE,'Jul 2027'!I17="x",'Jul 2027'!I17="X"),1,0))</f>
        <v/>
      </c>
      <c r="N287" s="345">
        <f>IF($A287="","",IF(OR('Jul 2027'!I18=TRUE,'Jul 2027'!I18="x",'Jul 2027'!I18="X"),1,0))</f>
        <v/>
      </c>
      <c r="O287" s="345">
        <f>IF($A287="","",IF(OR('Jul 2027'!I20=TRUE,'Jul 2027'!I20="x",'Jul 2027'!I20="X"),1,0))</f>
        <v/>
      </c>
      <c r="P287" s="345">
        <f>IF($A287="","",IF(OR('Jul 2027'!I21=TRUE,'Jul 2027'!I21="x",'Jul 2027'!I21="X"),1,0))</f>
        <v/>
      </c>
      <c r="Q287" s="345">
        <f>IF($A287="","",IF(OR('Jul 2027'!I22=TRUE,'Jul 2027'!I22="x",'Jul 2027'!I22="X"),1,0))</f>
        <v/>
      </c>
      <c r="R287" s="345">
        <f>IF($A287="","",IF(OR('Jul 2027'!I23=TRUE,'Jul 2027'!I23="x",'Jul 2027'!I23="X"),1,0))</f>
        <v/>
      </c>
      <c r="S287" s="345">
        <f>IF($A287="","",IF(OR('Jul 2027'!I24=TRUE,'Jul 2027'!I24="x",'Jul 2027'!I24="X"),1,0))</f>
        <v/>
      </c>
      <c r="T287" s="345">
        <f>IF($A287="","",IF(OR('Jul 2027'!I25=TRUE,'Jul 2027'!I25="x",'Jul 2027'!I25="X"),1,0))</f>
        <v/>
      </c>
      <c r="U287" s="345">
        <f>IF($A287="","",IF(OR('Jul 2027'!I26=TRUE,'Jul 2027'!I26="x",'Jul 2027'!I26="X"),1,0))</f>
        <v/>
      </c>
      <c r="V287" s="345">
        <f>IF($A287="","",IF(OR('Jul 2027'!I27=TRUE,'Jul 2027'!I27="x",'Jul 2027'!I27="X"),1,0))</f>
        <v/>
      </c>
      <c r="W287" s="345">
        <f>IF($A287="","",IF(OR('Jul 2027'!I28=TRUE,'Jul 2027'!I28="x",'Jul 2027'!I28="X"),1,0))</f>
        <v/>
      </c>
      <c r="X287" s="345">
        <f>IF($A287="","",IF(OR('Jul 2027'!I29=TRUE,'Jul 2027'!I29="x",'Jul 2027'!I29="X"),1,0))</f>
        <v/>
      </c>
      <c r="Y287" s="345">
        <f>IF($A287="","",IF(OR('Jul 2027'!I30=TRUE,'Jul 2027'!I30="x",'Jul 2027'!I30="X"),1,0))</f>
        <v/>
      </c>
      <c r="Z287" s="345">
        <f>IF($A287="","",IF(OR('Jul 2027'!I31=TRUE,'Jul 2027'!I31="x",'Jul 2027'!I31="X"),1,0))</f>
        <v/>
      </c>
      <c r="AA287" s="345">
        <f>IF($A287="","",IF(OR('Jul 2027'!I32=TRUE,'Jul 2027'!I32="x",'Jul 2027'!I32="X"),1,0))</f>
        <v/>
      </c>
      <c r="AB287" s="345">
        <f>IF($A287="","",IF(OR('Jul 2027'!I34=TRUE,'Jul 2027'!I34="x",'Jul 2027'!I34="X"),1,0))</f>
        <v/>
      </c>
      <c r="AC287" s="345">
        <f>IF($A287="","",IF(OR('Jul 2027'!I35=TRUE,'Jul 2027'!I35="x",'Jul 2027'!I35="X"),1,0))</f>
        <v/>
      </c>
      <c r="AD287" s="345">
        <f>IF($A287="","",IF(OR('Jul 2027'!I36=TRUE,'Jul 2027'!I36="x",'Jul 2027'!I36="X"),1,0))</f>
        <v/>
      </c>
      <c r="AE287" s="345">
        <f>IF($A287="","",IF(OR('Jul 2027'!I37=TRUE,'Jul 2027'!I37="x",'Jul 2027'!I37="X"),1,0))</f>
        <v/>
      </c>
      <c r="AF287" s="345">
        <f>IF($A287="","",IF('Jul 2027'!I59="","",'Jul 2027'!I59))</f>
        <v/>
      </c>
      <c r="AG287" s="345">
        <f>IF($A287="","",IF('Jul 2027'!I60="","",'Jul 2027'!I60))</f>
        <v/>
      </c>
      <c r="AH287" s="345">
        <f>IF($A287="","",IF('Jul 2027'!I61="","",'Jul 2027'!I61))</f>
        <v/>
      </c>
      <c r="AI287" s="345">
        <f>IF($A287="","",IF('Jul 2027'!I62="","",'Jul 2027'!I62))</f>
        <v/>
      </c>
      <c r="AJ287" s="345">
        <f>IF($A287="","",IF('Jul 2027'!I63="","",'Jul 2027'!I63))</f>
        <v/>
      </c>
      <c r="AK287" s="345">
        <f>IF($A287="","",IF('Jul 2027'!I64="","",'Jul 2027'!I64))</f>
        <v/>
      </c>
      <c r="AL287" s="345">
        <f>IF($A287="","",IF('Jul 2027'!I65="","",'Jul 2027'!I65))</f>
        <v/>
      </c>
      <c r="AM287" s="345">
        <f>IF($A287="","",IF('Jul 2027'!I66="","",'Jul 2027'!I66))</f>
        <v/>
      </c>
      <c r="AN287" s="345">
        <f>IF($A287="","",IF('Jul 2027'!I67="","",'Jul 2027'!I67))</f>
        <v/>
      </c>
      <c r="AO287" s="345">
        <f>IF($A287="",0,IF(AND($A287&gt;=TrackStart,$A287&lt;=TODAY()),1,0))</f>
        <v/>
      </c>
      <c r="AP287" s="345">
        <f>IF($A287="",0,IF(SUM(F287:AE287)+COUNT(AF287:AN287)&gt;0,1,0))</f>
        <v/>
      </c>
      <c r="AQ287" s="345">
        <f>IF($A287="","",INT(($A287-TrackStart)/7)+1)</f>
        <v/>
      </c>
      <c r="AR287" s="345">
        <f>IF($A287="","",IF(AQ287&lt;=1,Steps1,IF(AQ287=2,Steps2,Steps3)))</f>
        <v/>
      </c>
      <c r="AS287" s="345">
        <f>IF($A287="",0,IF(ISNUMBER(SEARCH(TEXT(D287,"0"),WorkDays&amp;"")),1,0))</f>
        <v/>
      </c>
      <c r="AT287" s="345">
        <f>IF($A287="",0,IF(ISNUMBER(SEARCH(TEXT(D287,"0"),StrDays&amp;"")),1,0))</f>
        <v/>
      </c>
      <c r="AU287" s="345">
        <f>IF($A287="",0,IF(ISNUMBER(AK287),IF(AK287&gt;=SleepMin,1,0),N287))</f>
        <v/>
      </c>
      <c r="AV287" s="345">
        <f>IF($A287="",0,MAX(I287,O287,S287,AC287))</f>
        <v/>
      </c>
      <c r="AW287" s="345">
        <f>IF($A287="",0,IF(ISNUMBER(AH287),IF(AH287&gt;=ProtHit,1,0),0))</f>
        <v/>
      </c>
      <c r="AX287" s="345">
        <f>IF($A287="",0,IF(ISNUMBER(AI287),IF(AI287&gt;=WaterHit,1,0),0))</f>
        <v/>
      </c>
      <c r="AY287" s="345">
        <f>IF($A287="",0,IF(ISNUMBER(AG287),IF(AG287&gt;=AR287,1,0),0))</f>
        <v/>
      </c>
      <c r="AZ287" s="345">
        <f>IF($A287="",0,G287)</f>
        <v/>
      </c>
      <c r="BA287" s="345">
        <f>IF($A287="",0,J287)</f>
        <v/>
      </c>
      <c r="BB287" s="345">
        <f>IF($A287="",0,K287)</f>
        <v/>
      </c>
      <c r="BC287" s="345">
        <f>IF($A287="",0,MAX(L287,AE287))</f>
        <v/>
      </c>
      <c r="BD287" s="344">
        <f>IF($A287="","",(AU287+AV287+AW287+AX287+AY287+AZ287+BB287+BC287+IF(AS287=1,BA287,0))/(8+AS287))</f>
        <v/>
      </c>
      <c r="BE287" s="344">
        <f>IF($A287="","",(IF(ISNUMBER(AI287),IF(AI287&gt;=WaterMVD,1,0),0)+AV287+IF(ISNUMBER(AH287),IF(AH287&gt;=ProtMVD,1,0),0)+MAX(H287,AD287)+AZ287+BB287+AU287)/7)</f>
        <v/>
      </c>
      <c r="BF287" s="344">
        <f>IF(AO287=0,"",IF(E287="S","",IF(AND(AP287=0,$A287=TODAY()),"",IF(E287="M",BE287,BD287))))</f>
        <v/>
      </c>
      <c r="BG287" s="344">
        <f>IF(AO287=0,"",IFERROR(AVERAGEIFS(Data!$BF$4:$BF$375,Data!$A$4:$A$375,"&gt;"&amp;($A287-7),Data!$A$4:$A$375,"&lt;="&amp;$A287),""))</f>
        <v/>
      </c>
      <c r="BH287" s="344">
        <f>IF(AO287=0,"",IFERROR(AVERAGEIFS(Data!$BF$4:$BF$375,Data!$A$4:$A$375,"&gt;"&amp;($A287-30),Data!$A$4:$A$375,"&lt;="&amp;$A287),""))</f>
        <v/>
      </c>
      <c r="BI287" s="359">
        <f>IF($A287="","",IFERROR(AVERAGEIFS(Data!$AF$4:$AF$375,Data!$A$4:$A$375,"&gt;"&amp;($A287-7),Data!$A$4:$A$375,"&lt;="&amp;$A287,Data!$AF$4:$AF$375,"&gt;0"),""))</f>
        <v/>
      </c>
      <c r="BJ287" s="345">
        <f>IF($A287="","",F287+G287+H287+I287+J287+K287+L287+M287+N287-IF(AS287=1,0,J287))</f>
        <v/>
      </c>
      <c r="BK287" s="345">
        <f>IF($A287="","",8+AS287)</f>
        <v/>
      </c>
      <c r="BL287" s="345">
        <f>IF(ISNUMBER(BF287),BF287,NA())</f>
        <v/>
      </c>
      <c r="BM287" s="345">
        <f>IF(ISNUMBER(AF287),AF287,NA())</f>
        <v/>
      </c>
      <c r="BN287" s="345">
        <f>IF(ISNUMBER(BI287),BI287,NA())</f>
        <v/>
      </c>
      <c r="BO287" s="345">
        <f>IF(ISNUMBER(AL287),AL287,NA())</f>
        <v/>
      </c>
      <c r="BP287" s="345">
        <f>IF(ISNUMBER(AM287),AM287,NA())</f>
        <v/>
      </c>
      <c r="BQ287" s="345">
        <f>IF(ISNUMBER(AN287),AN287,NA())</f>
        <v/>
      </c>
    </row>
    <row r="288">
      <c r="A288" s="358">
        <f>IF('Jul 2027'!J7="","",'Jul 2027'!J7)</f>
        <v/>
      </c>
      <c r="B288" s="345" t="n">
        <v>10</v>
      </c>
      <c r="C288" s="345">
        <f>IF($A288="","",6)</f>
        <v/>
      </c>
      <c r="D288" s="345">
        <f>IF($A288="","",WEEKDAY($A288,2))</f>
        <v/>
      </c>
      <c r="E288" s="345">
        <f>IF($A288="","",UPPER(TRIM('Jul 2027'!J8)))</f>
        <v/>
      </c>
      <c r="F288" s="345">
        <f>IF($A288="","",IF(OR('Jul 2027'!J10=TRUE,'Jul 2027'!J10="x",'Jul 2027'!J10="X"),1,0))</f>
        <v/>
      </c>
      <c r="G288" s="345">
        <f>IF($A288="","",IF(OR('Jul 2027'!J11=TRUE,'Jul 2027'!J11="x",'Jul 2027'!J11="X"),1,0))</f>
        <v/>
      </c>
      <c r="H288" s="345">
        <f>IF($A288="","",IF(OR('Jul 2027'!J12=TRUE,'Jul 2027'!J12="x",'Jul 2027'!J12="X"),1,0))</f>
        <v/>
      </c>
      <c r="I288" s="345">
        <f>IF($A288="","",IF(OR('Jul 2027'!J13=TRUE,'Jul 2027'!J13="x",'Jul 2027'!J13="X"),1,0))</f>
        <v/>
      </c>
      <c r="J288" s="345">
        <f>IF($A288="","",IF(OR('Jul 2027'!J14=TRUE,'Jul 2027'!J14="x",'Jul 2027'!J14="X"),1,0))</f>
        <v/>
      </c>
      <c r="K288" s="345">
        <f>IF($A288="","",IF(OR('Jul 2027'!J15=TRUE,'Jul 2027'!J15="x",'Jul 2027'!J15="X"),1,0))</f>
        <v/>
      </c>
      <c r="L288" s="345">
        <f>IF($A288="","",IF(OR('Jul 2027'!J16=TRUE,'Jul 2027'!J16="x",'Jul 2027'!J16="X"),1,0))</f>
        <v/>
      </c>
      <c r="M288" s="345">
        <f>IF($A288="","",IF(OR('Jul 2027'!J17=TRUE,'Jul 2027'!J17="x",'Jul 2027'!J17="X"),1,0))</f>
        <v/>
      </c>
      <c r="N288" s="345">
        <f>IF($A288="","",IF(OR('Jul 2027'!J18=TRUE,'Jul 2027'!J18="x",'Jul 2027'!J18="X"),1,0))</f>
        <v/>
      </c>
      <c r="O288" s="345">
        <f>IF($A288="","",IF(OR('Jul 2027'!J20=TRUE,'Jul 2027'!J20="x",'Jul 2027'!J20="X"),1,0))</f>
        <v/>
      </c>
      <c r="P288" s="345">
        <f>IF($A288="","",IF(OR('Jul 2027'!J21=TRUE,'Jul 2027'!J21="x",'Jul 2027'!J21="X"),1,0))</f>
        <v/>
      </c>
      <c r="Q288" s="345">
        <f>IF($A288="","",IF(OR('Jul 2027'!J22=TRUE,'Jul 2027'!J22="x",'Jul 2027'!J22="X"),1,0))</f>
        <v/>
      </c>
      <c r="R288" s="345">
        <f>IF($A288="","",IF(OR('Jul 2027'!J23=TRUE,'Jul 2027'!J23="x",'Jul 2027'!J23="X"),1,0))</f>
        <v/>
      </c>
      <c r="S288" s="345">
        <f>IF($A288="","",IF(OR('Jul 2027'!J24=TRUE,'Jul 2027'!J24="x",'Jul 2027'!J24="X"),1,0))</f>
        <v/>
      </c>
      <c r="T288" s="345">
        <f>IF($A288="","",IF(OR('Jul 2027'!J25=TRUE,'Jul 2027'!J25="x",'Jul 2027'!J25="X"),1,0))</f>
        <v/>
      </c>
      <c r="U288" s="345">
        <f>IF($A288="","",IF(OR('Jul 2027'!J26=TRUE,'Jul 2027'!J26="x",'Jul 2027'!J26="X"),1,0))</f>
        <v/>
      </c>
      <c r="V288" s="345">
        <f>IF($A288="","",IF(OR('Jul 2027'!J27=TRUE,'Jul 2027'!J27="x",'Jul 2027'!J27="X"),1,0))</f>
        <v/>
      </c>
      <c r="W288" s="345">
        <f>IF($A288="","",IF(OR('Jul 2027'!J28=TRUE,'Jul 2027'!J28="x",'Jul 2027'!J28="X"),1,0))</f>
        <v/>
      </c>
      <c r="X288" s="345">
        <f>IF($A288="","",IF(OR('Jul 2027'!J29=TRUE,'Jul 2027'!J29="x",'Jul 2027'!J29="X"),1,0))</f>
        <v/>
      </c>
      <c r="Y288" s="345">
        <f>IF($A288="","",IF(OR('Jul 2027'!J30=TRUE,'Jul 2027'!J30="x",'Jul 2027'!J30="X"),1,0))</f>
        <v/>
      </c>
      <c r="Z288" s="345">
        <f>IF($A288="","",IF(OR('Jul 2027'!J31=TRUE,'Jul 2027'!J31="x",'Jul 2027'!J31="X"),1,0))</f>
        <v/>
      </c>
      <c r="AA288" s="345">
        <f>IF($A288="","",IF(OR('Jul 2027'!J32=TRUE,'Jul 2027'!J32="x",'Jul 2027'!J32="X"),1,0))</f>
        <v/>
      </c>
      <c r="AB288" s="345">
        <f>IF($A288="","",IF(OR('Jul 2027'!J34=TRUE,'Jul 2027'!J34="x",'Jul 2027'!J34="X"),1,0))</f>
        <v/>
      </c>
      <c r="AC288" s="345">
        <f>IF($A288="","",IF(OR('Jul 2027'!J35=TRUE,'Jul 2027'!J35="x",'Jul 2027'!J35="X"),1,0))</f>
        <v/>
      </c>
      <c r="AD288" s="345">
        <f>IF($A288="","",IF(OR('Jul 2027'!J36=TRUE,'Jul 2027'!J36="x",'Jul 2027'!J36="X"),1,0))</f>
        <v/>
      </c>
      <c r="AE288" s="345">
        <f>IF($A288="","",IF(OR('Jul 2027'!J37=TRUE,'Jul 2027'!J37="x",'Jul 2027'!J37="X"),1,0))</f>
        <v/>
      </c>
      <c r="AF288" s="345">
        <f>IF($A288="","",IF('Jul 2027'!J59="","",'Jul 2027'!J59))</f>
        <v/>
      </c>
      <c r="AG288" s="345">
        <f>IF($A288="","",IF('Jul 2027'!J60="","",'Jul 2027'!J60))</f>
        <v/>
      </c>
      <c r="AH288" s="345">
        <f>IF($A288="","",IF('Jul 2027'!J61="","",'Jul 2027'!J61))</f>
        <v/>
      </c>
      <c r="AI288" s="345">
        <f>IF($A288="","",IF('Jul 2027'!J62="","",'Jul 2027'!J62))</f>
        <v/>
      </c>
      <c r="AJ288" s="345">
        <f>IF($A288="","",IF('Jul 2027'!J63="","",'Jul 2027'!J63))</f>
        <v/>
      </c>
      <c r="AK288" s="345">
        <f>IF($A288="","",IF('Jul 2027'!J64="","",'Jul 2027'!J64))</f>
        <v/>
      </c>
      <c r="AL288" s="345">
        <f>IF($A288="","",IF('Jul 2027'!J65="","",'Jul 2027'!J65))</f>
        <v/>
      </c>
      <c r="AM288" s="345">
        <f>IF($A288="","",IF('Jul 2027'!J66="","",'Jul 2027'!J66))</f>
        <v/>
      </c>
      <c r="AN288" s="345">
        <f>IF($A288="","",IF('Jul 2027'!J67="","",'Jul 2027'!J67))</f>
        <v/>
      </c>
      <c r="AO288" s="345">
        <f>IF($A288="",0,IF(AND($A288&gt;=TrackStart,$A288&lt;=TODAY()),1,0))</f>
        <v/>
      </c>
      <c r="AP288" s="345">
        <f>IF($A288="",0,IF(SUM(F288:AE288)+COUNT(AF288:AN288)&gt;0,1,0))</f>
        <v/>
      </c>
      <c r="AQ288" s="345">
        <f>IF($A288="","",INT(($A288-TrackStart)/7)+1)</f>
        <v/>
      </c>
      <c r="AR288" s="345">
        <f>IF($A288="","",IF(AQ288&lt;=1,Steps1,IF(AQ288=2,Steps2,Steps3)))</f>
        <v/>
      </c>
      <c r="AS288" s="345">
        <f>IF($A288="",0,IF(ISNUMBER(SEARCH(TEXT(D288,"0"),WorkDays&amp;"")),1,0))</f>
        <v/>
      </c>
      <c r="AT288" s="345">
        <f>IF($A288="",0,IF(ISNUMBER(SEARCH(TEXT(D288,"0"),StrDays&amp;"")),1,0))</f>
        <v/>
      </c>
      <c r="AU288" s="345">
        <f>IF($A288="",0,IF(ISNUMBER(AK288),IF(AK288&gt;=SleepMin,1,0),N288))</f>
        <v/>
      </c>
      <c r="AV288" s="345">
        <f>IF($A288="",0,MAX(I288,O288,S288,AC288))</f>
        <v/>
      </c>
      <c r="AW288" s="345">
        <f>IF($A288="",0,IF(ISNUMBER(AH288),IF(AH288&gt;=ProtHit,1,0),0))</f>
        <v/>
      </c>
      <c r="AX288" s="345">
        <f>IF($A288="",0,IF(ISNUMBER(AI288),IF(AI288&gt;=WaterHit,1,0),0))</f>
        <v/>
      </c>
      <c r="AY288" s="345">
        <f>IF($A288="",0,IF(ISNUMBER(AG288),IF(AG288&gt;=AR288,1,0),0))</f>
        <v/>
      </c>
      <c r="AZ288" s="345">
        <f>IF($A288="",0,G288)</f>
        <v/>
      </c>
      <c r="BA288" s="345">
        <f>IF($A288="",0,J288)</f>
        <v/>
      </c>
      <c r="BB288" s="345">
        <f>IF($A288="",0,K288)</f>
        <v/>
      </c>
      <c r="BC288" s="345">
        <f>IF($A288="",0,MAX(L288,AE288))</f>
        <v/>
      </c>
      <c r="BD288" s="344">
        <f>IF($A288="","",(AU288+AV288+AW288+AX288+AY288+AZ288+BB288+BC288+IF(AS288=1,BA288,0))/(8+AS288))</f>
        <v/>
      </c>
      <c r="BE288" s="344">
        <f>IF($A288="","",(IF(ISNUMBER(AI288),IF(AI288&gt;=WaterMVD,1,0),0)+AV288+IF(ISNUMBER(AH288),IF(AH288&gt;=ProtMVD,1,0),0)+MAX(H288,AD288)+AZ288+BB288+AU288)/7)</f>
        <v/>
      </c>
      <c r="BF288" s="344">
        <f>IF(AO288=0,"",IF(E288="S","",IF(AND(AP288=0,$A288=TODAY()),"",IF(E288="M",BE288,BD288))))</f>
        <v/>
      </c>
      <c r="BG288" s="344">
        <f>IF(AO288=0,"",IFERROR(AVERAGEIFS(Data!$BF$4:$BF$375,Data!$A$4:$A$375,"&gt;"&amp;($A288-7),Data!$A$4:$A$375,"&lt;="&amp;$A288),""))</f>
        <v/>
      </c>
      <c r="BH288" s="344">
        <f>IF(AO288=0,"",IFERROR(AVERAGEIFS(Data!$BF$4:$BF$375,Data!$A$4:$A$375,"&gt;"&amp;($A288-30),Data!$A$4:$A$375,"&lt;="&amp;$A288),""))</f>
        <v/>
      </c>
      <c r="BI288" s="359">
        <f>IF($A288="","",IFERROR(AVERAGEIFS(Data!$AF$4:$AF$375,Data!$A$4:$A$375,"&gt;"&amp;($A288-7),Data!$A$4:$A$375,"&lt;="&amp;$A288,Data!$AF$4:$AF$375,"&gt;0"),""))</f>
        <v/>
      </c>
      <c r="BJ288" s="345">
        <f>IF($A288="","",F288+G288+H288+I288+J288+K288+L288+M288+N288-IF(AS288=1,0,J288))</f>
        <v/>
      </c>
      <c r="BK288" s="345">
        <f>IF($A288="","",8+AS288)</f>
        <v/>
      </c>
      <c r="BL288" s="345">
        <f>IF(ISNUMBER(BF288),BF288,NA())</f>
        <v/>
      </c>
      <c r="BM288" s="345">
        <f>IF(ISNUMBER(AF288),AF288,NA())</f>
        <v/>
      </c>
      <c r="BN288" s="345">
        <f>IF(ISNUMBER(BI288),BI288,NA())</f>
        <v/>
      </c>
      <c r="BO288" s="345">
        <f>IF(ISNUMBER(AL288),AL288,NA())</f>
        <v/>
      </c>
      <c r="BP288" s="345">
        <f>IF(ISNUMBER(AM288),AM288,NA())</f>
        <v/>
      </c>
      <c r="BQ288" s="345">
        <f>IF(ISNUMBER(AN288),AN288,NA())</f>
        <v/>
      </c>
    </row>
    <row r="289">
      <c r="A289" s="358">
        <f>IF('Jul 2027'!K7="","",'Jul 2027'!K7)</f>
        <v/>
      </c>
      <c r="B289" s="345" t="n">
        <v>10</v>
      </c>
      <c r="C289" s="345">
        <f>IF($A289="","",7)</f>
        <v/>
      </c>
      <c r="D289" s="345">
        <f>IF($A289="","",WEEKDAY($A289,2))</f>
        <v/>
      </c>
      <c r="E289" s="345">
        <f>IF($A289="","",UPPER(TRIM('Jul 2027'!K8)))</f>
        <v/>
      </c>
      <c r="F289" s="345">
        <f>IF($A289="","",IF(OR('Jul 2027'!K10=TRUE,'Jul 2027'!K10="x",'Jul 2027'!K10="X"),1,0))</f>
        <v/>
      </c>
      <c r="G289" s="345">
        <f>IF($A289="","",IF(OR('Jul 2027'!K11=TRUE,'Jul 2027'!K11="x",'Jul 2027'!K11="X"),1,0))</f>
        <v/>
      </c>
      <c r="H289" s="345">
        <f>IF($A289="","",IF(OR('Jul 2027'!K12=TRUE,'Jul 2027'!K12="x",'Jul 2027'!K12="X"),1,0))</f>
        <v/>
      </c>
      <c r="I289" s="345">
        <f>IF($A289="","",IF(OR('Jul 2027'!K13=TRUE,'Jul 2027'!K13="x",'Jul 2027'!K13="X"),1,0))</f>
        <v/>
      </c>
      <c r="J289" s="345">
        <f>IF($A289="","",IF(OR('Jul 2027'!K14=TRUE,'Jul 2027'!K14="x",'Jul 2027'!K14="X"),1,0))</f>
        <v/>
      </c>
      <c r="K289" s="345">
        <f>IF($A289="","",IF(OR('Jul 2027'!K15=TRUE,'Jul 2027'!K15="x",'Jul 2027'!K15="X"),1,0))</f>
        <v/>
      </c>
      <c r="L289" s="345">
        <f>IF($A289="","",IF(OR('Jul 2027'!K16=TRUE,'Jul 2027'!K16="x",'Jul 2027'!K16="X"),1,0))</f>
        <v/>
      </c>
      <c r="M289" s="345">
        <f>IF($A289="","",IF(OR('Jul 2027'!K17=TRUE,'Jul 2027'!K17="x",'Jul 2027'!K17="X"),1,0))</f>
        <v/>
      </c>
      <c r="N289" s="345">
        <f>IF($A289="","",IF(OR('Jul 2027'!K18=TRUE,'Jul 2027'!K18="x",'Jul 2027'!K18="X"),1,0))</f>
        <v/>
      </c>
      <c r="O289" s="345">
        <f>IF($A289="","",IF(OR('Jul 2027'!K20=TRUE,'Jul 2027'!K20="x",'Jul 2027'!K20="X"),1,0))</f>
        <v/>
      </c>
      <c r="P289" s="345">
        <f>IF($A289="","",IF(OR('Jul 2027'!K21=TRUE,'Jul 2027'!K21="x",'Jul 2027'!K21="X"),1,0))</f>
        <v/>
      </c>
      <c r="Q289" s="345">
        <f>IF($A289="","",IF(OR('Jul 2027'!K22=TRUE,'Jul 2027'!K22="x",'Jul 2027'!K22="X"),1,0))</f>
        <v/>
      </c>
      <c r="R289" s="345">
        <f>IF($A289="","",IF(OR('Jul 2027'!K23=TRUE,'Jul 2027'!K23="x",'Jul 2027'!K23="X"),1,0))</f>
        <v/>
      </c>
      <c r="S289" s="345">
        <f>IF($A289="","",IF(OR('Jul 2027'!K24=TRUE,'Jul 2027'!K24="x",'Jul 2027'!K24="X"),1,0))</f>
        <v/>
      </c>
      <c r="T289" s="345">
        <f>IF($A289="","",IF(OR('Jul 2027'!K25=TRUE,'Jul 2027'!K25="x",'Jul 2027'!K25="X"),1,0))</f>
        <v/>
      </c>
      <c r="U289" s="345">
        <f>IF($A289="","",IF(OR('Jul 2027'!K26=TRUE,'Jul 2027'!K26="x",'Jul 2027'!K26="X"),1,0))</f>
        <v/>
      </c>
      <c r="V289" s="345">
        <f>IF($A289="","",IF(OR('Jul 2027'!K27=TRUE,'Jul 2027'!K27="x",'Jul 2027'!K27="X"),1,0))</f>
        <v/>
      </c>
      <c r="W289" s="345">
        <f>IF($A289="","",IF(OR('Jul 2027'!K28=TRUE,'Jul 2027'!K28="x",'Jul 2027'!K28="X"),1,0))</f>
        <v/>
      </c>
      <c r="X289" s="345">
        <f>IF($A289="","",IF(OR('Jul 2027'!K29=TRUE,'Jul 2027'!K29="x",'Jul 2027'!K29="X"),1,0))</f>
        <v/>
      </c>
      <c r="Y289" s="345">
        <f>IF($A289="","",IF(OR('Jul 2027'!K30=TRUE,'Jul 2027'!K30="x",'Jul 2027'!K30="X"),1,0))</f>
        <v/>
      </c>
      <c r="Z289" s="345">
        <f>IF($A289="","",IF(OR('Jul 2027'!K31=TRUE,'Jul 2027'!K31="x",'Jul 2027'!K31="X"),1,0))</f>
        <v/>
      </c>
      <c r="AA289" s="345">
        <f>IF($A289="","",IF(OR('Jul 2027'!K32=TRUE,'Jul 2027'!K32="x",'Jul 2027'!K32="X"),1,0))</f>
        <v/>
      </c>
      <c r="AB289" s="345">
        <f>IF($A289="","",IF(OR('Jul 2027'!K34=TRUE,'Jul 2027'!K34="x",'Jul 2027'!K34="X"),1,0))</f>
        <v/>
      </c>
      <c r="AC289" s="345">
        <f>IF($A289="","",IF(OR('Jul 2027'!K35=TRUE,'Jul 2027'!K35="x",'Jul 2027'!K35="X"),1,0))</f>
        <v/>
      </c>
      <c r="AD289" s="345">
        <f>IF($A289="","",IF(OR('Jul 2027'!K36=TRUE,'Jul 2027'!K36="x",'Jul 2027'!K36="X"),1,0))</f>
        <v/>
      </c>
      <c r="AE289" s="345">
        <f>IF($A289="","",IF(OR('Jul 2027'!K37=TRUE,'Jul 2027'!K37="x",'Jul 2027'!K37="X"),1,0))</f>
        <v/>
      </c>
      <c r="AF289" s="345">
        <f>IF($A289="","",IF('Jul 2027'!K59="","",'Jul 2027'!K59))</f>
        <v/>
      </c>
      <c r="AG289" s="345">
        <f>IF($A289="","",IF('Jul 2027'!K60="","",'Jul 2027'!K60))</f>
        <v/>
      </c>
      <c r="AH289" s="345">
        <f>IF($A289="","",IF('Jul 2027'!K61="","",'Jul 2027'!K61))</f>
        <v/>
      </c>
      <c r="AI289" s="345">
        <f>IF($A289="","",IF('Jul 2027'!K62="","",'Jul 2027'!K62))</f>
        <v/>
      </c>
      <c r="AJ289" s="345">
        <f>IF($A289="","",IF('Jul 2027'!K63="","",'Jul 2027'!K63))</f>
        <v/>
      </c>
      <c r="AK289" s="345">
        <f>IF($A289="","",IF('Jul 2027'!K64="","",'Jul 2027'!K64))</f>
        <v/>
      </c>
      <c r="AL289" s="345">
        <f>IF($A289="","",IF('Jul 2027'!K65="","",'Jul 2027'!K65))</f>
        <v/>
      </c>
      <c r="AM289" s="345">
        <f>IF($A289="","",IF('Jul 2027'!K66="","",'Jul 2027'!K66))</f>
        <v/>
      </c>
      <c r="AN289" s="345">
        <f>IF($A289="","",IF('Jul 2027'!K67="","",'Jul 2027'!K67))</f>
        <v/>
      </c>
      <c r="AO289" s="345">
        <f>IF($A289="",0,IF(AND($A289&gt;=TrackStart,$A289&lt;=TODAY()),1,0))</f>
        <v/>
      </c>
      <c r="AP289" s="345">
        <f>IF($A289="",0,IF(SUM(F289:AE289)+COUNT(AF289:AN289)&gt;0,1,0))</f>
        <v/>
      </c>
      <c r="AQ289" s="345">
        <f>IF($A289="","",INT(($A289-TrackStart)/7)+1)</f>
        <v/>
      </c>
      <c r="AR289" s="345">
        <f>IF($A289="","",IF(AQ289&lt;=1,Steps1,IF(AQ289=2,Steps2,Steps3)))</f>
        <v/>
      </c>
      <c r="AS289" s="345">
        <f>IF($A289="",0,IF(ISNUMBER(SEARCH(TEXT(D289,"0"),WorkDays&amp;"")),1,0))</f>
        <v/>
      </c>
      <c r="AT289" s="345">
        <f>IF($A289="",0,IF(ISNUMBER(SEARCH(TEXT(D289,"0"),StrDays&amp;"")),1,0))</f>
        <v/>
      </c>
      <c r="AU289" s="345">
        <f>IF($A289="",0,IF(ISNUMBER(AK289),IF(AK289&gt;=SleepMin,1,0),N289))</f>
        <v/>
      </c>
      <c r="AV289" s="345">
        <f>IF($A289="",0,MAX(I289,O289,S289,AC289))</f>
        <v/>
      </c>
      <c r="AW289" s="345">
        <f>IF($A289="",0,IF(ISNUMBER(AH289),IF(AH289&gt;=ProtHit,1,0),0))</f>
        <v/>
      </c>
      <c r="AX289" s="345">
        <f>IF($A289="",0,IF(ISNUMBER(AI289),IF(AI289&gt;=WaterHit,1,0),0))</f>
        <v/>
      </c>
      <c r="AY289" s="345">
        <f>IF($A289="",0,IF(ISNUMBER(AG289),IF(AG289&gt;=AR289,1,0),0))</f>
        <v/>
      </c>
      <c r="AZ289" s="345">
        <f>IF($A289="",0,G289)</f>
        <v/>
      </c>
      <c r="BA289" s="345">
        <f>IF($A289="",0,J289)</f>
        <v/>
      </c>
      <c r="BB289" s="345">
        <f>IF($A289="",0,K289)</f>
        <v/>
      </c>
      <c r="BC289" s="345">
        <f>IF($A289="",0,MAX(L289,AE289))</f>
        <v/>
      </c>
      <c r="BD289" s="344">
        <f>IF($A289="","",(AU289+AV289+AW289+AX289+AY289+AZ289+BB289+BC289+IF(AS289=1,BA289,0))/(8+AS289))</f>
        <v/>
      </c>
      <c r="BE289" s="344">
        <f>IF($A289="","",(IF(ISNUMBER(AI289),IF(AI289&gt;=WaterMVD,1,0),0)+AV289+IF(ISNUMBER(AH289),IF(AH289&gt;=ProtMVD,1,0),0)+MAX(H289,AD289)+AZ289+BB289+AU289)/7)</f>
        <v/>
      </c>
      <c r="BF289" s="344">
        <f>IF(AO289=0,"",IF(E289="S","",IF(AND(AP289=0,$A289=TODAY()),"",IF(E289="M",BE289,BD289))))</f>
        <v/>
      </c>
      <c r="BG289" s="344">
        <f>IF(AO289=0,"",IFERROR(AVERAGEIFS(Data!$BF$4:$BF$375,Data!$A$4:$A$375,"&gt;"&amp;($A289-7),Data!$A$4:$A$375,"&lt;="&amp;$A289),""))</f>
        <v/>
      </c>
      <c r="BH289" s="344">
        <f>IF(AO289=0,"",IFERROR(AVERAGEIFS(Data!$BF$4:$BF$375,Data!$A$4:$A$375,"&gt;"&amp;($A289-30),Data!$A$4:$A$375,"&lt;="&amp;$A289),""))</f>
        <v/>
      </c>
      <c r="BI289" s="359">
        <f>IF($A289="","",IFERROR(AVERAGEIFS(Data!$AF$4:$AF$375,Data!$A$4:$A$375,"&gt;"&amp;($A289-7),Data!$A$4:$A$375,"&lt;="&amp;$A289,Data!$AF$4:$AF$375,"&gt;0"),""))</f>
        <v/>
      </c>
      <c r="BJ289" s="345">
        <f>IF($A289="","",F289+G289+H289+I289+J289+K289+L289+M289+N289-IF(AS289=1,0,J289))</f>
        <v/>
      </c>
      <c r="BK289" s="345">
        <f>IF($A289="","",8+AS289)</f>
        <v/>
      </c>
      <c r="BL289" s="345">
        <f>IF(ISNUMBER(BF289),BF289,NA())</f>
        <v/>
      </c>
      <c r="BM289" s="345">
        <f>IF(ISNUMBER(AF289),AF289,NA())</f>
        <v/>
      </c>
      <c r="BN289" s="345">
        <f>IF(ISNUMBER(BI289),BI289,NA())</f>
        <v/>
      </c>
      <c r="BO289" s="345">
        <f>IF(ISNUMBER(AL289),AL289,NA())</f>
        <v/>
      </c>
      <c r="BP289" s="345">
        <f>IF(ISNUMBER(AM289),AM289,NA())</f>
        <v/>
      </c>
      <c r="BQ289" s="345">
        <f>IF(ISNUMBER(AN289),AN289,NA())</f>
        <v/>
      </c>
    </row>
    <row r="290">
      <c r="A290" s="358">
        <f>IF('Jul 2027'!L7="","",'Jul 2027'!L7)</f>
        <v/>
      </c>
      <c r="B290" s="345" t="n">
        <v>10</v>
      </c>
      <c r="C290" s="345">
        <f>IF($A290="","",8)</f>
        <v/>
      </c>
      <c r="D290" s="345">
        <f>IF($A290="","",WEEKDAY($A290,2))</f>
        <v/>
      </c>
      <c r="E290" s="345">
        <f>IF($A290="","",UPPER(TRIM('Jul 2027'!L8)))</f>
        <v/>
      </c>
      <c r="F290" s="345">
        <f>IF($A290="","",IF(OR('Jul 2027'!L10=TRUE,'Jul 2027'!L10="x",'Jul 2027'!L10="X"),1,0))</f>
        <v/>
      </c>
      <c r="G290" s="345">
        <f>IF($A290="","",IF(OR('Jul 2027'!L11=TRUE,'Jul 2027'!L11="x",'Jul 2027'!L11="X"),1,0))</f>
        <v/>
      </c>
      <c r="H290" s="345">
        <f>IF($A290="","",IF(OR('Jul 2027'!L12=TRUE,'Jul 2027'!L12="x",'Jul 2027'!L12="X"),1,0))</f>
        <v/>
      </c>
      <c r="I290" s="345">
        <f>IF($A290="","",IF(OR('Jul 2027'!L13=TRUE,'Jul 2027'!L13="x",'Jul 2027'!L13="X"),1,0))</f>
        <v/>
      </c>
      <c r="J290" s="345">
        <f>IF($A290="","",IF(OR('Jul 2027'!L14=TRUE,'Jul 2027'!L14="x",'Jul 2027'!L14="X"),1,0))</f>
        <v/>
      </c>
      <c r="K290" s="345">
        <f>IF($A290="","",IF(OR('Jul 2027'!L15=TRUE,'Jul 2027'!L15="x",'Jul 2027'!L15="X"),1,0))</f>
        <v/>
      </c>
      <c r="L290" s="345">
        <f>IF($A290="","",IF(OR('Jul 2027'!L16=TRUE,'Jul 2027'!L16="x",'Jul 2027'!L16="X"),1,0))</f>
        <v/>
      </c>
      <c r="M290" s="345">
        <f>IF($A290="","",IF(OR('Jul 2027'!L17=TRUE,'Jul 2027'!L17="x",'Jul 2027'!L17="X"),1,0))</f>
        <v/>
      </c>
      <c r="N290" s="345">
        <f>IF($A290="","",IF(OR('Jul 2027'!L18=TRUE,'Jul 2027'!L18="x",'Jul 2027'!L18="X"),1,0))</f>
        <v/>
      </c>
      <c r="O290" s="345">
        <f>IF($A290="","",IF(OR('Jul 2027'!L20=TRUE,'Jul 2027'!L20="x",'Jul 2027'!L20="X"),1,0))</f>
        <v/>
      </c>
      <c r="P290" s="345">
        <f>IF($A290="","",IF(OR('Jul 2027'!L21=TRUE,'Jul 2027'!L21="x",'Jul 2027'!L21="X"),1,0))</f>
        <v/>
      </c>
      <c r="Q290" s="345">
        <f>IF($A290="","",IF(OR('Jul 2027'!L22=TRUE,'Jul 2027'!L22="x",'Jul 2027'!L22="X"),1,0))</f>
        <v/>
      </c>
      <c r="R290" s="345">
        <f>IF($A290="","",IF(OR('Jul 2027'!L23=TRUE,'Jul 2027'!L23="x",'Jul 2027'!L23="X"),1,0))</f>
        <v/>
      </c>
      <c r="S290" s="345">
        <f>IF($A290="","",IF(OR('Jul 2027'!L24=TRUE,'Jul 2027'!L24="x",'Jul 2027'!L24="X"),1,0))</f>
        <v/>
      </c>
      <c r="T290" s="345">
        <f>IF($A290="","",IF(OR('Jul 2027'!L25=TRUE,'Jul 2027'!L25="x",'Jul 2027'!L25="X"),1,0))</f>
        <v/>
      </c>
      <c r="U290" s="345">
        <f>IF($A290="","",IF(OR('Jul 2027'!L26=TRUE,'Jul 2027'!L26="x",'Jul 2027'!L26="X"),1,0))</f>
        <v/>
      </c>
      <c r="V290" s="345">
        <f>IF($A290="","",IF(OR('Jul 2027'!L27=TRUE,'Jul 2027'!L27="x",'Jul 2027'!L27="X"),1,0))</f>
        <v/>
      </c>
      <c r="W290" s="345">
        <f>IF($A290="","",IF(OR('Jul 2027'!L28=TRUE,'Jul 2027'!L28="x",'Jul 2027'!L28="X"),1,0))</f>
        <v/>
      </c>
      <c r="X290" s="345">
        <f>IF($A290="","",IF(OR('Jul 2027'!L29=TRUE,'Jul 2027'!L29="x",'Jul 2027'!L29="X"),1,0))</f>
        <v/>
      </c>
      <c r="Y290" s="345">
        <f>IF($A290="","",IF(OR('Jul 2027'!L30=TRUE,'Jul 2027'!L30="x",'Jul 2027'!L30="X"),1,0))</f>
        <v/>
      </c>
      <c r="Z290" s="345">
        <f>IF($A290="","",IF(OR('Jul 2027'!L31=TRUE,'Jul 2027'!L31="x",'Jul 2027'!L31="X"),1,0))</f>
        <v/>
      </c>
      <c r="AA290" s="345">
        <f>IF($A290="","",IF(OR('Jul 2027'!L32=TRUE,'Jul 2027'!L32="x",'Jul 2027'!L32="X"),1,0))</f>
        <v/>
      </c>
      <c r="AB290" s="345">
        <f>IF($A290="","",IF(OR('Jul 2027'!L34=TRUE,'Jul 2027'!L34="x",'Jul 2027'!L34="X"),1,0))</f>
        <v/>
      </c>
      <c r="AC290" s="345">
        <f>IF($A290="","",IF(OR('Jul 2027'!L35=TRUE,'Jul 2027'!L35="x",'Jul 2027'!L35="X"),1,0))</f>
        <v/>
      </c>
      <c r="AD290" s="345">
        <f>IF($A290="","",IF(OR('Jul 2027'!L36=TRUE,'Jul 2027'!L36="x",'Jul 2027'!L36="X"),1,0))</f>
        <v/>
      </c>
      <c r="AE290" s="345">
        <f>IF($A290="","",IF(OR('Jul 2027'!L37=TRUE,'Jul 2027'!L37="x",'Jul 2027'!L37="X"),1,0))</f>
        <v/>
      </c>
      <c r="AF290" s="345">
        <f>IF($A290="","",IF('Jul 2027'!L59="","",'Jul 2027'!L59))</f>
        <v/>
      </c>
      <c r="AG290" s="345">
        <f>IF($A290="","",IF('Jul 2027'!L60="","",'Jul 2027'!L60))</f>
        <v/>
      </c>
      <c r="AH290" s="345">
        <f>IF($A290="","",IF('Jul 2027'!L61="","",'Jul 2027'!L61))</f>
        <v/>
      </c>
      <c r="AI290" s="345">
        <f>IF($A290="","",IF('Jul 2027'!L62="","",'Jul 2027'!L62))</f>
        <v/>
      </c>
      <c r="AJ290" s="345">
        <f>IF($A290="","",IF('Jul 2027'!L63="","",'Jul 2027'!L63))</f>
        <v/>
      </c>
      <c r="AK290" s="345">
        <f>IF($A290="","",IF('Jul 2027'!L64="","",'Jul 2027'!L64))</f>
        <v/>
      </c>
      <c r="AL290" s="345">
        <f>IF($A290="","",IF('Jul 2027'!L65="","",'Jul 2027'!L65))</f>
        <v/>
      </c>
      <c r="AM290" s="345">
        <f>IF($A290="","",IF('Jul 2027'!L66="","",'Jul 2027'!L66))</f>
        <v/>
      </c>
      <c r="AN290" s="345">
        <f>IF($A290="","",IF('Jul 2027'!L67="","",'Jul 2027'!L67))</f>
        <v/>
      </c>
      <c r="AO290" s="345">
        <f>IF($A290="",0,IF(AND($A290&gt;=TrackStart,$A290&lt;=TODAY()),1,0))</f>
        <v/>
      </c>
      <c r="AP290" s="345">
        <f>IF($A290="",0,IF(SUM(F290:AE290)+COUNT(AF290:AN290)&gt;0,1,0))</f>
        <v/>
      </c>
      <c r="AQ290" s="345">
        <f>IF($A290="","",INT(($A290-TrackStart)/7)+1)</f>
        <v/>
      </c>
      <c r="AR290" s="345">
        <f>IF($A290="","",IF(AQ290&lt;=1,Steps1,IF(AQ290=2,Steps2,Steps3)))</f>
        <v/>
      </c>
      <c r="AS290" s="345">
        <f>IF($A290="",0,IF(ISNUMBER(SEARCH(TEXT(D290,"0"),WorkDays&amp;"")),1,0))</f>
        <v/>
      </c>
      <c r="AT290" s="345">
        <f>IF($A290="",0,IF(ISNUMBER(SEARCH(TEXT(D290,"0"),StrDays&amp;"")),1,0))</f>
        <v/>
      </c>
      <c r="AU290" s="345">
        <f>IF($A290="",0,IF(ISNUMBER(AK290),IF(AK290&gt;=SleepMin,1,0),N290))</f>
        <v/>
      </c>
      <c r="AV290" s="345">
        <f>IF($A290="",0,MAX(I290,O290,S290,AC290))</f>
        <v/>
      </c>
      <c r="AW290" s="345">
        <f>IF($A290="",0,IF(ISNUMBER(AH290),IF(AH290&gt;=ProtHit,1,0),0))</f>
        <v/>
      </c>
      <c r="AX290" s="345">
        <f>IF($A290="",0,IF(ISNUMBER(AI290),IF(AI290&gt;=WaterHit,1,0),0))</f>
        <v/>
      </c>
      <c r="AY290" s="345">
        <f>IF($A290="",0,IF(ISNUMBER(AG290),IF(AG290&gt;=AR290,1,0),0))</f>
        <v/>
      </c>
      <c r="AZ290" s="345">
        <f>IF($A290="",0,G290)</f>
        <v/>
      </c>
      <c r="BA290" s="345">
        <f>IF($A290="",0,J290)</f>
        <v/>
      </c>
      <c r="BB290" s="345">
        <f>IF($A290="",0,K290)</f>
        <v/>
      </c>
      <c r="BC290" s="345">
        <f>IF($A290="",0,MAX(L290,AE290))</f>
        <v/>
      </c>
      <c r="BD290" s="344">
        <f>IF($A290="","",(AU290+AV290+AW290+AX290+AY290+AZ290+BB290+BC290+IF(AS290=1,BA290,0))/(8+AS290))</f>
        <v/>
      </c>
      <c r="BE290" s="344">
        <f>IF($A290="","",(IF(ISNUMBER(AI290),IF(AI290&gt;=WaterMVD,1,0),0)+AV290+IF(ISNUMBER(AH290),IF(AH290&gt;=ProtMVD,1,0),0)+MAX(H290,AD290)+AZ290+BB290+AU290)/7)</f>
        <v/>
      </c>
      <c r="BF290" s="344">
        <f>IF(AO290=0,"",IF(E290="S","",IF(AND(AP290=0,$A290=TODAY()),"",IF(E290="M",BE290,BD290))))</f>
        <v/>
      </c>
      <c r="BG290" s="344">
        <f>IF(AO290=0,"",IFERROR(AVERAGEIFS(Data!$BF$4:$BF$375,Data!$A$4:$A$375,"&gt;"&amp;($A290-7),Data!$A$4:$A$375,"&lt;="&amp;$A290),""))</f>
        <v/>
      </c>
      <c r="BH290" s="344">
        <f>IF(AO290=0,"",IFERROR(AVERAGEIFS(Data!$BF$4:$BF$375,Data!$A$4:$A$375,"&gt;"&amp;($A290-30),Data!$A$4:$A$375,"&lt;="&amp;$A290),""))</f>
        <v/>
      </c>
      <c r="BI290" s="359">
        <f>IF($A290="","",IFERROR(AVERAGEIFS(Data!$AF$4:$AF$375,Data!$A$4:$A$375,"&gt;"&amp;($A290-7),Data!$A$4:$A$375,"&lt;="&amp;$A290,Data!$AF$4:$AF$375,"&gt;0"),""))</f>
        <v/>
      </c>
      <c r="BJ290" s="345">
        <f>IF($A290="","",F290+G290+H290+I290+J290+K290+L290+M290+N290-IF(AS290=1,0,J290))</f>
        <v/>
      </c>
      <c r="BK290" s="345">
        <f>IF($A290="","",8+AS290)</f>
        <v/>
      </c>
      <c r="BL290" s="345">
        <f>IF(ISNUMBER(BF290),BF290,NA())</f>
        <v/>
      </c>
      <c r="BM290" s="345">
        <f>IF(ISNUMBER(AF290),AF290,NA())</f>
        <v/>
      </c>
      <c r="BN290" s="345">
        <f>IF(ISNUMBER(BI290),BI290,NA())</f>
        <v/>
      </c>
      <c r="BO290" s="345">
        <f>IF(ISNUMBER(AL290),AL290,NA())</f>
        <v/>
      </c>
      <c r="BP290" s="345">
        <f>IF(ISNUMBER(AM290),AM290,NA())</f>
        <v/>
      </c>
      <c r="BQ290" s="345">
        <f>IF(ISNUMBER(AN290),AN290,NA())</f>
        <v/>
      </c>
    </row>
    <row r="291">
      <c r="A291" s="358">
        <f>IF('Jul 2027'!M7="","",'Jul 2027'!M7)</f>
        <v/>
      </c>
      <c r="B291" s="345" t="n">
        <v>10</v>
      </c>
      <c r="C291" s="345">
        <f>IF($A291="","",9)</f>
        <v/>
      </c>
      <c r="D291" s="345">
        <f>IF($A291="","",WEEKDAY($A291,2))</f>
        <v/>
      </c>
      <c r="E291" s="345">
        <f>IF($A291="","",UPPER(TRIM('Jul 2027'!M8)))</f>
        <v/>
      </c>
      <c r="F291" s="345">
        <f>IF($A291="","",IF(OR('Jul 2027'!M10=TRUE,'Jul 2027'!M10="x",'Jul 2027'!M10="X"),1,0))</f>
        <v/>
      </c>
      <c r="G291" s="345">
        <f>IF($A291="","",IF(OR('Jul 2027'!M11=TRUE,'Jul 2027'!M11="x",'Jul 2027'!M11="X"),1,0))</f>
        <v/>
      </c>
      <c r="H291" s="345">
        <f>IF($A291="","",IF(OR('Jul 2027'!M12=TRUE,'Jul 2027'!M12="x",'Jul 2027'!M12="X"),1,0))</f>
        <v/>
      </c>
      <c r="I291" s="345">
        <f>IF($A291="","",IF(OR('Jul 2027'!M13=TRUE,'Jul 2027'!M13="x",'Jul 2027'!M13="X"),1,0))</f>
        <v/>
      </c>
      <c r="J291" s="345">
        <f>IF($A291="","",IF(OR('Jul 2027'!M14=TRUE,'Jul 2027'!M14="x",'Jul 2027'!M14="X"),1,0))</f>
        <v/>
      </c>
      <c r="K291" s="345">
        <f>IF($A291="","",IF(OR('Jul 2027'!M15=TRUE,'Jul 2027'!M15="x",'Jul 2027'!M15="X"),1,0))</f>
        <v/>
      </c>
      <c r="L291" s="345">
        <f>IF($A291="","",IF(OR('Jul 2027'!M16=TRUE,'Jul 2027'!M16="x",'Jul 2027'!M16="X"),1,0))</f>
        <v/>
      </c>
      <c r="M291" s="345">
        <f>IF($A291="","",IF(OR('Jul 2027'!M17=TRUE,'Jul 2027'!M17="x",'Jul 2027'!M17="X"),1,0))</f>
        <v/>
      </c>
      <c r="N291" s="345">
        <f>IF($A291="","",IF(OR('Jul 2027'!M18=TRUE,'Jul 2027'!M18="x",'Jul 2027'!M18="X"),1,0))</f>
        <v/>
      </c>
      <c r="O291" s="345">
        <f>IF($A291="","",IF(OR('Jul 2027'!M20=TRUE,'Jul 2027'!M20="x",'Jul 2027'!M20="X"),1,0))</f>
        <v/>
      </c>
      <c r="P291" s="345">
        <f>IF($A291="","",IF(OR('Jul 2027'!M21=TRUE,'Jul 2027'!M21="x",'Jul 2027'!M21="X"),1,0))</f>
        <v/>
      </c>
      <c r="Q291" s="345">
        <f>IF($A291="","",IF(OR('Jul 2027'!M22=TRUE,'Jul 2027'!M22="x",'Jul 2027'!M22="X"),1,0))</f>
        <v/>
      </c>
      <c r="R291" s="345">
        <f>IF($A291="","",IF(OR('Jul 2027'!M23=TRUE,'Jul 2027'!M23="x",'Jul 2027'!M23="X"),1,0))</f>
        <v/>
      </c>
      <c r="S291" s="345">
        <f>IF($A291="","",IF(OR('Jul 2027'!M24=TRUE,'Jul 2027'!M24="x",'Jul 2027'!M24="X"),1,0))</f>
        <v/>
      </c>
      <c r="T291" s="345">
        <f>IF($A291="","",IF(OR('Jul 2027'!M25=TRUE,'Jul 2027'!M25="x",'Jul 2027'!M25="X"),1,0))</f>
        <v/>
      </c>
      <c r="U291" s="345">
        <f>IF($A291="","",IF(OR('Jul 2027'!M26=TRUE,'Jul 2027'!M26="x",'Jul 2027'!M26="X"),1,0))</f>
        <v/>
      </c>
      <c r="V291" s="345">
        <f>IF($A291="","",IF(OR('Jul 2027'!M27=TRUE,'Jul 2027'!M27="x",'Jul 2027'!M27="X"),1,0))</f>
        <v/>
      </c>
      <c r="W291" s="345">
        <f>IF($A291="","",IF(OR('Jul 2027'!M28=TRUE,'Jul 2027'!M28="x",'Jul 2027'!M28="X"),1,0))</f>
        <v/>
      </c>
      <c r="X291" s="345">
        <f>IF($A291="","",IF(OR('Jul 2027'!M29=TRUE,'Jul 2027'!M29="x",'Jul 2027'!M29="X"),1,0))</f>
        <v/>
      </c>
      <c r="Y291" s="345">
        <f>IF($A291="","",IF(OR('Jul 2027'!M30=TRUE,'Jul 2027'!M30="x",'Jul 2027'!M30="X"),1,0))</f>
        <v/>
      </c>
      <c r="Z291" s="345">
        <f>IF($A291="","",IF(OR('Jul 2027'!M31=TRUE,'Jul 2027'!M31="x",'Jul 2027'!M31="X"),1,0))</f>
        <v/>
      </c>
      <c r="AA291" s="345">
        <f>IF($A291="","",IF(OR('Jul 2027'!M32=TRUE,'Jul 2027'!M32="x",'Jul 2027'!M32="X"),1,0))</f>
        <v/>
      </c>
      <c r="AB291" s="345">
        <f>IF($A291="","",IF(OR('Jul 2027'!M34=TRUE,'Jul 2027'!M34="x",'Jul 2027'!M34="X"),1,0))</f>
        <v/>
      </c>
      <c r="AC291" s="345">
        <f>IF($A291="","",IF(OR('Jul 2027'!M35=TRUE,'Jul 2027'!M35="x",'Jul 2027'!M35="X"),1,0))</f>
        <v/>
      </c>
      <c r="AD291" s="345">
        <f>IF($A291="","",IF(OR('Jul 2027'!M36=TRUE,'Jul 2027'!M36="x",'Jul 2027'!M36="X"),1,0))</f>
        <v/>
      </c>
      <c r="AE291" s="345">
        <f>IF($A291="","",IF(OR('Jul 2027'!M37=TRUE,'Jul 2027'!M37="x",'Jul 2027'!M37="X"),1,0))</f>
        <v/>
      </c>
      <c r="AF291" s="345">
        <f>IF($A291="","",IF('Jul 2027'!M59="","",'Jul 2027'!M59))</f>
        <v/>
      </c>
      <c r="AG291" s="345">
        <f>IF($A291="","",IF('Jul 2027'!M60="","",'Jul 2027'!M60))</f>
        <v/>
      </c>
      <c r="AH291" s="345">
        <f>IF($A291="","",IF('Jul 2027'!M61="","",'Jul 2027'!M61))</f>
        <v/>
      </c>
      <c r="AI291" s="345">
        <f>IF($A291="","",IF('Jul 2027'!M62="","",'Jul 2027'!M62))</f>
        <v/>
      </c>
      <c r="AJ291" s="345">
        <f>IF($A291="","",IF('Jul 2027'!M63="","",'Jul 2027'!M63))</f>
        <v/>
      </c>
      <c r="AK291" s="345">
        <f>IF($A291="","",IF('Jul 2027'!M64="","",'Jul 2027'!M64))</f>
        <v/>
      </c>
      <c r="AL291" s="345">
        <f>IF($A291="","",IF('Jul 2027'!M65="","",'Jul 2027'!M65))</f>
        <v/>
      </c>
      <c r="AM291" s="345">
        <f>IF($A291="","",IF('Jul 2027'!M66="","",'Jul 2027'!M66))</f>
        <v/>
      </c>
      <c r="AN291" s="345">
        <f>IF($A291="","",IF('Jul 2027'!M67="","",'Jul 2027'!M67))</f>
        <v/>
      </c>
      <c r="AO291" s="345">
        <f>IF($A291="",0,IF(AND($A291&gt;=TrackStart,$A291&lt;=TODAY()),1,0))</f>
        <v/>
      </c>
      <c r="AP291" s="345">
        <f>IF($A291="",0,IF(SUM(F291:AE291)+COUNT(AF291:AN291)&gt;0,1,0))</f>
        <v/>
      </c>
      <c r="AQ291" s="345">
        <f>IF($A291="","",INT(($A291-TrackStart)/7)+1)</f>
        <v/>
      </c>
      <c r="AR291" s="345">
        <f>IF($A291="","",IF(AQ291&lt;=1,Steps1,IF(AQ291=2,Steps2,Steps3)))</f>
        <v/>
      </c>
      <c r="AS291" s="345">
        <f>IF($A291="",0,IF(ISNUMBER(SEARCH(TEXT(D291,"0"),WorkDays&amp;"")),1,0))</f>
        <v/>
      </c>
      <c r="AT291" s="345">
        <f>IF($A291="",0,IF(ISNUMBER(SEARCH(TEXT(D291,"0"),StrDays&amp;"")),1,0))</f>
        <v/>
      </c>
      <c r="AU291" s="345">
        <f>IF($A291="",0,IF(ISNUMBER(AK291),IF(AK291&gt;=SleepMin,1,0),N291))</f>
        <v/>
      </c>
      <c r="AV291" s="345">
        <f>IF($A291="",0,MAX(I291,O291,S291,AC291))</f>
        <v/>
      </c>
      <c r="AW291" s="345">
        <f>IF($A291="",0,IF(ISNUMBER(AH291),IF(AH291&gt;=ProtHit,1,0),0))</f>
        <v/>
      </c>
      <c r="AX291" s="345">
        <f>IF($A291="",0,IF(ISNUMBER(AI291),IF(AI291&gt;=WaterHit,1,0),0))</f>
        <v/>
      </c>
      <c r="AY291" s="345">
        <f>IF($A291="",0,IF(ISNUMBER(AG291),IF(AG291&gt;=AR291,1,0),0))</f>
        <v/>
      </c>
      <c r="AZ291" s="345">
        <f>IF($A291="",0,G291)</f>
        <v/>
      </c>
      <c r="BA291" s="345">
        <f>IF($A291="",0,J291)</f>
        <v/>
      </c>
      <c r="BB291" s="345">
        <f>IF($A291="",0,K291)</f>
        <v/>
      </c>
      <c r="BC291" s="345">
        <f>IF($A291="",0,MAX(L291,AE291))</f>
        <v/>
      </c>
      <c r="BD291" s="344">
        <f>IF($A291="","",(AU291+AV291+AW291+AX291+AY291+AZ291+BB291+BC291+IF(AS291=1,BA291,0))/(8+AS291))</f>
        <v/>
      </c>
      <c r="BE291" s="344">
        <f>IF($A291="","",(IF(ISNUMBER(AI291),IF(AI291&gt;=WaterMVD,1,0),0)+AV291+IF(ISNUMBER(AH291),IF(AH291&gt;=ProtMVD,1,0),0)+MAX(H291,AD291)+AZ291+BB291+AU291)/7)</f>
        <v/>
      </c>
      <c r="BF291" s="344">
        <f>IF(AO291=0,"",IF(E291="S","",IF(AND(AP291=0,$A291=TODAY()),"",IF(E291="M",BE291,BD291))))</f>
        <v/>
      </c>
      <c r="BG291" s="344">
        <f>IF(AO291=0,"",IFERROR(AVERAGEIFS(Data!$BF$4:$BF$375,Data!$A$4:$A$375,"&gt;"&amp;($A291-7),Data!$A$4:$A$375,"&lt;="&amp;$A291),""))</f>
        <v/>
      </c>
      <c r="BH291" s="344">
        <f>IF(AO291=0,"",IFERROR(AVERAGEIFS(Data!$BF$4:$BF$375,Data!$A$4:$A$375,"&gt;"&amp;($A291-30),Data!$A$4:$A$375,"&lt;="&amp;$A291),""))</f>
        <v/>
      </c>
      <c r="BI291" s="359">
        <f>IF($A291="","",IFERROR(AVERAGEIFS(Data!$AF$4:$AF$375,Data!$A$4:$A$375,"&gt;"&amp;($A291-7),Data!$A$4:$A$375,"&lt;="&amp;$A291,Data!$AF$4:$AF$375,"&gt;0"),""))</f>
        <v/>
      </c>
      <c r="BJ291" s="345">
        <f>IF($A291="","",F291+G291+H291+I291+J291+K291+L291+M291+N291-IF(AS291=1,0,J291))</f>
        <v/>
      </c>
      <c r="BK291" s="345">
        <f>IF($A291="","",8+AS291)</f>
        <v/>
      </c>
      <c r="BL291" s="345">
        <f>IF(ISNUMBER(BF291),BF291,NA())</f>
        <v/>
      </c>
      <c r="BM291" s="345">
        <f>IF(ISNUMBER(AF291),AF291,NA())</f>
        <v/>
      </c>
      <c r="BN291" s="345">
        <f>IF(ISNUMBER(BI291),BI291,NA())</f>
        <v/>
      </c>
      <c r="BO291" s="345">
        <f>IF(ISNUMBER(AL291),AL291,NA())</f>
        <v/>
      </c>
      <c r="BP291" s="345">
        <f>IF(ISNUMBER(AM291),AM291,NA())</f>
        <v/>
      </c>
      <c r="BQ291" s="345">
        <f>IF(ISNUMBER(AN291),AN291,NA())</f>
        <v/>
      </c>
    </row>
    <row r="292">
      <c r="A292" s="358">
        <f>IF('Jul 2027'!N7="","",'Jul 2027'!N7)</f>
        <v/>
      </c>
      <c r="B292" s="345" t="n">
        <v>10</v>
      </c>
      <c r="C292" s="345">
        <f>IF($A292="","",10)</f>
        <v/>
      </c>
      <c r="D292" s="345">
        <f>IF($A292="","",WEEKDAY($A292,2))</f>
        <v/>
      </c>
      <c r="E292" s="345">
        <f>IF($A292="","",UPPER(TRIM('Jul 2027'!N8)))</f>
        <v/>
      </c>
      <c r="F292" s="345">
        <f>IF($A292="","",IF(OR('Jul 2027'!N10=TRUE,'Jul 2027'!N10="x",'Jul 2027'!N10="X"),1,0))</f>
        <v/>
      </c>
      <c r="G292" s="345">
        <f>IF($A292="","",IF(OR('Jul 2027'!N11=TRUE,'Jul 2027'!N11="x",'Jul 2027'!N11="X"),1,0))</f>
        <v/>
      </c>
      <c r="H292" s="345">
        <f>IF($A292="","",IF(OR('Jul 2027'!N12=TRUE,'Jul 2027'!N12="x",'Jul 2027'!N12="X"),1,0))</f>
        <v/>
      </c>
      <c r="I292" s="345">
        <f>IF($A292="","",IF(OR('Jul 2027'!N13=TRUE,'Jul 2027'!N13="x",'Jul 2027'!N13="X"),1,0))</f>
        <v/>
      </c>
      <c r="J292" s="345">
        <f>IF($A292="","",IF(OR('Jul 2027'!N14=TRUE,'Jul 2027'!N14="x",'Jul 2027'!N14="X"),1,0))</f>
        <v/>
      </c>
      <c r="K292" s="345">
        <f>IF($A292="","",IF(OR('Jul 2027'!N15=TRUE,'Jul 2027'!N15="x",'Jul 2027'!N15="X"),1,0))</f>
        <v/>
      </c>
      <c r="L292" s="345">
        <f>IF($A292="","",IF(OR('Jul 2027'!N16=TRUE,'Jul 2027'!N16="x",'Jul 2027'!N16="X"),1,0))</f>
        <v/>
      </c>
      <c r="M292" s="345">
        <f>IF($A292="","",IF(OR('Jul 2027'!N17=TRUE,'Jul 2027'!N17="x",'Jul 2027'!N17="X"),1,0))</f>
        <v/>
      </c>
      <c r="N292" s="345">
        <f>IF($A292="","",IF(OR('Jul 2027'!N18=TRUE,'Jul 2027'!N18="x",'Jul 2027'!N18="X"),1,0))</f>
        <v/>
      </c>
      <c r="O292" s="345">
        <f>IF($A292="","",IF(OR('Jul 2027'!N20=TRUE,'Jul 2027'!N20="x",'Jul 2027'!N20="X"),1,0))</f>
        <v/>
      </c>
      <c r="P292" s="345">
        <f>IF($A292="","",IF(OR('Jul 2027'!N21=TRUE,'Jul 2027'!N21="x",'Jul 2027'!N21="X"),1,0))</f>
        <v/>
      </c>
      <c r="Q292" s="345">
        <f>IF($A292="","",IF(OR('Jul 2027'!N22=TRUE,'Jul 2027'!N22="x",'Jul 2027'!N22="X"),1,0))</f>
        <v/>
      </c>
      <c r="R292" s="345">
        <f>IF($A292="","",IF(OR('Jul 2027'!N23=TRUE,'Jul 2027'!N23="x",'Jul 2027'!N23="X"),1,0))</f>
        <v/>
      </c>
      <c r="S292" s="345">
        <f>IF($A292="","",IF(OR('Jul 2027'!N24=TRUE,'Jul 2027'!N24="x",'Jul 2027'!N24="X"),1,0))</f>
        <v/>
      </c>
      <c r="T292" s="345">
        <f>IF($A292="","",IF(OR('Jul 2027'!N25=TRUE,'Jul 2027'!N25="x",'Jul 2027'!N25="X"),1,0))</f>
        <v/>
      </c>
      <c r="U292" s="345">
        <f>IF($A292="","",IF(OR('Jul 2027'!N26=TRUE,'Jul 2027'!N26="x",'Jul 2027'!N26="X"),1,0))</f>
        <v/>
      </c>
      <c r="V292" s="345">
        <f>IF($A292="","",IF(OR('Jul 2027'!N27=TRUE,'Jul 2027'!N27="x",'Jul 2027'!N27="X"),1,0))</f>
        <v/>
      </c>
      <c r="W292" s="345">
        <f>IF($A292="","",IF(OR('Jul 2027'!N28=TRUE,'Jul 2027'!N28="x",'Jul 2027'!N28="X"),1,0))</f>
        <v/>
      </c>
      <c r="X292" s="345">
        <f>IF($A292="","",IF(OR('Jul 2027'!N29=TRUE,'Jul 2027'!N29="x",'Jul 2027'!N29="X"),1,0))</f>
        <v/>
      </c>
      <c r="Y292" s="345">
        <f>IF($A292="","",IF(OR('Jul 2027'!N30=TRUE,'Jul 2027'!N30="x",'Jul 2027'!N30="X"),1,0))</f>
        <v/>
      </c>
      <c r="Z292" s="345">
        <f>IF($A292="","",IF(OR('Jul 2027'!N31=TRUE,'Jul 2027'!N31="x",'Jul 2027'!N31="X"),1,0))</f>
        <v/>
      </c>
      <c r="AA292" s="345">
        <f>IF($A292="","",IF(OR('Jul 2027'!N32=TRUE,'Jul 2027'!N32="x",'Jul 2027'!N32="X"),1,0))</f>
        <v/>
      </c>
      <c r="AB292" s="345">
        <f>IF($A292="","",IF(OR('Jul 2027'!N34=TRUE,'Jul 2027'!N34="x",'Jul 2027'!N34="X"),1,0))</f>
        <v/>
      </c>
      <c r="AC292" s="345">
        <f>IF($A292="","",IF(OR('Jul 2027'!N35=TRUE,'Jul 2027'!N35="x",'Jul 2027'!N35="X"),1,0))</f>
        <v/>
      </c>
      <c r="AD292" s="345">
        <f>IF($A292="","",IF(OR('Jul 2027'!N36=TRUE,'Jul 2027'!N36="x",'Jul 2027'!N36="X"),1,0))</f>
        <v/>
      </c>
      <c r="AE292" s="345">
        <f>IF($A292="","",IF(OR('Jul 2027'!N37=TRUE,'Jul 2027'!N37="x",'Jul 2027'!N37="X"),1,0))</f>
        <v/>
      </c>
      <c r="AF292" s="345">
        <f>IF($A292="","",IF('Jul 2027'!N59="","",'Jul 2027'!N59))</f>
        <v/>
      </c>
      <c r="AG292" s="345">
        <f>IF($A292="","",IF('Jul 2027'!N60="","",'Jul 2027'!N60))</f>
        <v/>
      </c>
      <c r="AH292" s="345">
        <f>IF($A292="","",IF('Jul 2027'!N61="","",'Jul 2027'!N61))</f>
        <v/>
      </c>
      <c r="AI292" s="345">
        <f>IF($A292="","",IF('Jul 2027'!N62="","",'Jul 2027'!N62))</f>
        <v/>
      </c>
      <c r="AJ292" s="345">
        <f>IF($A292="","",IF('Jul 2027'!N63="","",'Jul 2027'!N63))</f>
        <v/>
      </c>
      <c r="AK292" s="345">
        <f>IF($A292="","",IF('Jul 2027'!N64="","",'Jul 2027'!N64))</f>
        <v/>
      </c>
      <c r="AL292" s="345">
        <f>IF($A292="","",IF('Jul 2027'!N65="","",'Jul 2027'!N65))</f>
        <v/>
      </c>
      <c r="AM292" s="345">
        <f>IF($A292="","",IF('Jul 2027'!N66="","",'Jul 2027'!N66))</f>
        <v/>
      </c>
      <c r="AN292" s="345">
        <f>IF($A292="","",IF('Jul 2027'!N67="","",'Jul 2027'!N67))</f>
        <v/>
      </c>
      <c r="AO292" s="345">
        <f>IF($A292="",0,IF(AND($A292&gt;=TrackStart,$A292&lt;=TODAY()),1,0))</f>
        <v/>
      </c>
      <c r="AP292" s="345">
        <f>IF($A292="",0,IF(SUM(F292:AE292)+COUNT(AF292:AN292)&gt;0,1,0))</f>
        <v/>
      </c>
      <c r="AQ292" s="345">
        <f>IF($A292="","",INT(($A292-TrackStart)/7)+1)</f>
        <v/>
      </c>
      <c r="AR292" s="345">
        <f>IF($A292="","",IF(AQ292&lt;=1,Steps1,IF(AQ292=2,Steps2,Steps3)))</f>
        <v/>
      </c>
      <c r="AS292" s="345">
        <f>IF($A292="",0,IF(ISNUMBER(SEARCH(TEXT(D292,"0"),WorkDays&amp;"")),1,0))</f>
        <v/>
      </c>
      <c r="AT292" s="345">
        <f>IF($A292="",0,IF(ISNUMBER(SEARCH(TEXT(D292,"0"),StrDays&amp;"")),1,0))</f>
        <v/>
      </c>
      <c r="AU292" s="345">
        <f>IF($A292="",0,IF(ISNUMBER(AK292),IF(AK292&gt;=SleepMin,1,0),N292))</f>
        <v/>
      </c>
      <c r="AV292" s="345">
        <f>IF($A292="",0,MAX(I292,O292,S292,AC292))</f>
        <v/>
      </c>
      <c r="AW292" s="345">
        <f>IF($A292="",0,IF(ISNUMBER(AH292),IF(AH292&gt;=ProtHit,1,0),0))</f>
        <v/>
      </c>
      <c r="AX292" s="345">
        <f>IF($A292="",0,IF(ISNUMBER(AI292),IF(AI292&gt;=WaterHit,1,0),0))</f>
        <v/>
      </c>
      <c r="AY292" s="345">
        <f>IF($A292="",0,IF(ISNUMBER(AG292),IF(AG292&gt;=AR292,1,0),0))</f>
        <v/>
      </c>
      <c r="AZ292" s="345">
        <f>IF($A292="",0,G292)</f>
        <v/>
      </c>
      <c r="BA292" s="345">
        <f>IF($A292="",0,J292)</f>
        <v/>
      </c>
      <c r="BB292" s="345">
        <f>IF($A292="",0,K292)</f>
        <v/>
      </c>
      <c r="BC292" s="345">
        <f>IF($A292="",0,MAX(L292,AE292))</f>
        <v/>
      </c>
      <c r="BD292" s="344">
        <f>IF($A292="","",(AU292+AV292+AW292+AX292+AY292+AZ292+BB292+BC292+IF(AS292=1,BA292,0))/(8+AS292))</f>
        <v/>
      </c>
      <c r="BE292" s="344">
        <f>IF($A292="","",(IF(ISNUMBER(AI292),IF(AI292&gt;=WaterMVD,1,0),0)+AV292+IF(ISNUMBER(AH292),IF(AH292&gt;=ProtMVD,1,0),0)+MAX(H292,AD292)+AZ292+BB292+AU292)/7)</f>
        <v/>
      </c>
      <c r="BF292" s="344">
        <f>IF(AO292=0,"",IF(E292="S","",IF(AND(AP292=0,$A292=TODAY()),"",IF(E292="M",BE292,BD292))))</f>
        <v/>
      </c>
      <c r="BG292" s="344">
        <f>IF(AO292=0,"",IFERROR(AVERAGEIFS(Data!$BF$4:$BF$375,Data!$A$4:$A$375,"&gt;"&amp;($A292-7),Data!$A$4:$A$375,"&lt;="&amp;$A292),""))</f>
        <v/>
      </c>
      <c r="BH292" s="344">
        <f>IF(AO292=0,"",IFERROR(AVERAGEIFS(Data!$BF$4:$BF$375,Data!$A$4:$A$375,"&gt;"&amp;($A292-30),Data!$A$4:$A$375,"&lt;="&amp;$A292),""))</f>
        <v/>
      </c>
      <c r="BI292" s="359">
        <f>IF($A292="","",IFERROR(AVERAGEIFS(Data!$AF$4:$AF$375,Data!$A$4:$A$375,"&gt;"&amp;($A292-7),Data!$A$4:$A$375,"&lt;="&amp;$A292,Data!$AF$4:$AF$375,"&gt;0"),""))</f>
        <v/>
      </c>
      <c r="BJ292" s="345">
        <f>IF($A292="","",F292+G292+H292+I292+J292+K292+L292+M292+N292-IF(AS292=1,0,J292))</f>
        <v/>
      </c>
      <c r="BK292" s="345">
        <f>IF($A292="","",8+AS292)</f>
        <v/>
      </c>
      <c r="BL292" s="345">
        <f>IF(ISNUMBER(BF292),BF292,NA())</f>
        <v/>
      </c>
      <c r="BM292" s="345">
        <f>IF(ISNUMBER(AF292),AF292,NA())</f>
        <v/>
      </c>
      <c r="BN292" s="345">
        <f>IF(ISNUMBER(BI292),BI292,NA())</f>
        <v/>
      </c>
      <c r="BO292" s="345">
        <f>IF(ISNUMBER(AL292),AL292,NA())</f>
        <v/>
      </c>
      <c r="BP292" s="345">
        <f>IF(ISNUMBER(AM292),AM292,NA())</f>
        <v/>
      </c>
      <c r="BQ292" s="345">
        <f>IF(ISNUMBER(AN292),AN292,NA())</f>
        <v/>
      </c>
    </row>
    <row r="293">
      <c r="A293" s="358">
        <f>IF('Jul 2027'!O7="","",'Jul 2027'!O7)</f>
        <v/>
      </c>
      <c r="B293" s="345" t="n">
        <v>10</v>
      </c>
      <c r="C293" s="345">
        <f>IF($A293="","",11)</f>
        <v/>
      </c>
      <c r="D293" s="345">
        <f>IF($A293="","",WEEKDAY($A293,2))</f>
        <v/>
      </c>
      <c r="E293" s="345">
        <f>IF($A293="","",UPPER(TRIM('Jul 2027'!O8)))</f>
        <v/>
      </c>
      <c r="F293" s="345">
        <f>IF($A293="","",IF(OR('Jul 2027'!O10=TRUE,'Jul 2027'!O10="x",'Jul 2027'!O10="X"),1,0))</f>
        <v/>
      </c>
      <c r="G293" s="345">
        <f>IF($A293="","",IF(OR('Jul 2027'!O11=TRUE,'Jul 2027'!O11="x",'Jul 2027'!O11="X"),1,0))</f>
        <v/>
      </c>
      <c r="H293" s="345">
        <f>IF($A293="","",IF(OR('Jul 2027'!O12=TRUE,'Jul 2027'!O12="x",'Jul 2027'!O12="X"),1,0))</f>
        <v/>
      </c>
      <c r="I293" s="345">
        <f>IF($A293="","",IF(OR('Jul 2027'!O13=TRUE,'Jul 2027'!O13="x",'Jul 2027'!O13="X"),1,0))</f>
        <v/>
      </c>
      <c r="J293" s="345">
        <f>IF($A293="","",IF(OR('Jul 2027'!O14=TRUE,'Jul 2027'!O14="x",'Jul 2027'!O14="X"),1,0))</f>
        <v/>
      </c>
      <c r="K293" s="345">
        <f>IF($A293="","",IF(OR('Jul 2027'!O15=TRUE,'Jul 2027'!O15="x",'Jul 2027'!O15="X"),1,0))</f>
        <v/>
      </c>
      <c r="L293" s="345">
        <f>IF($A293="","",IF(OR('Jul 2027'!O16=TRUE,'Jul 2027'!O16="x",'Jul 2027'!O16="X"),1,0))</f>
        <v/>
      </c>
      <c r="M293" s="345">
        <f>IF($A293="","",IF(OR('Jul 2027'!O17=TRUE,'Jul 2027'!O17="x",'Jul 2027'!O17="X"),1,0))</f>
        <v/>
      </c>
      <c r="N293" s="345">
        <f>IF($A293="","",IF(OR('Jul 2027'!O18=TRUE,'Jul 2027'!O18="x",'Jul 2027'!O18="X"),1,0))</f>
        <v/>
      </c>
      <c r="O293" s="345">
        <f>IF($A293="","",IF(OR('Jul 2027'!O20=TRUE,'Jul 2027'!O20="x",'Jul 2027'!O20="X"),1,0))</f>
        <v/>
      </c>
      <c r="P293" s="345">
        <f>IF($A293="","",IF(OR('Jul 2027'!O21=TRUE,'Jul 2027'!O21="x",'Jul 2027'!O21="X"),1,0))</f>
        <v/>
      </c>
      <c r="Q293" s="345">
        <f>IF($A293="","",IF(OR('Jul 2027'!O22=TRUE,'Jul 2027'!O22="x",'Jul 2027'!O22="X"),1,0))</f>
        <v/>
      </c>
      <c r="R293" s="345">
        <f>IF($A293="","",IF(OR('Jul 2027'!O23=TRUE,'Jul 2027'!O23="x",'Jul 2027'!O23="X"),1,0))</f>
        <v/>
      </c>
      <c r="S293" s="345">
        <f>IF($A293="","",IF(OR('Jul 2027'!O24=TRUE,'Jul 2027'!O24="x",'Jul 2027'!O24="X"),1,0))</f>
        <v/>
      </c>
      <c r="T293" s="345">
        <f>IF($A293="","",IF(OR('Jul 2027'!O25=TRUE,'Jul 2027'!O25="x",'Jul 2027'!O25="X"),1,0))</f>
        <v/>
      </c>
      <c r="U293" s="345">
        <f>IF($A293="","",IF(OR('Jul 2027'!O26=TRUE,'Jul 2027'!O26="x",'Jul 2027'!O26="X"),1,0))</f>
        <v/>
      </c>
      <c r="V293" s="345">
        <f>IF($A293="","",IF(OR('Jul 2027'!O27=TRUE,'Jul 2027'!O27="x",'Jul 2027'!O27="X"),1,0))</f>
        <v/>
      </c>
      <c r="W293" s="345">
        <f>IF($A293="","",IF(OR('Jul 2027'!O28=TRUE,'Jul 2027'!O28="x",'Jul 2027'!O28="X"),1,0))</f>
        <v/>
      </c>
      <c r="X293" s="345">
        <f>IF($A293="","",IF(OR('Jul 2027'!O29=TRUE,'Jul 2027'!O29="x",'Jul 2027'!O29="X"),1,0))</f>
        <v/>
      </c>
      <c r="Y293" s="345">
        <f>IF($A293="","",IF(OR('Jul 2027'!O30=TRUE,'Jul 2027'!O30="x",'Jul 2027'!O30="X"),1,0))</f>
        <v/>
      </c>
      <c r="Z293" s="345">
        <f>IF($A293="","",IF(OR('Jul 2027'!O31=TRUE,'Jul 2027'!O31="x",'Jul 2027'!O31="X"),1,0))</f>
        <v/>
      </c>
      <c r="AA293" s="345">
        <f>IF($A293="","",IF(OR('Jul 2027'!O32=TRUE,'Jul 2027'!O32="x",'Jul 2027'!O32="X"),1,0))</f>
        <v/>
      </c>
      <c r="AB293" s="345">
        <f>IF($A293="","",IF(OR('Jul 2027'!O34=TRUE,'Jul 2027'!O34="x",'Jul 2027'!O34="X"),1,0))</f>
        <v/>
      </c>
      <c r="AC293" s="345">
        <f>IF($A293="","",IF(OR('Jul 2027'!O35=TRUE,'Jul 2027'!O35="x",'Jul 2027'!O35="X"),1,0))</f>
        <v/>
      </c>
      <c r="AD293" s="345">
        <f>IF($A293="","",IF(OR('Jul 2027'!O36=TRUE,'Jul 2027'!O36="x",'Jul 2027'!O36="X"),1,0))</f>
        <v/>
      </c>
      <c r="AE293" s="345">
        <f>IF($A293="","",IF(OR('Jul 2027'!O37=TRUE,'Jul 2027'!O37="x",'Jul 2027'!O37="X"),1,0))</f>
        <v/>
      </c>
      <c r="AF293" s="345">
        <f>IF($A293="","",IF('Jul 2027'!O59="","",'Jul 2027'!O59))</f>
        <v/>
      </c>
      <c r="AG293" s="345">
        <f>IF($A293="","",IF('Jul 2027'!O60="","",'Jul 2027'!O60))</f>
        <v/>
      </c>
      <c r="AH293" s="345">
        <f>IF($A293="","",IF('Jul 2027'!O61="","",'Jul 2027'!O61))</f>
        <v/>
      </c>
      <c r="AI293" s="345">
        <f>IF($A293="","",IF('Jul 2027'!O62="","",'Jul 2027'!O62))</f>
        <v/>
      </c>
      <c r="AJ293" s="345">
        <f>IF($A293="","",IF('Jul 2027'!O63="","",'Jul 2027'!O63))</f>
        <v/>
      </c>
      <c r="AK293" s="345">
        <f>IF($A293="","",IF('Jul 2027'!O64="","",'Jul 2027'!O64))</f>
        <v/>
      </c>
      <c r="AL293" s="345">
        <f>IF($A293="","",IF('Jul 2027'!O65="","",'Jul 2027'!O65))</f>
        <v/>
      </c>
      <c r="AM293" s="345">
        <f>IF($A293="","",IF('Jul 2027'!O66="","",'Jul 2027'!O66))</f>
        <v/>
      </c>
      <c r="AN293" s="345">
        <f>IF($A293="","",IF('Jul 2027'!O67="","",'Jul 2027'!O67))</f>
        <v/>
      </c>
      <c r="AO293" s="345">
        <f>IF($A293="",0,IF(AND($A293&gt;=TrackStart,$A293&lt;=TODAY()),1,0))</f>
        <v/>
      </c>
      <c r="AP293" s="345">
        <f>IF($A293="",0,IF(SUM(F293:AE293)+COUNT(AF293:AN293)&gt;0,1,0))</f>
        <v/>
      </c>
      <c r="AQ293" s="345">
        <f>IF($A293="","",INT(($A293-TrackStart)/7)+1)</f>
        <v/>
      </c>
      <c r="AR293" s="345">
        <f>IF($A293="","",IF(AQ293&lt;=1,Steps1,IF(AQ293=2,Steps2,Steps3)))</f>
        <v/>
      </c>
      <c r="AS293" s="345">
        <f>IF($A293="",0,IF(ISNUMBER(SEARCH(TEXT(D293,"0"),WorkDays&amp;"")),1,0))</f>
        <v/>
      </c>
      <c r="AT293" s="345">
        <f>IF($A293="",0,IF(ISNUMBER(SEARCH(TEXT(D293,"0"),StrDays&amp;"")),1,0))</f>
        <v/>
      </c>
      <c r="AU293" s="345">
        <f>IF($A293="",0,IF(ISNUMBER(AK293),IF(AK293&gt;=SleepMin,1,0),N293))</f>
        <v/>
      </c>
      <c r="AV293" s="345">
        <f>IF($A293="",0,MAX(I293,O293,S293,AC293))</f>
        <v/>
      </c>
      <c r="AW293" s="345">
        <f>IF($A293="",0,IF(ISNUMBER(AH293),IF(AH293&gt;=ProtHit,1,0),0))</f>
        <v/>
      </c>
      <c r="AX293" s="345">
        <f>IF($A293="",0,IF(ISNUMBER(AI293),IF(AI293&gt;=WaterHit,1,0),0))</f>
        <v/>
      </c>
      <c r="AY293" s="345">
        <f>IF($A293="",0,IF(ISNUMBER(AG293),IF(AG293&gt;=AR293,1,0),0))</f>
        <v/>
      </c>
      <c r="AZ293" s="345">
        <f>IF($A293="",0,G293)</f>
        <v/>
      </c>
      <c r="BA293" s="345">
        <f>IF($A293="",0,J293)</f>
        <v/>
      </c>
      <c r="BB293" s="345">
        <f>IF($A293="",0,K293)</f>
        <v/>
      </c>
      <c r="BC293" s="345">
        <f>IF($A293="",0,MAX(L293,AE293))</f>
        <v/>
      </c>
      <c r="BD293" s="344">
        <f>IF($A293="","",(AU293+AV293+AW293+AX293+AY293+AZ293+BB293+BC293+IF(AS293=1,BA293,0))/(8+AS293))</f>
        <v/>
      </c>
      <c r="BE293" s="344">
        <f>IF($A293="","",(IF(ISNUMBER(AI293),IF(AI293&gt;=WaterMVD,1,0),0)+AV293+IF(ISNUMBER(AH293),IF(AH293&gt;=ProtMVD,1,0),0)+MAX(H293,AD293)+AZ293+BB293+AU293)/7)</f>
        <v/>
      </c>
      <c r="BF293" s="344">
        <f>IF(AO293=0,"",IF(E293="S","",IF(AND(AP293=0,$A293=TODAY()),"",IF(E293="M",BE293,BD293))))</f>
        <v/>
      </c>
      <c r="BG293" s="344">
        <f>IF(AO293=0,"",IFERROR(AVERAGEIFS(Data!$BF$4:$BF$375,Data!$A$4:$A$375,"&gt;"&amp;($A293-7),Data!$A$4:$A$375,"&lt;="&amp;$A293),""))</f>
        <v/>
      </c>
      <c r="BH293" s="344">
        <f>IF(AO293=0,"",IFERROR(AVERAGEIFS(Data!$BF$4:$BF$375,Data!$A$4:$A$375,"&gt;"&amp;($A293-30),Data!$A$4:$A$375,"&lt;="&amp;$A293),""))</f>
        <v/>
      </c>
      <c r="BI293" s="359">
        <f>IF($A293="","",IFERROR(AVERAGEIFS(Data!$AF$4:$AF$375,Data!$A$4:$A$375,"&gt;"&amp;($A293-7),Data!$A$4:$A$375,"&lt;="&amp;$A293,Data!$AF$4:$AF$375,"&gt;0"),""))</f>
        <v/>
      </c>
      <c r="BJ293" s="345">
        <f>IF($A293="","",F293+G293+H293+I293+J293+K293+L293+M293+N293-IF(AS293=1,0,J293))</f>
        <v/>
      </c>
      <c r="BK293" s="345">
        <f>IF($A293="","",8+AS293)</f>
        <v/>
      </c>
      <c r="BL293" s="345">
        <f>IF(ISNUMBER(BF293),BF293,NA())</f>
        <v/>
      </c>
      <c r="BM293" s="345">
        <f>IF(ISNUMBER(AF293),AF293,NA())</f>
        <v/>
      </c>
      <c r="BN293" s="345">
        <f>IF(ISNUMBER(BI293),BI293,NA())</f>
        <v/>
      </c>
      <c r="BO293" s="345">
        <f>IF(ISNUMBER(AL293),AL293,NA())</f>
        <v/>
      </c>
      <c r="BP293" s="345">
        <f>IF(ISNUMBER(AM293),AM293,NA())</f>
        <v/>
      </c>
      <c r="BQ293" s="345">
        <f>IF(ISNUMBER(AN293),AN293,NA())</f>
        <v/>
      </c>
    </row>
    <row r="294">
      <c r="A294" s="358">
        <f>IF('Jul 2027'!P7="","",'Jul 2027'!P7)</f>
        <v/>
      </c>
      <c r="B294" s="345" t="n">
        <v>10</v>
      </c>
      <c r="C294" s="345">
        <f>IF($A294="","",12)</f>
        <v/>
      </c>
      <c r="D294" s="345">
        <f>IF($A294="","",WEEKDAY($A294,2))</f>
        <v/>
      </c>
      <c r="E294" s="345">
        <f>IF($A294="","",UPPER(TRIM('Jul 2027'!P8)))</f>
        <v/>
      </c>
      <c r="F294" s="345">
        <f>IF($A294="","",IF(OR('Jul 2027'!P10=TRUE,'Jul 2027'!P10="x",'Jul 2027'!P10="X"),1,0))</f>
        <v/>
      </c>
      <c r="G294" s="345">
        <f>IF($A294="","",IF(OR('Jul 2027'!P11=TRUE,'Jul 2027'!P11="x",'Jul 2027'!P11="X"),1,0))</f>
        <v/>
      </c>
      <c r="H294" s="345">
        <f>IF($A294="","",IF(OR('Jul 2027'!P12=TRUE,'Jul 2027'!P12="x",'Jul 2027'!P12="X"),1,0))</f>
        <v/>
      </c>
      <c r="I294" s="345">
        <f>IF($A294="","",IF(OR('Jul 2027'!P13=TRUE,'Jul 2027'!P13="x",'Jul 2027'!P13="X"),1,0))</f>
        <v/>
      </c>
      <c r="J294" s="345">
        <f>IF($A294="","",IF(OR('Jul 2027'!P14=TRUE,'Jul 2027'!P14="x",'Jul 2027'!P14="X"),1,0))</f>
        <v/>
      </c>
      <c r="K294" s="345">
        <f>IF($A294="","",IF(OR('Jul 2027'!P15=TRUE,'Jul 2027'!P15="x",'Jul 2027'!P15="X"),1,0))</f>
        <v/>
      </c>
      <c r="L294" s="345">
        <f>IF($A294="","",IF(OR('Jul 2027'!P16=TRUE,'Jul 2027'!P16="x",'Jul 2027'!P16="X"),1,0))</f>
        <v/>
      </c>
      <c r="M294" s="345">
        <f>IF($A294="","",IF(OR('Jul 2027'!P17=TRUE,'Jul 2027'!P17="x",'Jul 2027'!P17="X"),1,0))</f>
        <v/>
      </c>
      <c r="N294" s="345">
        <f>IF($A294="","",IF(OR('Jul 2027'!P18=TRUE,'Jul 2027'!P18="x",'Jul 2027'!P18="X"),1,0))</f>
        <v/>
      </c>
      <c r="O294" s="345">
        <f>IF($A294="","",IF(OR('Jul 2027'!P20=TRUE,'Jul 2027'!P20="x",'Jul 2027'!P20="X"),1,0))</f>
        <v/>
      </c>
      <c r="P294" s="345">
        <f>IF($A294="","",IF(OR('Jul 2027'!P21=TRUE,'Jul 2027'!P21="x",'Jul 2027'!P21="X"),1,0))</f>
        <v/>
      </c>
      <c r="Q294" s="345">
        <f>IF($A294="","",IF(OR('Jul 2027'!P22=TRUE,'Jul 2027'!P22="x",'Jul 2027'!P22="X"),1,0))</f>
        <v/>
      </c>
      <c r="R294" s="345">
        <f>IF($A294="","",IF(OR('Jul 2027'!P23=TRUE,'Jul 2027'!P23="x",'Jul 2027'!P23="X"),1,0))</f>
        <v/>
      </c>
      <c r="S294" s="345">
        <f>IF($A294="","",IF(OR('Jul 2027'!P24=TRUE,'Jul 2027'!P24="x",'Jul 2027'!P24="X"),1,0))</f>
        <v/>
      </c>
      <c r="T294" s="345">
        <f>IF($A294="","",IF(OR('Jul 2027'!P25=TRUE,'Jul 2027'!P25="x",'Jul 2027'!P25="X"),1,0))</f>
        <v/>
      </c>
      <c r="U294" s="345">
        <f>IF($A294="","",IF(OR('Jul 2027'!P26=TRUE,'Jul 2027'!P26="x",'Jul 2027'!P26="X"),1,0))</f>
        <v/>
      </c>
      <c r="V294" s="345">
        <f>IF($A294="","",IF(OR('Jul 2027'!P27=TRUE,'Jul 2027'!P27="x",'Jul 2027'!P27="X"),1,0))</f>
        <v/>
      </c>
      <c r="W294" s="345">
        <f>IF($A294="","",IF(OR('Jul 2027'!P28=TRUE,'Jul 2027'!P28="x",'Jul 2027'!P28="X"),1,0))</f>
        <v/>
      </c>
      <c r="X294" s="345">
        <f>IF($A294="","",IF(OR('Jul 2027'!P29=TRUE,'Jul 2027'!P29="x",'Jul 2027'!P29="X"),1,0))</f>
        <v/>
      </c>
      <c r="Y294" s="345">
        <f>IF($A294="","",IF(OR('Jul 2027'!P30=TRUE,'Jul 2027'!P30="x",'Jul 2027'!P30="X"),1,0))</f>
        <v/>
      </c>
      <c r="Z294" s="345">
        <f>IF($A294="","",IF(OR('Jul 2027'!P31=TRUE,'Jul 2027'!P31="x",'Jul 2027'!P31="X"),1,0))</f>
        <v/>
      </c>
      <c r="AA294" s="345">
        <f>IF($A294="","",IF(OR('Jul 2027'!P32=TRUE,'Jul 2027'!P32="x",'Jul 2027'!P32="X"),1,0))</f>
        <v/>
      </c>
      <c r="AB294" s="345">
        <f>IF($A294="","",IF(OR('Jul 2027'!P34=TRUE,'Jul 2027'!P34="x",'Jul 2027'!P34="X"),1,0))</f>
        <v/>
      </c>
      <c r="AC294" s="345">
        <f>IF($A294="","",IF(OR('Jul 2027'!P35=TRUE,'Jul 2027'!P35="x",'Jul 2027'!P35="X"),1,0))</f>
        <v/>
      </c>
      <c r="AD294" s="345">
        <f>IF($A294="","",IF(OR('Jul 2027'!P36=TRUE,'Jul 2027'!P36="x",'Jul 2027'!P36="X"),1,0))</f>
        <v/>
      </c>
      <c r="AE294" s="345">
        <f>IF($A294="","",IF(OR('Jul 2027'!P37=TRUE,'Jul 2027'!P37="x",'Jul 2027'!P37="X"),1,0))</f>
        <v/>
      </c>
      <c r="AF294" s="345">
        <f>IF($A294="","",IF('Jul 2027'!P59="","",'Jul 2027'!P59))</f>
        <v/>
      </c>
      <c r="AG294" s="345">
        <f>IF($A294="","",IF('Jul 2027'!P60="","",'Jul 2027'!P60))</f>
        <v/>
      </c>
      <c r="AH294" s="345">
        <f>IF($A294="","",IF('Jul 2027'!P61="","",'Jul 2027'!P61))</f>
        <v/>
      </c>
      <c r="AI294" s="345">
        <f>IF($A294="","",IF('Jul 2027'!P62="","",'Jul 2027'!P62))</f>
        <v/>
      </c>
      <c r="AJ294" s="345">
        <f>IF($A294="","",IF('Jul 2027'!P63="","",'Jul 2027'!P63))</f>
        <v/>
      </c>
      <c r="AK294" s="345">
        <f>IF($A294="","",IF('Jul 2027'!P64="","",'Jul 2027'!P64))</f>
        <v/>
      </c>
      <c r="AL294" s="345">
        <f>IF($A294="","",IF('Jul 2027'!P65="","",'Jul 2027'!P65))</f>
        <v/>
      </c>
      <c r="AM294" s="345">
        <f>IF($A294="","",IF('Jul 2027'!P66="","",'Jul 2027'!P66))</f>
        <v/>
      </c>
      <c r="AN294" s="345">
        <f>IF($A294="","",IF('Jul 2027'!P67="","",'Jul 2027'!P67))</f>
        <v/>
      </c>
      <c r="AO294" s="345">
        <f>IF($A294="",0,IF(AND($A294&gt;=TrackStart,$A294&lt;=TODAY()),1,0))</f>
        <v/>
      </c>
      <c r="AP294" s="345">
        <f>IF($A294="",0,IF(SUM(F294:AE294)+COUNT(AF294:AN294)&gt;0,1,0))</f>
        <v/>
      </c>
      <c r="AQ294" s="345">
        <f>IF($A294="","",INT(($A294-TrackStart)/7)+1)</f>
        <v/>
      </c>
      <c r="AR294" s="345">
        <f>IF($A294="","",IF(AQ294&lt;=1,Steps1,IF(AQ294=2,Steps2,Steps3)))</f>
        <v/>
      </c>
      <c r="AS294" s="345">
        <f>IF($A294="",0,IF(ISNUMBER(SEARCH(TEXT(D294,"0"),WorkDays&amp;"")),1,0))</f>
        <v/>
      </c>
      <c r="AT294" s="345">
        <f>IF($A294="",0,IF(ISNUMBER(SEARCH(TEXT(D294,"0"),StrDays&amp;"")),1,0))</f>
        <v/>
      </c>
      <c r="AU294" s="345">
        <f>IF($A294="",0,IF(ISNUMBER(AK294),IF(AK294&gt;=SleepMin,1,0),N294))</f>
        <v/>
      </c>
      <c r="AV294" s="345">
        <f>IF($A294="",0,MAX(I294,O294,S294,AC294))</f>
        <v/>
      </c>
      <c r="AW294" s="345">
        <f>IF($A294="",0,IF(ISNUMBER(AH294),IF(AH294&gt;=ProtHit,1,0),0))</f>
        <v/>
      </c>
      <c r="AX294" s="345">
        <f>IF($A294="",0,IF(ISNUMBER(AI294),IF(AI294&gt;=WaterHit,1,0),0))</f>
        <v/>
      </c>
      <c r="AY294" s="345">
        <f>IF($A294="",0,IF(ISNUMBER(AG294),IF(AG294&gt;=AR294,1,0),0))</f>
        <v/>
      </c>
      <c r="AZ294" s="345">
        <f>IF($A294="",0,G294)</f>
        <v/>
      </c>
      <c r="BA294" s="345">
        <f>IF($A294="",0,J294)</f>
        <v/>
      </c>
      <c r="BB294" s="345">
        <f>IF($A294="",0,K294)</f>
        <v/>
      </c>
      <c r="BC294" s="345">
        <f>IF($A294="",0,MAX(L294,AE294))</f>
        <v/>
      </c>
      <c r="BD294" s="344">
        <f>IF($A294="","",(AU294+AV294+AW294+AX294+AY294+AZ294+BB294+BC294+IF(AS294=1,BA294,0))/(8+AS294))</f>
        <v/>
      </c>
      <c r="BE294" s="344">
        <f>IF($A294="","",(IF(ISNUMBER(AI294),IF(AI294&gt;=WaterMVD,1,0),0)+AV294+IF(ISNUMBER(AH294),IF(AH294&gt;=ProtMVD,1,0),0)+MAX(H294,AD294)+AZ294+BB294+AU294)/7)</f>
        <v/>
      </c>
      <c r="BF294" s="344">
        <f>IF(AO294=0,"",IF(E294="S","",IF(AND(AP294=0,$A294=TODAY()),"",IF(E294="M",BE294,BD294))))</f>
        <v/>
      </c>
      <c r="BG294" s="344">
        <f>IF(AO294=0,"",IFERROR(AVERAGEIFS(Data!$BF$4:$BF$375,Data!$A$4:$A$375,"&gt;"&amp;($A294-7),Data!$A$4:$A$375,"&lt;="&amp;$A294),""))</f>
        <v/>
      </c>
      <c r="BH294" s="344">
        <f>IF(AO294=0,"",IFERROR(AVERAGEIFS(Data!$BF$4:$BF$375,Data!$A$4:$A$375,"&gt;"&amp;($A294-30),Data!$A$4:$A$375,"&lt;="&amp;$A294),""))</f>
        <v/>
      </c>
      <c r="BI294" s="359">
        <f>IF($A294="","",IFERROR(AVERAGEIFS(Data!$AF$4:$AF$375,Data!$A$4:$A$375,"&gt;"&amp;($A294-7),Data!$A$4:$A$375,"&lt;="&amp;$A294,Data!$AF$4:$AF$375,"&gt;0"),""))</f>
        <v/>
      </c>
      <c r="BJ294" s="345">
        <f>IF($A294="","",F294+G294+H294+I294+J294+K294+L294+M294+N294-IF(AS294=1,0,J294))</f>
        <v/>
      </c>
      <c r="BK294" s="345">
        <f>IF($A294="","",8+AS294)</f>
        <v/>
      </c>
      <c r="BL294" s="345">
        <f>IF(ISNUMBER(BF294),BF294,NA())</f>
        <v/>
      </c>
      <c r="BM294" s="345">
        <f>IF(ISNUMBER(AF294),AF294,NA())</f>
        <v/>
      </c>
      <c r="BN294" s="345">
        <f>IF(ISNUMBER(BI294),BI294,NA())</f>
        <v/>
      </c>
      <c r="BO294" s="345">
        <f>IF(ISNUMBER(AL294),AL294,NA())</f>
        <v/>
      </c>
      <c r="BP294" s="345">
        <f>IF(ISNUMBER(AM294),AM294,NA())</f>
        <v/>
      </c>
      <c r="BQ294" s="345">
        <f>IF(ISNUMBER(AN294),AN294,NA())</f>
        <v/>
      </c>
    </row>
    <row r="295">
      <c r="A295" s="358">
        <f>IF('Jul 2027'!Q7="","",'Jul 2027'!Q7)</f>
        <v/>
      </c>
      <c r="B295" s="345" t="n">
        <v>10</v>
      </c>
      <c r="C295" s="345">
        <f>IF($A295="","",13)</f>
        <v/>
      </c>
      <c r="D295" s="345">
        <f>IF($A295="","",WEEKDAY($A295,2))</f>
        <v/>
      </c>
      <c r="E295" s="345">
        <f>IF($A295="","",UPPER(TRIM('Jul 2027'!Q8)))</f>
        <v/>
      </c>
      <c r="F295" s="345">
        <f>IF($A295="","",IF(OR('Jul 2027'!Q10=TRUE,'Jul 2027'!Q10="x",'Jul 2027'!Q10="X"),1,0))</f>
        <v/>
      </c>
      <c r="G295" s="345">
        <f>IF($A295="","",IF(OR('Jul 2027'!Q11=TRUE,'Jul 2027'!Q11="x",'Jul 2027'!Q11="X"),1,0))</f>
        <v/>
      </c>
      <c r="H295" s="345">
        <f>IF($A295="","",IF(OR('Jul 2027'!Q12=TRUE,'Jul 2027'!Q12="x",'Jul 2027'!Q12="X"),1,0))</f>
        <v/>
      </c>
      <c r="I295" s="345">
        <f>IF($A295="","",IF(OR('Jul 2027'!Q13=TRUE,'Jul 2027'!Q13="x",'Jul 2027'!Q13="X"),1,0))</f>
        <v/>
      </c>
      <c r="J295" s="345">
        <f>IF($A295="","",IF(OR('Jul 2027'!Q14=TRUE,'Jul 2027'!Q14="x",'Jul 2027'!Q14="X"),1,0))</f>
        <v/>
      </c>
      <c r="K295" s="345">
        <f>IF($A295="","",IF(OR('Jul 2027'!Q15=TRUE,'Jul 2027'!Q15="x",'Jul 2027'!Q15="X"),1,0))</f>
        <v/>
      </c>
      <c r="L295" s="345">
        <f>IF($A295="","",IF(OR('Jul 2027'!Q16=TRUE,'Jul 2027'!Q16="x",'Jul 2027'!Q16="X"),1,0))</f>
        <v/>
      </c>
      <c r="M295" s="345">
        <f>IF($A295="","",IF(OR('Jul 2027'!Q17=TRUE,'Jul 2027'!Q17="x",'Jul 2027'!Q17="X"),1,0))</f>
        <v/>
      </c>
      <c r="N295" s="345">
        <f>IF($A295="","",IF(OR('Jul 2027'!Q18=TRUE,'Jul 2027'!Q18="x",'Jul 2027'!Q18="X"),1,0))</f>
        <v/>
      </c>
      <c r="O295" s="345">
        <f>IF($A295="","",IF(OR('Jul 2027'!Q20=TRUE,'Jul 2027'!Q20="x",'Jul 2027'!Q20="X"),1,0))</f>
        <v/>
      </c>
      <c r="P295" s="345">
        <f>IF($A295="","",IF(OR('Jul 2027'!Q21=TRUE,'Jul 2027'!Q21="x",'Jul 2027'!Q21="X"),1,0))</f>
        <v/>
      </c>
      <c r="Q295" s="345">
        <f>IF($A295="","",IF(OR('Jul 2027'!Q22=TRUE,'Jul 2027'!Q22="x",'Jul 2027'!Q22="X"),1,0))</f>
        <v/>
      </c>
      <c r="R295" s="345">
        <f>IF($A295="","",IF(OR('Jul 2027'!Q23=TRUE,'Jul 2027'!Q23="x",'Jul 2027'!Q23="X"),1,0))</f>
        <v/>
      </c>
      <c r="S295" s="345">
        <f>IF($A295="","",IF(OR('Jul 2027'!Q24=TRUE,'Jul 2027'!Q24="x",'Jul 2027'!Q24="X"),1,0))</f>
        <v/>
      </c>
      <c r="T295" s="345">
        <f>IF($A295="","",IF(OR('Jul 2027'!Q25=TRUE,'Jul 2027'!Q25="x",'Jul 2027'!Q25="X"),1,0))</f>
        <v/>
      </c>
      <c r="U295" s="345">
        <f>IF($A295="","",IF(OR('Jul 2027'!Q26=TRUE,'Jul 2027'!Q26="x",'Jul 2027'!Q26="X"),1,0))</f>
        <v/>
      </c>
      <c r="V295" s="345">
        <f>IF($A295="","",IF(OR('Jul 2027'!Q27=TRUE,'Jul 2027'!Q27="x",'Jul 2027'!Q27="X"),1,0))</f>
        <v/>
      </c>
      <c r="W295" s="345">
        <f>IF($A295="","",IF(OR('Jul 2027'!Q28=TRUE,'Jul 2027'!Q28="x",'Jul 2027'!Q28="X"),1,0))</f>
        <v/>
      </c>
      <c r="X295" s="345">
        <f>IF($A295="","",IF(OR('Jul 2027'!Q29=TRUE,'Jul 2027'!Q29="x",'Jul 2027'!Q29="X"),1,0))</f>
        <v/>
      </c>
      <c r="Y295" s="345">
        <f>IF($A295="","",IF(OR('Jul 2027'!Q30=TRUE,'Jul 2027'!Q30="x",'Jul 2027'!Q30="X"),1,0))</f>
        <v/>
      </c>
      <c r="Z295" s="345">
        <f>IF($A295="","",IF(OR('Jul 2027'!Q31=TRUE,'Jul 2027'!Q31="x",'Jul 2027'!Q31="X"),1,0))</f>
        <v/>
      </c>
      <c r="AA295" s="345">
        <f>IF($A295="","",IF(OR('Jul 2027'!Q32=TRUE,'Jul 2027'!Q32="x",'Jul 2027'!Q32="X"),1,0))</f>
        <v/>
      </c>
      <c r="AB295" s="345">
        <f>IF($A295="","",IF(OR('Jul 2027'!Q34=TRUE,'Jul 2027'!Q34="x",'Jul 2027'!Q34="X"),1,0))</f>
        <v/>
      </c>
      <c r="AC295" s="345">
        <f>IF($A295="","",IF(OR('Jul 2027'!Q35=TRUE,'Jul 2027'!Q35="x",'Jul 2027'!Q35="X"),1,0))</f>
        <v/>
      </c>
      <c r="AD295" s="345">
        <f>IF($A295="","",IF(OR('Jul 2027'!Q36=TRUE,'Jul 2027'!Q36="x",'Jul 2027'!Q36="X"),1,0))</f>
        <v/>
      </c>
      <c r="AE295" s="345">
        <f>IF($A295="","",IF(OR('Jul 2027'!Q37=TRUE,'Jul 2027'!Q37="x",'Jul 2027'!Q37="X"),1,0))</f>
        <v/>
      </c>
      <c r="AF295" s="345">
        <f>IF($A295="","",IF('Jul 2027'!Q59="","",'Jul 2027'!Q59))</f>
        <v/>
      </c>
      <c r="AG295" s="345">
        <f>IF($A295="","",IF('Jul 2027'!Q60="","",'Jul 2027'!Q60))</f>
        <v/>
      </c>
      <c r="AH295" s="345">
        <f>IF($A295="","",IF('Jul 2027'!Q61="","",'Jul 2027'!Q61))</f>
        <v/>
      </c>
      <c r="AI295" s="345">
        <f>IF($A295="","",IF('Jul 2027'!Q62="","",'Jul 2027'!Q62))</f>
        <v/>
      </c>
      <c r="AJ295" s="345">
        <f>IF($A295="","",IF('Jul 2027'!Q63="","",'Jul 2027'!Q63))</f>
        <v/>
      </c>
      <c r="AK295" s="345">
        <f>IF($A295="","",IF('Jul 2027'!Q64="","",'Jul 2027'!Q64))</f>
        <v/>
      </c>
      <c r="AL295" s="345">
        <f>IF($A295="","",IF('Jul 2027'!Q65="","",'Jul 2027'!Q65))</f>
        <v/>
      </c>
      <c r="AM295" s="345">
        <f>IF($A295="","",IF('Jul 2027'!Q66="","",'Jul 2027'!Q66))</f>
        <v/>
      </c>
      <c r="AN295" s="345">
        <f>IF($A295="","",IF('Jul 2027'!Q67="","",'Jul 2027'!Q67))</f>
        <v/>
      </c>
      <c r="AO295" s="345">
        <f>IF($A295="",0,IF(AND($A295&gt;=TrackStart,$A295&lt;=TODAY()),1,0))</f>
        <v/>
      </c>
      <c r="AP295" s="345">
        <f>IF($A295="",0,IF(SUM(F295:AE295)+COUNT(AF295:AN295)&gt;0,1,0))</f>
        <v/>
      </c>
      <c r="AQ295" s="345">
        <f>IF($A295="","",INT(($A295-TrackStart)/7)+1)</f>
        <v/>
      </c>
      <c r="AR295" s="345">
        <f>IF($A295="","",IF(AQ295&lt;=1,Steps1,IF(AQ295=2,Steps2,Steps3)))</f>
        <v/>
      </c>
      <c r="AS295" s="345">
        <f>IF($A295="",0,IF(ISNUMBER(SEARCH(TEXT(D295,"0"),WorkDays&amp;"")),1,0))</f>
        <v/>
      </c>
      <c r="AT295" s="345">
        <f>IF($A295="",0,IF(ISNUMBER(SEARCH(TEXT(D295,"0"),StrDays&amp;"")),1,0))</f>
        <v/>
      </c>
      <c r="AU295" s="345">
        <f>IF($A295="",0,IF(ISNUMBER(AK295),IF(AK295&gt;=SleepMin,1,0),N295))</f>
        <v/>
      </c>
      <c r="AV295" s="345">
        <f>IF($A295="",0,MAX(I295,O295,S295,AC295))</f>
        <v/>
      </c>
      <c r="AW295" s="345">
        <f>IF($A295="",0,IF(ISNUMBER(AH295),IF(AH295&gt;=ProtHit,1,0),0))</f>
        <v/>
      </c>
      <c r="AX295" s="345">
        <f>IF($A295="",0,IF(ISNUMBER(AI295),IF(AI295&gt;=WaterHit,1,0),0))</f>
        <v/>
      </c>
      <c r="AY295" s="345">
        <f>IF($A295="",0,IF(ISNUMBER(AG295),IF(AG295&gt;=AR295,1,0),0))</f>
        <v/>
      </c>
      <c r="AZ295" s="345">
        <f>IF($A295="",0,G295)</f>
        <v/>
      </c>
      <c r="BA295" s="345">
        <f>IF($A295="",0,J295)</f>
        <v/>
      </c>
      <c r="BB295" s="345">
        <f>IF($A295="",0,K295)</f>
        <v/>
      </c>
      <c r="BC295" s="345">
        <f>IF($A295="",0,MAX(L295,AE295))</f>
        <v/>
      </c>
      <c r="BD295" s="344">
        <f>IF($A295="","",(AU295+AV295+AW295+AX295+AY295+AZ295+BB295+BC295+IF(AS295=1,BA295,0))/(8+AS295))</f>
        <v/>
      </c>
      <c r="BE295" s="344">
        <f>IF($A295="","",(IF(ISNUMBER(AI295),IF(AI295&gt;=WaterMVD,1,0),0)+AV295+IF(ISNUMBER(AH295),IF(AH295&gt;=ProtMVD,1,0),0)+MAX(H295,AD295)+AZ295+BB295+AU295)/7)</f>
        <v/>
      </c>
      <c r="BF295" s="344">
        <f>IF(AO295=0,"",IF(E295="S","",IF(AND(AP295=0,$A295=TODAY()),"",IF(E295="M",BE295,BD295))))</f>
        <v/>
      </c>
      <c r="BG295" s="344">
        <f>IF(AO295=0,"",IFERROR(AVERAGEIFS(Data!$BF$4:$BF$375,Data!$A$4:$A$375,"&gt;"&amp;($A295-7),Data!$A$4:$A$375,"&lt;="&amp;$A295),""))</f>
        <v/>
      </c>
      <c r="BH295" s="344">
        <f>IF(AO295=0,"",IFERROR(AVERAGEIFS(Data!$BF$4:$BF$375,Data!$A$4:$A$375,"&gt;"&amp;($A295-30),Data!$A$4:$A$375,"&lt;="&amp;$A295),""))</f>
        <v/>
      </c>
      <c r="BI295" s="359">
        <f>IF($A295="","",IFERROR(AVERAGEIFS(Data!$AF$4:$AF$375,Data!$A$4:$A$375,"&gt;"&amp;($A295-7),Data!$A$4:$A$375,"&lt;="&amp;$A295,Data!$AF$4:$AF$375,"&gt;0"),""))</f>
        <v/>
      </c>
      <c r="BJ295" s="345">
        <f>IF($A295="","",F295+G295+H295+I295+J295+K295+L295+M295+N295-IF(AS295=1,0,J295))</f>
        <v/>
      </c>
      <c r="BK295" s="345">
        <f>IF($A295="","",8+AS295)</f>
        <v/>
      </c>
      <c r="BL295" s="345">
        <f>IF(ISNUMBER(BF295),BF295,NA())</f>
        <v/>
      </c>
      <c r="BM295" s="345">
        <f>IF(ISNUMBER(AF295),AF295,NA())</f>
        <v/>
      </c>
      <c r="BN295" s="345">
        <f>IF(ISNUMBER(BI295),BI295,NA())</f>
        <v/>
      </c>
      <c r="BO295" s="345">
        <f>IF(ISNUMBER(AL295),AL295,NA())</f>
        <v/>
      </c>
      <c r="BP295" s="345">
        <f>IF(ISNUMBER(AM295),AM295,NA())</f>
        <v/>
      </c>
      <c r="BQ295" s="345">
        <f>IF(ISNUMBER(AN295),AN295,NA())</f>
        <v/>
      </c>
    </row>
    <row r="296">
      <c r="A296" s="358">
        <f>IF('Jul 2027'!R7="","",'Jul 2027'!R7)</f>
        <v/>
      </c>
      <c r="B296" s="345" t="n">
        <v>10</v>
      </c>
      <c r="C296" s="345">
        <f>IF($A296="","",14)</f>
        <v/>
      </c>
      <c r="D296" s="345">
        <f>IF($A296="","",WEEKDAY($A296,2))</f>
        <v/>
      </c>
      <c r="E296" s="345">
        <f>IF($A296="","",UPPER(TRIM('Jul 2027'!R8)))</f>
        <v/>
      </c>
      <c r="F296" s="345">
        <f>IF($A296="","",IF(OR('Jul 2027'!R10=TRUE,'Jul 2027'!R10="x",'Jul 2027'!R10="X"),1,0))</f>
        <v/>
      </c>
      <c r="G296" s="345">
        <f>IF($A296="","",IF(OR('Jul 2027'!R11=TRUE,'Jul 2027'!R11="x",'Jul 2027'!R11="X"),1,0))</f>
        <v/>
      </c>
      <c r="H296" s="345">
        <f>IF($A296="","",IF(OR('Jul 2027'!R12=TRUE,'Jul 2027'!R12="x",'Jul 2027'!R12="X"),1,0))</f>
        <v/>
      </c>
      <c r="I296" s="345">
        <f>IF($A296="","",IF(OR('Jul 2027'!R13=TRUE,'Jul 2027'!R13="x",'Jul 2027'!R13="X"),1,0))</f>
        <v/>
      </c>
      <c r="J296" s="345">
        <f>IF($A296="","",IF(OR('Jul 2027'!R14=TRUE,'Jul 2027'!R14="x",'Jul 2027'!R14="X"),1,0))</f>
        <v/>
      </c>
      <c r="K296" s="345">
        <f>IF($A296="","",IF(OR('Jul 2027'!R15=TRUE,'Jul 2027'!R15="x",'Jul 2027'!R15="X"),1,0))</f>
        <v/>
      </c>
      <c r="L296" s="345">
        <f>IF($A296="","",IF(OR('Jul 2027'!R16=TRUE,'Jul 2027'!R16="x",'Jul 2027'!R16="X"),1,0))</f>
        <v/>
      </c>
      <c r="M296" s="345">
        <f>IF($A296="","",IF(OR('Jul 2027'!R17=TRUE,'Jul 2027'!R17="x",'Jul 2027'!R17="X"),1,0))</f>
        <v/>
      </c>
      <c r="N296" s="345">
        <f>IF($A296="","",IF(OR('Jul 2027'!R18=TRUE,'Jul 2027'!R18="x",'Jul 2027'!R18="X"),1,0))</f>
        <v/>
      </c>
      <c r="O296" s="345">
        <f>IF($A296="","",IF(OR('Jul 2027'!R20=TRUE,'Jul 2027'!R20="x",'Jul 2027'!R20="X"),1,0))</f>
        <v/>
      </c>
      <c r="P296" s="345">
        <f>IF($A296="","",IF(OR('Jul 2027'!R21=TRUE,'Jul 2027'!R21="x",'Jul 2027'!R21="X"),1,0))</f>
        <v/>
      </c>
      <c r="Q296" s="345">
        <f>IF($A296="","",IF(OR('Jul 2027'!R22=TRUE,'Jul 2027'!R22="x",'Jul 2027'!R22="X"),1,0))</f>
        <v/>
      </c>
      <c r="R296" s="345">
        <f>IF($A296="","",IF(OR('Jul 2027'!R23=TRUE,'Jul 2027'!R23="x",'Jul 2027'!R23="X"),1,0))</f>
        <v/>
      </c>
      <c r="S296" s="345">
        <f>IF($A296="","",IF(OR('Jul 2027'!R24=TRUE,'Jul 2027'!R24="x",'Jul 2027'!R24="X"),1,0))</f>
        <v/>
      </c>
      <c r="T296" s="345">
        <f>IF($A296="","",IF(OR('Jul 2027'!R25=TRUE,'Jul 2027'!R25="x",'Jul 2027'!R25="X"),1,0))</f>
        <v/>
      </c>
      <c r="U296" s="345">
        <f>IF($A296="","",IF(OR('Jul 2027'!R26=TRUE,'Jul 2027'!R26="x",'Jul 2027'!R26="X"),1,0))</f>
        <v/>
      </c>
      <c r="V296" s="345">
        <f>IF($A296="","",IF(OR('Jul 2027'!R27=TRUE,'Jul 2027'!R27="x",'Jul 2027'!R27="X"),1,0))</f>
        <v/>
      </c>
      <c r="W296" s="345">
        <f>IF($A296="","",IF(OR('Jul 2027'!R28=TRUE,'Jul 2027'!R28="x",'Jul 2027'!R28="X"),1,0))</f>
        <v/>
      </c>
      <c r="X296" s="345">
        <f>IF($A296="","",IF(OR('Jul 2027'!R29=TRUE,'Jul 2027'!R29="x",'Jul 2027'!R29="X"),1,0))</f>
        <v/>
      </c>
      <c r="Y296" s="345">
        <f>IF($A296="","",IF(OR('Jul 2027'!R30=TRUE,'Jul 2027'!R30="x",'Jul 2027'!R30="X"),1,0))</f>
        <v/>
      </c>
      <c r="Z296" s="345">
        <f>IF($A296="","",IF(OR('Jul 2027'!R31=TRUE,'Jul 2027'!R31="x",'Jul 2027'!R31="X"),1,0))</f>
        <v/>
      </c>
      <c r="AA296" s="345">
        <f>IF($A296="","",IF(OR('Jul 2027'!R32=TRUE,'Jul 2027'!R32="x",'Jul 2027'!R32="X"),1,0))</f>
        <v/>
      </c>
      <c r="AB296" s="345">
        <f>IF($A296="","",IF(OR('Jul 2027'!R34=TRUE,'Jul 2027'!R34="x",'Jul 2027'!R34="X"),1,0))</f>
        <v/>
      </c>
      <c r="AC296" s="345">
        <f>IF($A296="","",IF(OR('Jul 2027'!R35=TRUE,'Jul 2027'!R35="x",'Jul 2027'!R35="X"),1,0))</f>
        <v/>
      </c>
      <c r="AD296" s="345">
        <f>IF($A296="","",IF(OR('Jul 2027'!R36=TRUE,'Jul 2027'!R36="x",'Jul 2027'!R36="X"),1,0))</f>
        <v/>
      </c>
      <c r="AE296" s="345">
        <f>IF($A296="","",IF(OR('Jul 2027'!R37=TRUE,'Jul 2027'!R37="x",'Jul 2027'!R37="X"),1,0))</f>
        <v/>
      </c>
      <c r="AF296" s="345">
        <f>IF($A296="","",IF('Jul 2027'!R59="","",'Jul 2027'!R59))</f>
        <v/>
      </c>
      <c r="AG296" s="345">
        <f>IF($A296="","",IF('Jul 2027'!R60="","",'Jul 2027'!R60))</f>
        <v/>
      </c>
      <c r="AH296" s="345">
        <f>IF($A296="","",IF('Jul 2027'!R61="","",'Jul 2027'!R61))</f>
        <v/>
      </c>
      <c r="AI296" s="345">
        <f>IF($A296="","",IF('Jul 2027'!R62="","",'Jul 2027'!R62))</f>
        <v/>
      </c>
      <c r="AJ296" s="345">
        <f>IF($A296="","",IF('Jul 2027'!R63="","",'Jul 2027'!R63))</f>
        <v/>
      </c>
      <c r="AK296" s="345">
        <f>IF($A296="","",IF('Jul 2027'!R64="","",'Jul 2027'!R64))</f>
        <v/>
      </c>
      <c r="AL296" s="345">
        <f>IF($A296="","",IF('Jul 2027'!R65="","",'Jul 2027'!R65))</f>
        <v/>
      </c>
      <c r="AM296" s="345">
        <f>IF($A296="","",IF('Jul 2027'!R66="","",'Jul 2027'!R66))</f>
        <v/>
      </c>
      <c r="AN296" s="345">
        <f>IF($A296="","",IF('Jul 2027'!R67="","",'Jul 2027'!R67))</f>
        <v/>
      </c>
      <c r="AO296" s="345">
        <f>IF($A296="",0,IF(AND($A296&gt;=TrackStart,$A296&lt;=TODAY()),1,0))</f>
        <v/>
      </c>
      <c r="AP296" s="345">
        <f>IF($A296="",0,IF(SUM(F296:AE296)+COUNT(AF296:AN296)&gt;0,1,0))</f>
        <v/>
      </c>
      <c r="AQ296" s="345">
        <f>IF($A296="","",INT(($A296-TrackStart)/7)+1)</f>
        <v/>
      </c>
      <c r="AR296" s="345">
        <f>IF($A296="","",IF(AQ296&lt;=1,Steps1,IF(AQ296=2,Steps2,Steps3)))</f>
        <v/>
      </c>
      <c r="AS296" s="345">
        <f>IF($A296="",0,IF(ISNUMBER(SEARCH(TEXT(D296,"0"),WorkDays&amp;"")),1,0))</f>
        <v/>
      </c>
      <c r="AT296" s="345">
        <f>IF($A296="",0,IF(ISNUMBER(SEARCH(TEXT(D296,"0"),StrDays&amp;"")),1,0))</f>
        <v/>
      </c>
      <c r="AU296" s="345">
        <f>IF($A296="",0,IF(ISNUMBER(AK296),IF(AK296&gt;=SleepMin,1,0),N296))</f>
        <v/>
      </c>
      <c r="AV296" s="345">
        <f>IF($A296="",0,MAX(I296,O296,S296,AC296))</f>
        <v/>
      </c>
      <c r="AW296" s="345">
        <f>IF($A296="",0,IF(ISNUMBER(AH296),IF(AH296&gt;=ProtHit,1,0),0))</f>
        <v/>
      </c>
      <c r="AX296" s="345">
        <f>IF($A296="",0,IF(ISNUMBER(AI296),IF(AI296&gt;=WaterHit,1,0),0))</f>
        <v/>
      </c>
      <c r="AY296" s="345">
        <f>IF($A296="",0,IF(ISNUMBER(AG296),IF(AG296&gt;=AR296,1,0),0))</f>
        <v/>
      </c>
      <c r="AZ296" s="345">
        <f>IF($A296="",0,G296)</f>
        <v/>
      </c>
      <c r="BA296" s="345">
        <f>IF($A296="",0,J296)</f>
        <v/>
      </c>
      <c r="BB296" s="345">
        <f>IF($A296="",0,K296)</f>
        <v/>
      </c>
      <c r="BC296" s="345">
        <f>IF($A296="",0,MAX(L296,AE296))</f>
        <v/>
      </c>
      <c r="BD296" s="344">
        <f>IF($A296="","",(AU296+AV296+AW296+AX296+AY296+AZ296+BB296+BC296+IF(AS296=1,BA296,0))/(8+AS296))</f>
        <v/>
      </c>
      <c r="BE296" s="344">
        <f>IF($A296="","",(IF(ISNUMBER(AI296),IF(AI296&gt;=WaterMVD,1,0),0)+AV296+IF(ISNUMBER(AH296),IF(AH296&gt;=ProtMVD,1,0),0)+MAX(H296,AD296)+AZ296+BB296+AU296)/7)</f>
        <v/>
      </c>
      <c r="BF296" s="344">
        <f>IF(AO296=0,"",IF(E296="S","",IF(AND(AP296=0,$A296=TODAY()),"",IF(E296="M",BE296,BD296))))</f>
        <v/>
      </c>
      <c r="BG296" s="344">
        <f>IF(AO296=0,"",IFERROR(AVERAGEIFS(Data!$BF$4:$BF$375,Data!$A$4:$A$375,"&gt;"&amp;($A296-7),Data!$A$4:$A$375,"&lt;="&amp;$A296),""))</f>
        <v/>
      </c>
      <c r="BH296" s="344">
        <f>IF(AO296=0,"",IFERROR(AVERAGEIFS(Data!$BF$4:$BF$375,Data!$A$4:$A$375,"&gt;"&amp;($A296-30),Data!$A$4:$A$375,"&lt;="&amp;$A296),""))</f>
        <v/>
      </c>
      <c r="BI296" s="359">
        <f>IF($A296="","",IFERROR(AVERAGEIFS(Data!$AF$4:$AF$375,Data!$A$4:$A$375,"&gt;"&amp;($A296-7),Data!$A$4:$A$375,"&lt;="&amp;$A296,Data!$AF$4:$AF$375,"&gt;0"),""))</f>
        <v/>
      </c>
      <c r="BJ296" s="345">
        <f>IF($A296="","",F296+G296+H296+I296+J296+K296+L296+M296+N296-IF(AS296=1,0,J296))</f>
        <v/>
      </c>
      <c r="BK296" s="345">
        <f>IF($A296="","",8+AS296)</f>
        <v/>
      </c>
      <c r="BL296" s="345">
        <f>IF(ISNUMBER(BF296),BF296,NA())</f>
        <v/>
      </c>
      <c r="BM296" s="345">
        <f>IF(ISNUMBER(AF296),AF296,NA())</f>
        <v/>
      </c>
      <c r="BN296" s="345">
        <f>IF(ISNUMBER(BI296),BI296,NA())</f>
        <v/>
      </c>
      <c r="BO296" s="345">
        <f>IF(ISNUMBER(AL296),AL296,NA())</f>
        <v/>
      </c>
      <c r="BP296" s="345">
        <f>IF(ISNUMBER(AM296),AM296,NA())</f>
        <v/>
      </c>
      <c r="BQ296" s="345">
        <f>IF(ISNUMBER(AN296),AN296,NA())</f>
        <v/>
      </c>
    </row>
    <row r="297">
      <c r="A297" s="358">
        <f>IF('Jul 2027'!S7="","",'Jul 2027'!S7)</f>
        <v/>
      </c>
      <c r="B297" s="345" t="n">
        <v>10</v>
      </c>
      <c r="C297" s="345">
        <f>IF($A297="","",15)</f>
        <v/>
      </c>
      <c r="D297" s="345">
        <f>IF($A297="","",WEEKDAY($A297,2))</f>
        <v/>
      </c>
      <c r="E297" s="345">
        <f>IF($A297="","",UPPER(TRIM('Jul 2027'!S8)))</f>
        <v/>
      </c>
      <c r="F297" s="345">
        <f>IF($A297="","",IF(OR('Jul 2027'!S10=TRUE,'Jul 2027'!S10="x",'Jul 2027'!S10="X"),1,0))</f>
        <v/>
      </c>
      <c r="G297" s="345">
        <f>IF($A297="","",IF(OR('Jul 2027'!S11=TRUE,'Jul 2027'!S11="x",'Jul 2027'!S11="X"),1,0))</f>
        <v/>
      </c>
      <c r="H297" s="345">
        <f>IF($A297="","",IF(OR('Jul 2027'!S12=TRUE,'Jul 2027'!S12="x",'Jul 2027'!S12="X"),1,0))</f>
        <v/>
      </c>
      <c r="I297" s="345">
        <f>IF($A297="","",IF(OR('Jul 2027'!S13=TRUE,'Jul 2027'!S13="x",'Jul 2027'!S13="X"),1,0))</f>
        <v/>
      </c>
      <c r="J297" s="345">
        <f>IF($A297="","",IF(OR('Jul 2027'!S14=TRUE,'Jul 2027'!S14="x",'Jul 2027'!S14="X"),1,0))</f>
        <v/>
      </c>
      <c r="K297" s="345">
        <f>IF($A297="","",IF(OR('Jul 2027'!S15=TRUE,'Jul 2027'!S15="x",'Jul 2027'!S15="X"),1,0))</f>
        <v/>
      </c>
      <c r="L297" s="345">
        <f>IF($A297="","",IF(OR('Jul 2027'!S16=TRUE,'Jul 2027'!S16="x",'Jul 2027'!S16="X"),1,0))</f>
        <v/>
      </c>
      <c r="M297" s="345">
        <f>IF($A297="","",IF(OR('Jul 2027'!S17=TRUE,'Jul 2027'!S17="x",'Jul 2027'!S17="X"),1,0))</f>
        <v/>
      </c>
      <c r="N297" s="345">
        <f>IF($A297="","",IF(OR('Jul 2027'!S18=TRUE,'Jul 2027'!S18="x",'Jul 2027'!S18="X"),1,0))</f>
        <v/>
      </c>
      <c r="O297" s="345">
        <f>IF($A297="","",IF(OR('Jul 2027'!S20=TRUE,'Jul 2027'!S20="x",'Jul 2027'!S20="X"),1,0))</f>
        <v/>
      </c>
      <c r="P297" s="345">
        <f>IF($A297="","",IF(OR('Jul 2027'!S21=TRUE,'Jul 2027'!S21="x",'Jul 2027'!S21="X"),1,0))</f>
        <v/>
      </c>
      <c r="Q297" s="345">
        <f>IF($A297="","",IF(OR('Jul 2027'!S22=TRUE,'Jul 2027'!S22="x",'Jul 2027'!S22="X"),1,0))</f>
        <v/>
      </c>
      <c r="R297" s="345">
        <f>IF($A297="","",IF(OR('Jul 2027'!S23=TRUE,'Jul 2027'!S23="x",'Jul 2027'!S23="X"),1,0))</f>
        <v/>
      </c>
      <c r="S297" s="345">
        <f>IF($A297="","",IF(OR('Jul 2027'!S24=TRUE,'Jul 2027'!S24="x",'Jul 2027'!S24="X"),1,0))</f>
        <v/>
      </c>
      <c r="T297" s="345">
        <f>IF($A297="","",IF(OR('Jul 2027'!S25=TRUE,'Jul 2027'!S25="x",'Jul 2027'!S25="X"),1,0))</f>
        <v/>
      </c>
      <c r="U297" s="345">
        <f>IF($A297="","",IF(OR('Jul 2027'!S26=TRUE,'Jul 2027'!S26="x",'Jul 2027'!S26="X"),1,0))</f>
        <v/>
      </c>
      <c r="V297" s="345">
        <f>IF($A297="","",IF(OR('Jul 2027'!S27=TRUE,'Jul 2027'!S27="x",'Jul 2027'!S27="X"),1,0))</f>
        <v/>
      </c>
      <c r="W297" s="345">
        <f>IF($A297="","",IF(OR('Jul 2027'!S28=TRUE,'Jul 2027'!S28="x",'Jul 2027'!S28="X"),1,0))</f>
        <v/>
      </c>
      <c r="X297" s="345">
        <f>IF($A297="","",IF(OR('Jul 2027'!S29=TRUE,'Jul 2027'!S29="x",'Jul 2027'!S29="X"),1,0))</f>
        <v/>
      </c>
      <c r="Y297" s="345">
        <f>IF($A297="","",IF(OR('Jul 2027'!S30=TRUE,'Jul 2027'!S30="x",'Jul 2027'!S30="X"),1,0))</f>
        <v/>
      </c>
      <c r="Z297" s="345">
        <f>IF($A297="","",IF(OR('Jul 2027'!S31=TRUE,'Jul 2027'!S31="x",'Jul 2027'!S31="X"),1,0))</f>
        <v/>
      </c>
      <c r="AA297" s="345">
        <f>IF($A297="","",IF(OR('Jul 2027'!S32=TRUE,'Jul 2027'!S32="x",'Jul 2027'!S32="X"),1,0))</f>
        <v/>
      </c>
      <c r="AB297" s="345">
        <f>IF($A297="","",IF(OR('Jul 2027'!S34=TRUE,'Jul 2027'!S34="x",'Jul 2027'!S34="X"),1,0))</f>
        <v/>
      </c>
      <c r="AC297" s="345">
        <f>IF($A297="","",IF(OR('Jul 2027'!S35=TRUE,'Jul 2027'!S35="x",'Jul 2027'!S35="X"),1,0))</f>
        <v/>
      </c>
      <c r="AD297" s="345">
        <f>IF($A297="","",IF(OR('Jul 2027'!S36=TRUE,'Jul 2027'!S36="x",'Jul 2027'!S36="X"),1,0))</f>
        <v/>
      </c>
      <c r="AE297" s="345">
        <f>IF($A297="","",IF(OR('Jul 2027'!S37=TRUE,'Jul 2027'!S37="x",'Jul 2027'!S37="X"),1,0))</f>
        <v/>
      </c>
      <c r="AF297" s="345">
        <f>IF($A297="","",IF('Jul 2027'!S59="","",'Jul 2027'!S59))</f>
        <v/>
      </c>
      <c r="AG297" s="345">
        <f>IF($A297="","",IF('Jul 2027'!S60="","",'Jul 2027'!S60))</f>
        <v/>
      </c>
      <c r="AH297" s="345">
        <f>IF($A297="","",IF('Jul 2027'!S61="","",'Jul 2027'!S61))</f>
        <v/>
      </c>
      <c r="AI297" s="345">
        <f>IF($A297="","",IF('Jul 2027'!S62="","",'Jul 2027'!S62))</f>
        <v/>
      </c>
      <c r="AJ297" s="345">
        <f>IF($A297="","",IF('Jul 2027'!S63="","",'Jul 2027'!S63))</f>
        <v/>
      </c>
      <c r="AK297" s="345">
        <f>IF($A297="","",IF('Jul 2027'!S64="","",'Jul 2027'!S64))</f>
        <v/>
      </c>
      <c r="AL297" s="345">
        <f>IF($A297="","",IF('Jul 2027'!S65="","",'Jul 2027'!S65))</f>
        <v/>
      </c>
      <c r="AM297" s="345">
        <f>IF($A297="","",IF('Jul 2027'!S66="","",'Jul 2027'!S66))</f>
        <v/>
      </c>
      <c r="AN297" s="345">
        <f>IF($A297="","",IF('Jul 2027'!S67="","",'Jul 2027'!S67))</f>
        <v/>
      </c>
      <c r="AO297" s="345">
        <f>IF($A297="",0,IF(AND($A297&gt;=TrackStart,$A297&lt;=TODAY()),1,0))</f>
        <v/>
      </c>
      <c r="AP297" s="345">
        <f>IF($A297="",0,IF(SUM(F297:AE297)+COUNT(AF297:AN297)&gt;0,1,0))</f>
        <v/>
      </c>
      <c r="AQ297" s="345">
        <f>IF($A297="","",INT(($A297-TrackStart)/7)+1)</f>
        <v/>
      </c>
      <c r="AR297" s="345">
        <f>IF($A297="","",IF(AQ297&lt;=1,Steps1,IF(AQ297=2,Steps2,Steps3)))</f>
        <v/>
      </c>
      <c r="AS297" s="345">
        <f>IF($A297="",0,IF(ISNUMBER(SEARCH(TEXT(D297,"0"),WorkDays&amp;"")),1,0))</f>
        <v/>
      </c>
      <c r="AT297" s="345">
        <f>IF($A297="",0,IF(ISNUMBER(SEARCH(TEXT(D297,"0"),StrDays&amp;"")),1,0))</f>
        <v/>
      </c>
      <c r="AU297" s="345">
        <f>IF($A297="",0,IF(ISNUMBER(AK297),IF(AK297&gt;=SleepMin,1,0),N297))</f>
        <v/>
      </c>
      <c r="AV297" s="345">
        <f>IF($A297="",0,MAX(I297,O297,S297,AC297))</f>
        <v/>
      </c>
      <c r="AW297" s="345">
        <f>IF($A297="",0,IF(ISNUMBER(AH297),IF(AH297&gt;=ProtHit,1,0),0))</f>
        <v/>
      </c>
      <c r="AX297" s="345">
        <f>IF($A297="",0,IF(ISNUMBER(AI297),IF(AI297&gt;=WaterHit,1,0),0))</f>
        <v/>
      </c>
      <c r="AY297" s="345">
        <f>IF($A297="",0,IF(ISNUMBER(AG297),IF(AG297&gt;=AR297,1,0),0))</f>
        <v/>
      </c>
      <c r="AZ297" s="345">
        <f>IF($A297="",0,G297)</f>
        <v/>
      </c>
      <c r="BA297" s="345">
        <f>IF($A297="",0,J297)</f>
        <v/>
      </c>
      <c r="BB297" s="345">
        <f>IF($A297="",0,K297)</f>
        <v/>
      </c>
      <c r="BC297" s="345">
        <f>IF($A297="",0,MAX(L297,AE297))</f>
        <v/>
      </c>
      <c r="BD297" s="344">
        <f>IF($A297="","",(AU297+AV297+AW297+AX297+AY297+AZ297+BB297+BC297+IF(AS297=1,BA297,0))/(8+AS297))</f>
        <v/>
      </c>
      <c r="BE297" s="344">
        <f>IF($A297="","",(IF(ISNUMBER(AI297),IF(AI297&gt;=WaterMVD,1,0),0)+AV297+IF(ISNUMBER(AH297),IF(AH297&gt;=ProtMVD,1,0),0)+MAX(H297,AD297)+AZ297+BB297+AU297)/7)</f>
        <v/>
      </c>
      <c r="BF297" s="344">
        <f>IF(AO297=0,"",IF(E297="S","",IF(AND(AP297=0,$A297=TODAY()),"",IF(E297="M",BE297,BD297))))</f>
        <v/>
      </c>
      <c r="BG297" s="344">
        <f>IF(AO297=0,"",IFERROR(AVERAGEIFS(Data!$BF$4:$BF$375,Data!$A$4:$A$375,"&gt;"&amp;($A297-7),Data!$A$4:$A$375,"&lt;="&amp;$A297),""))</f>
        <v/>
      </c>
      <c r="BH297" s="344">
        <f>IF(AO297=0,"",IFERROR(AVERAGEIFS(Data!$BF$4:$BF$375,Data!$A$4:$A$375,"&gt;"&amp;($A297-30),Data!$A$4:$A$375,"&lt;="&amp;$A297),""))</f>
        <v/>
      </c>
      <c r="BI297" s="359">
        <f>IF($A297="","",IFERROR(AVERAGEIFS(Data!$AF$4:$AF$375,Data!$A$4:$A$375,"&gt;"&amp;($A297-7),Data!$A$4:$A$375,"&lt;="&amp;$A297,Data!$AF$4:$AF$375,"&gt;0"),""))</f>
        <v/>
      </c>
      <c r="BJ297" s="345">
        <f>IF($A297="","",F297+G297+H297+I297+J297+K297+L297+M297+N297-IF(AS297=1,0,J297))</f>
        <v/>
      </c>
      <c r="BK297" s="345">
        <f>IF($A297="","",8+AS297)</f>
        <v/>
      </c>
      <c r="BL297" s="345">
        <f>IF(ISNUMBER(BF297),BF297,NA())</f>
        <v/>
      </c>
      <c r="BM297" s="345">
        <f>IF(ISNUMBER(AF297),AF297,NA())</f>
        <v/>
      </c>
      <c r="BN297" s="345">
        <f>IF(ISNUMBER(BI297),BI297,NA())</f>
        <v/>
      </c>
      <c r="BO297" s="345">
        <f>IF(ISNUMBER(AL297),AL297,NA())</f>
        <v/>
      </c>
      <c r="BP297" s="345">
        <f>IF(ISNUMBER(AM297),AM297,NA())</f>
        <v/>
      </c>
      <c r="BQ297" s="345">
        <f>IF(ISNUMBER(AN297),AN297,NA())</f>
        <v/>
      </c>
    </row>
    <row r="298">
      <c r="A298" s="358">
        <f>IF('Jul 2027'!T7="","",'Jul 2027'!T7)</f>
        <v/>
      </c>
      <c r="B298" s="345" t="n">
        <v>10</v>
      </c>
      <c r="C298" s="345">
        <f>IF($A298="","",16)</f>
        <v/>
      </c>
      <c r="D298" s="345">
        <f>IF($A298="","",WEEKDAY($A298,2))</f>
        <v/>
      </c>
      <c r="E298" s="345">
        <f>IF($A298="","",UPPER(TRIM('Jul 2027'!T8)))</f>
        <v/>
      </c>
      <c r="F298" s="345">
        <f>IF($A298="","",IF(OR('Jul 2027'!T10=TRUE,'Jul 2027'!T10="x",'Jul 2027'!T10="X"),1,0))</f>
        <v/>
      </c>
      <c r="G298" s="345">
        <f>IF($A298="","",IF(OR('Jul 2027'!T11=TRUE,'Jul 2027'!T11="x",'Jul 2027'!T11="X"),1,0))</f>
        <v/>
      </c>
      <c r="H298" s="345">
        <f>IF($A298="","",IF(OR('Jul 2027'!T12=TRUE,'Jul 2027'!T12="x",'Jul 2027'!T12="X"),1,0))</f>
        <v/>
      </c>
      <c r="I298" s="345">
        <f>IF($A298="","",IF(OR('Jul 2027'!T13=TRUE,'Jul 2027'!T13="x",'Jul 2027'!T13="X"),1,0))</f>
        <v/>
      </c>
      <c r="J298" s="345">
        <f>IF($A298="","",IF(OR('Jul 2027'!T14=TRUE,'Jul 2027'!T14="x",'Jul 2027'!T14="X"),1,0))</f>
        <v/>
      </c>
      <c r="K298" s="345">
        <f>IF($A298="","",IF(OR('Jul 2027'!T15=TRUE,'Jul 2027'!T15="x",'Jul 2027'!T15="X"),1,0))</f>
        <v/>
      </c>
      <c r="L298" s="345">
        <f>IF($A298="","",IF(OR('Jul 2027'!T16=TRUE,'Jul 2027'!T16="x",'Jul 2027'!T16="X"),1,0))</f>
        <v/>
      </c>
      <c r="M298" s="345">
        <f>IF($A298="","",IF(OR('Jul 2027'!T17=TRUE,'Jul 2027'!T17="x",'Jul 2027'!T17="X"),1,0))</f>
        <v/>
      </c>
      <c r="N298" s="345">
        <f>IF($A298="","",IF(OR('Jul 2027'!T18=TRUE,'Jul 2027'!T18="x",'Jul 2027'!T18="X"),1,0))</f>
        <v/>
      </c>
      <c r="O298" s="345">
        <f>IF($A298="","",IF(OR('Jul 2027'!T20=TRUE,'Jul 2027'!T20="x",'Jul 2027'!T20="X"),1,0))</f>
        <v/>
      </c>
      <c r="P298" s="345">
        <f>IF($A298="","",IF(OR('Jul 2027'!T21=TRUE,'Jul 2027'!T21="x",'Jul 2027'!T21="X"),1,0))</f>
        <v/>
      </c>
      <c r="Q298" s="345">
        <f>IF($A298="","",IF(OR('Jul 2027'!T22=TRUE,'Jul 2027'!T22="x",'Jul 2027'!T22="X"),1,0))</f>
        <v/>
      </c>
      <c r="R298" s="345">
        <f>IF($A298="","",IF(OR('Jul 2027'!T23=TRUE,'Jul 2027'!T23="x",'Jul 2027'!T23="X"),1,0))</f>
        <v/>
      </c>
      <c r="S298" s="345">
        <f>IF($A298="","",IF(OR('Jul 2027'!T24=TRUE,'Jul 2027'!T24="x",'Jul 2027'!T24="X"),1,0))</f>
        <v/>
      </c>
      <c r="T298" s="345">
        <f>IF($A298="","",IF(OR('Jul 2027'!T25=TRUE,'Jul 2027'!T25="x",'Jul 2027'!T25="X"),1,0))</f>
        <v/>
      </c>
      <c r="U298" s="345">
        <f>IF($A298="","",IF(OR('Jul 2027'!T26=TRUE,'Jul 2027'!T26="x",'Jul 2027'!T26="X"),1,0))</f>
        <v/>
      </c>
      <c r="V298" s="345">
        <f>IF($A298="","",IF(OR('Jul 2027'!T27=TRUE,'Jul 2027'!T27="x",'Jul 2027'!T27="X"),1,0))</f>
        <v/>
      </c>
      <c r="W298" s="345">
        <f>IF($A298="","",IF(OR('Jul 2027'!T28=TRUE,'Jul 2027'!T28="x",'Jul 2027'!T28="X"),1,0))</f>
        <v/>
      </c>
      <c r="X298" s="345">
        <f>IF($A298="","",IF(OR('Jul 2027'!T29=TRUE,'Jul 2027'!T29="x",'Jul 2027'!T29="X"),1,0))</f>
        <v/>
      </c>
      <c r="Y298" s="345">
        <f>IF($A298="","",IF(OR('Jul 2027'!T30=TRUE,'Jul 2027'!T30="x",'Jul 2027'!T30="X"),1,0))</f>
        <v/>
      </c>
      <c r="Z298" s="345">
        <f>IF($A298="","",IF(OR('Jul 2027'!T31=TRUE,'Jul 2027'!T31="x",'Jul 2027'!T31="X"),1,0))</f>
        <v/>
      </c>
      <c r="AA298" s="345">
        <f>IF($A298="","",IF(OR('Jul 2027'!T32=TRUE,'Jul 2027'!T32="x",'Jul 2027'!T32="X"),1,0))</f>
        <v/>
      </c>
      <c r="AB298" s="345">
        <f>IF($A298="","",IF(OR('Jul 2027'!T34=TRUE,'Jul 2027'!T34="x",'Jul 2027'!T34="X"),1,0))</f>
        <v/>
      </c>
      <c r="AC298" s="345">
        <f>IF($A298="","",IF(OR('Jul 2027'!T35=TRUE,'Jul 2027'!T35="x",'Jul 2027'!T35="X"),1,0))</f>
        <v/>
      </c>
      <c r="AD298" s="345">
        <f>IF($A298="","",IF(OR('Jul 2027'!T36=TRUE,'Jul 2027'!T36="x",'Jul 2027'!T36="X"),1,0))</f>
        <v/>
      </c>
      <c r="AE298" s="345">
        <f>IF($A298="","",IF(OR('Jul 2027'!T37=TRUE,'Jul 2027'!T37="x",'Jul 2027'!T37="X"),1,0))</f>
        <v/>
      </c>
      <c r="AF298" s="345">
        <f>IF($A298="","",IF('Jul 2027'!T59="","",'Jul 2027'!T59))</f>
        <v/>
      </c>
      <c r="AG298" s="345">
        <f>IF($A298="","",IF('Jul 2027'!T60="","",'Jul 2027'!T60))</f>
        <v/>
      </c>
      <c r="AH298" s="345">
        <f>IF($A298="","",IF('Jul 2027'!T61="","",'Jul 2027'!T61))</f>
        <v/>
      </c>
      <c r="AI298" s="345">
        <f>IF($A298="","",IF('Jul 2027'!T62="","",'Jul 2027'!T62))</f>
        <v/>
      </c>
      <c r="AJ298" s="345">
        <f>IF($A298="","",IF('Jul 2027'!T63="","",'Jul 2027'!T63))</f>
        <v/>
      </c>
      <c r="AK298" s="345">
        <f>IF($A298="","",IF('Jul 2027'!T64="","",'Jul 2027'!T64))</f>
        <v/>
      </c>
      <c r="AL298" s="345">
        <f>IF($A298="","",IF('Jul 2027'!T65="","",'Jul 2027'!T65))</f>
        <v/>
      </c>
      <c r="AM298" s="345">
        <f>IF($A298="","",IF('Jul 2027'!T66="","",'Jul 2027'!T66))</f>
        <v/>
      </c>
      <c r="AN298" s="345">
        <f>IF($A298="","",IF('Jul 2027'!T67="","",'Jul 2027'!T67))</f>
        <v/>
      </c>
      <c r="AO298" s="345">
        <f>IF($A298="",0,IF(AND($A298&gt;=TrackStart,$A298&lt;=TODAY()),1,0))</f>
        <v/>
      </c>
      <c r="AP298" s="345">
        <f>IF($A298="",0,IF(SUM(F298:AE298)+COUNT(AF298:AN298)&gt;0,1,0))</f>
        <v/>
      </c>
      <c r="AQ298" s="345">
        <f>IF($A298="","",INT(($A298-TrackStart)/7)+1)</f>
        <v/>
      </c>
      <c r="AR298" s="345">
        <f>IF($A298="","",IF(AQ298&lt;=1,Steps1,IF(AQ298=2,Steps2,Steps3)))</f>
        <v/>
      </c>
      <c r="AS298" s="345">
        <f>IF($A298="",0,IF(ISNUMBER(SEARCH(TEXT(D298,"0"),WorkDays&amp;"")),1,0))</f>
        <v/>
      </c>
      <c r="AT298" s="345">
        <f>IF($A298="",0,IF(ISNUMBER(SEARCH(TEXT(D298,"0"),StrDays&amp;"")),1,0))</f>
        <v/>
      </c>
      <c r="AU298" s="345">
        <f>IF($A298="",0,IF(ISNUMBER(AK298),IF(AK298&gt;=SleepMin,1,0),N298))</f>
        <v/>
      </c>
      <c r="AV298" s="345">
        <f>IF($A298="",0,MAX(I298,O298,S298,AC298))</f>
        <v/>
      </c>
      <c r="AW298" s="345">
        <f>IF($A298="",0,IF(ISNUMBER(AH298),IF(AH298&gt;=ProtHit,1,0),0))</f>
        <v/>
      </c>
      <c r="AX298" s="345">
        <f>IF($A298="",0,IF(ISNUMBER(AI298),IF(AI298&gt;=WaterHit,1,0),0))</f>
        <v/>
      </c>
      <c r="AY298" s="345">
        <f>IF($A298="",0,IF(ISNUMBER(AG298),IF(AG298&gt;=AR298,1,0),0))</f>
        <v/>
      </c>
      <c r="AZ298" s="345">
        <f>IF($A298="",0,G298)</f>
        <v/>
      </c>
      <c r="BA298" s="345">
        <f>IF($A298="",0,J298)</f>
        <v/>
      </c>
      <c r="BB298" s="345">
        <f>IF($A298="",0,K298)</f>
        <v/>
      </c>
      <c r="BC298" s="345">
        <f>IF($A298="",0,MAX(L298,AE298))</f>
        <v/>
      </c>
      <c r="BD298" s="344">
        <f>IF($A298="","",(AU298+AV298+AW298+AX298+AY298+AZ298+BB298+BC298+IF(AS298=1,BA298,0))/(8+AS298))</f>
        <v/>
      </c>
      <c r="BE298" s="344">
        <f>IF($A298="","",(IF(ISNUMBER(AI298),IF(AI298&gt;=WaterMVD,1,0),0)+AV298+IF(ISNUMBER(AH298),IF(AH298&gt;=ProtMVD,1,0),0)+MAX(H298,AD298)+AZ298+BB298+AU298)/7)</f>
        <v/>
      </c>
      <c r="BF298" s="344">
        <f>IF(AO298=0,"",IF(E298="S","",IF(AND(AP298=0,$A298=TODAY()),"",IF(E298="M",BE298,BD298))))</f>
        <v/>
      </c>
      <c r="BG298" s="344">
        <f>IF(AO298=0,"",IFERROR(AVERAGEIFS(Data!$BF$4:$BF$375,Data!$A$4:$A$375,"&gt;"&amp;($A298-7),Data!$A$4:$A$375,"&lt;="&amp;$A298),""))</f>
        <v/>
      </c>
      <c r="BH298" s="344">
        <f>IF(AO298=0,"",IFERROR(AVERAGEIFS(Data!$BF$4:$BF$375,Data!$A$4:$A$375,"&gt;"&amp;($A298-30),Data!$A$4:$A$375,"&lt;="&amp;$A298),""))</f>
        <v/>
      </c>
      <c r="BI298" s="359">
        <f>IF($A298="","",IFERROR(AVERAGEIFS(Data!$AF$4:$AF$375,Data!$A$4:$A$375,"&gt;"&amp;($A298-7),Data!$A$4:$A$375,"&lt;="&amp;$A298,Data!$AF$4:$AF$375,"&gt;0"),""))</f>
        <v/>
      </c>
      <c r="BJ298" s="345">
        <f>IF($A298="","",F298+G298+H298+I298+J298+K298+L298+M298+N298-IF(AS298=1,0,J298))</f>
        <v/>
      </c>
      <c r="BK298" s="345">
        <f>IF($A298="","",8+AS298)</f>
        <v/>
      </c>
      <c r="BL298" s="345">
        <f>IF(ISNUMBER(BF298),BF298,NA())</f>
        <v/>
      </c>
      <c r="BM298" s="345">
        <f>IF(ISNUMBER(AF298),AF298,NA())</f>
        <v/>
      </c>
      <c r="BN298" s="345">
        <f>IF(ISNUMBER(BI298),BI298,NA())</f>
        <v/>
      </c>
      <c r="BO298" s="345">
        <f>IF(ISNUMBER(AL298),AL298,NA())</f>
        <v/>
      </c>
      <c r="BP298" s="345">
        <f>IF(ISNUMBER(AM298),AM298,NA())</f>
        <v/>
      </c>
      <c r="BQ298" s="345">
        <f>IF(ISNUMBER(AN298),AN298,NA())</f>
        <v/>
      </c>
    </row>
    <row r="299">
      <c r="A299" s="358">
        <f>IF('Jul 2027'!U7="","",'Jul 2027'!U7)</f>
        <v/>
      </c>
      <c r="B299" s="345" t="n">
        <v>10</v>
      </c>
      <c r="C299" s="345">
        <f>IF($A299="","",17)</f>
        <v/>
      </c>
      <c r="D299" s="345">
        <f>IF($A299="","",WEEKDAY($A299,2))</f>
        <v/>
      </c>
      <c r="E299" s="345">
        <f>IF($A299="","",UPPER(TRIM('Jul 2027'!U8)))</f>
        <v/>
      </c>
      <c r="F299" s="345">
        <f>IF($A299="","",IF(OR('Jul 2027'!U10=TRUE,'Jul 2027'!U10="x",'Jul 2027'!U10="X"),1,0))</f>
        <v/>
      </c>
      <c r="G299" s="345">
        <f>IF($A299="","",IF(OR('Jul 2027'!U11=TRUE,'Jul 2027'!U11="x",'Jul 2027'!U11="X"),1,0))</f>
        <v/>
      </c>
      <c r="H299" s="345">
        <f>IF($A299="","",IF(OR('Jul 2027'!U12=TRUE,'Jul 2027'!U12="x",'Jul 2027'!U12="X"),1,0))</f>
        <v/>
      </c>
      <c r="I299" s="345">
        <f>IF($A299="","",IF(OR('Jul 2027'!U13=TRUE,'Jul 2027'!U13="x",'Jul 2027'!U13="X"),1,0))</f>
        <v/>
      </c>
      <c r="J299" s="345">
        <f>IF($A299="","",IF(OR('Jul 2027'!U14=TRUE,'Jul 2027'!U14="x",'Jul 2027'!U14="X"),1,0))</f>
        <v/>
      </c>
      <c r="K299" s="345">
        <f>IF($A299="","",IF(OR('Jul 2027'!U15=TRUE,'Jul 2027'!U15="x",'Jul 2027'!U15="X"),1,0))</f>
        <v/>
      </c>
      <c r="L299" s="345">
        <f>IF($A299="","",IF(OR('Jul 2027'!U16=TRUE,'Jul 2027'!U16="x",'Jul 2027'!U16="X"),1,0))</f>
        <v/>
      </c>
      <c r="M299" s="345">
        <f>IF($A299="","",IF(OR('Jul 2027'!U17=TRUE,'Jul 2027'!U17="x",'Jul 2027'!U17="X"),1,0))</f>
        <v/>
      </c>
      <c r="N299" s="345">
        <f>IF($A299="","",IF(OR('Jul 2027'!U18=TRUE,'Jul 2027'!U18="x",'Jul 2027'!U18="X"),1,0))</f>
        <v/>
      </c>
      <c r="O299" s="345">
        <f>IF($A299="","",IF(OR('Jul 2027'!U20=TRUE,'Jul 2027'!U20="x",'Jul 2027'!U20="X"),1,0))</f>
        <v/>
      </c>
      <c r="P299" s="345">
        <f>IF($A299="","",IF(OR('Jul 2027'!U21=TRUE,'Jul 2027'!U21="x",'Jul 2027'!U21="X"),1,0))</f>
        <v/>
      </c>
      <c r="Q299" s="345">
        <f>IF($A299="","",IF(OR('Jul 2027'!U22=TRUE,'Jul 2027'!U22="x",'Jul 2027'!U22="X"),1,0))</f>
        <v/>
      </c>
      <c r="R299" s="345">
        <f>IF($A299="","",IF(OR('Jul 2027'!U23=TRUE,'Jul 2027'!U23="x",'Jul 2027'!U23="X"),1,0))</f>
        <v/>
      </c>
      <c r="S299" s="345">
        <f>IF($A299="","",IF(OR('Jul 2027'!U24=TRUE,'Jul 2027'!U24="x",'Jul 2027'!U24="X"),1,0))</f>
        <v/>
      </c>
      <c r="T299" s="345">
        <f>IF($A299="","",IF(OR('Jul 2027'!U25=TRUE,'Jul 2027'!U25="x",'Jul 2027'!U25="X"),1,0))</f>
        <v/>
      </c>
      <c r="U299" s="345">
        <f>IF($A299="","",IF(OR('Jul 2027'!U26=TRUE,'Jul 2027'!U26="x",'Jul 2027'!U26="X"),1,0))</f>
        <v/>
      </c>
      <c r="V299" s="345">
        <f>IF($A299="","",IF(OR('Jul 2027'!U27=TRUE,'Jul 2027'!U27="x",'Jul 2027'!U27="X"),1,0))</f>
        <v/>
      </c>
      <c r="W299" s="345">
        <f>IF($A299="","",IF(OR('Jul 2027'!U28=TRUE,'Jul 2027'!U28="x",'Jul 2027'!U28="X"),1,0))</f>
        <v/>
      </c>
      <c r="X299" s="345">
        <f>IF($A299="","",IF(OR('Jul 2027'!U29=TRUE,'Jul 2027'!U29="x",'Jul 2027'!U29="X"),1,0))</f>
        <v/>
      </c>
      <c r="Y299" s="345">
        <f>IF($A299="","",IF(OR('Jul 2027'!U30=TRUE,'Jul 2027'!U30="x",'Jul 2027'!U30="X"),1,0))</f>
        <v/>
      </c>
      <c r="Z299" s="345">
        <f>IF($A299="","",IF(OR('Jul 2027'!U31=TRUE,'Jul 2027'!U31="x",'Jul 2027'!U31="X"),1,0))</f>
        <v/>
      </c>
      <c r="AA299" s="345">
        <f>IF($A299="","",IF(OR('Jul 2027'!U32=TRUE,'Jul 2027'!U32="x",'Jul 2027'!U32="X"),1,0))</f>
        <v/>
      </c>
      <c r="AB299" s="345">
        <f>IF($A299="","",IF(OR('Jul 2027'!U34=TRUE,'Jul 2027'!U34="x",'Jul 2027'!U34="X"),1,0))</f>
        <v/>
      </c>
      <c r="AC299" s="345">
        <f>IF($A299="","",IF(OR('Jul 2027'!U35=TRUE,'Jul 2027'!U35="x",'Jul 2027'!U35="X"),1,0))</f>
        <v/>
      </c>
      <c r="AD299" s="345">
        <f>IF($A299="","",IF(OR('Jul 2027'!U36=TRUE,'Jul 2027'!U36="x",'Jul 2027'!U36="X"),1,0))</f>
        <v/>
      </c>
      <c r="AE299" s="345">
        <f>IF($A299="","",IF(OR('Jul 2027'!U37=TRUE,'Jul 2027'!U37="x",'Jul 2027'!U37="X"),1,0))</f>
        <v/>
      </c>
      <c r="AF299" s="345">
        <f>IF($A299="","",IF('Jul 2027'!U59="","",'Jul 2027'!U59))</f>
        <v/>
      </c>
      <c r="AG299" s="345">
        <f>IF($A299="","",IF('Jul 2027'!U60="","",'Jul 2027'!U60))</f>
        <v/>
      </c>
      <c r="AH299" s="345">
        <f>IF($A299="","",IF('Jul 2027'!U61="","",'Jul 2027'!U61))</f>
        <v/>
      </c>
      <c r="AI299" s="345">
        <f>IF($A299="","",IF('Jul 2027'!U62="","",'Jul 2027'!U62))</f>
        <v/>
      </c>
      <c r="AJ299" s="345">
        <f>IF($A299="","",IF('Jul 2027'!U63="","",'Jul 2027'!U63))</f>
        <v/>
      </c>
      <c r="AK299" s="345">
        <f>IF($A299="","",IF('Jul 2027'!U64="","",'Jul 2027'!U64))</f>
        <v/>
      </c>
      <c r="AL299" s="345">
        <f>IF($A299="","",IF('Jul 2027'!U65="","",'Jul 2027'!U65))</f>
        <v/>
      </c>
      <c r="AM299" s="345">
        <f>IF($A299="","",IF('Jul 2027'!U66="","",'Jul 2027'!U66))</f>
        <v/>
      </c>
      <c r="AN299" s="345">
        <f>IF($A299="","",IF('Jul 2027'!U67="","",'Jul 2027'!U67))</f>
        <v/>
      </c>
      <c r="AO299" s="345">
        <f>IF($A299="",0,IF(AND($A299&gt;=TrackStart,$A299&lt;=TODAY()),1,0))</f>
        <v/>
      </c>
      <c r="AP299" s="345">
        <f>IF($A299="",0,IF(SUM(F299:AE299)+COUNT(AF299:AN299)&gt;0,1,0))</f>
        <v/>
      </c>
      <c r="AQ299" s="345">
        <f>IF($A299="","",INT(($A299-TrackStart)/7)+1)</f>
        <v/>
      </c>
      <c r="AR299" s="345">
        <f>IF($A299="","",IF(AQ299&lt;=1,Steps1,IF(AQ299=2,Steps2,Steps3)))</f>
        <v/>
      </c>
      <c r="AS299" s="345">
        <f>IF($A299="",0,IF(ISNUMBER(SEARCH(TEXT(D299,"0"),WorkDays&amp;"")),1,0))</f>
        <v/>
      </c>
      <c r="AT299" s="345">
        <f>IF($A299="",0,IF(ISNUMBER(SEARCH(TEXT(D299,"0"),StrDays&amp;"")),1,0))</f>
        <v/>
      </c>
      <c r="AU299" s="345">
        <f>IF($A299="",0,IF(ISNUMBER(AK299),IF(AK299&gt;=SleepMin,1,0),N299))</f>
        <v/>
      </c>
      <c r="AV299" s="345">
        <f>IF($A299="",0,MAX(I299,O299,S299,AC299))</f>
        <v/>
      </c>
      <c r="AW299" s="345">
        <f>IF($A299="",0,IF(ISNUMBER(AH299),IF(AH299&gt;=ProtHit,1,0),0))</f>
        <v/>
      </c>
      <c r="AX299" s="345">
        <f>IF($A299="",0,IF(ISNUMBER(AI299),IF(AI299&gt;=WaterHit,1,0),0))</f>
        <v/>
      </c>
      <c r="AY299" s="345">
        <f>IF($A299="",0,IF(ISNUMBER(AG299),IF(AG299&gt;=AR299,1,0),0))</f>
        <v/>
      </c>
      <c r="AZ299" s="345">
        <f>IF($A299="",0,G299)</f>
        <v/>
      </c>
      <c r="BA299" s="345">
        <f>IF($A299="",0,J299)</f>
        <v/>
      </c>
      <c r="BB299" s="345">
        <f>IF($A299="",0,K299)</f>
        <v/>
      </c>
      <c r="BC299" s="345">
        <f>IF($A299="",0,MAX(L299,AE299))</f>
        <v/>
      </c>
      <c r="BD299" s="344">
        <f>IF($A299="","",(AU299+AV299+AW299+AX299+AY299+AZ299+BB299+BC299+IF(AS299=1,BA299,0))/(8+AS299))</f>
        <v/>
      </c>
      <c r="BE299" s="344">
        <f>IF($A299="","",(IF(ISNUMBER(AI299),IF(AI299&gt;=WaterMVD,1,0),0)+AV299+IF(ISNUMBER(AH299),IF(AH299&gt;=ProtMVD,1,0),0)+MAX(H299,AD299)+AZ299+BB299+AU299)/7)</f>
        <v/>
      </c>
      <c r="BF299" s="344">
        <f>IF(AO299=0,"",IF(E299="S","",IF(AND(AP299=0,$A299=TODAY()),"",IF(E299="M",BE299,BD299))))</f>
        <v/>
      </c>
      <c r="BG299" s="344">
        <f>IF(AO299=0,"",IFERROR(AVERAGEIFS(Data!$BF$4:$BF$375,Data!$A$4:$A$375,"&gt;"&amp;($A299-7),Data!$A$4:$A$375,"&lt;="&amp;$A299),""))</f>
        <v/>
      </c>
      <c r="BH299" s="344">
        <f>IF(AO299=0,"",IFERROR(AVERAGEIFS(Data!$BF$4:$BF$375,Data!$A$4:$A$375,"&gt;"&amp;($A299-30),Data!$A$4:$A$375,"&lt;="&amp;$A299),""))</f>
        <v/>
      </c>
      <c r="BI299" s="359">
        <f>IF($A299="","",IFERROR(AVERAGEIFS(Data!$AF$4:$AF$375,Data!$A$4:$A$375,"&gt;"&amp;($A299-7),Data!$A$4:$A$375,"&lt;="&amp;$A299,Data!$AF$4:$AF$375,"&gt;0"),""))</f>
        <v/>
      </c>
      <c r="BJ299" s="345">
        <f>IF($A299="","",F299+G299+H299+I299+J299+K299+L299+M299+N299-IF(AS299=1,0,J299))</f>
        <v/>
      </c>
      <c r="BK299" s="345">
        <f>IF($A299="","",8+AS299)</f>
        <v/>
      </c>
      <c r="BL299" s="345">
        <f>IF(ISNUMBER(BF299),BF299,NA())</f>
        <v/>
      </c>
      <c r="BM299" s="345">
        <f>IF(ISNUMBER(AF299),AF299,NA())</f>
        <v/>
      </c>
      <c r="BN299" s="345">
        <f>IF(ISNUMBER(BI299),BI299,NA())</f>
        <v/>
      </c>
      <c r="BO299" s="345">
        <f>IF(ISNUMBER(AL299),AL299,NA())</f>
        <v/>
      </c>
      <c r="BP299" s="345">
        <f>IF(ISNUMBER(AM299),AM299,NA())</f>
        <v/>
      </c>
      <c r="BQ299" s="345">
        <f>IF(ISNUMBER(AN299),AN299,NA())</f>
        <v/>
      </c>
    </row>
    <row r="300">
      <c r="A300" s="358">
        <f>IF('Jul 2027'!V7="","",'Jul 2027'!V7)</f>
        <v/>
      </c>
      <c r="B300" s="345" t="n">
        <v>10</v>
      </c>
      <c r="C300" s="345">
        <f>IF($A300="","",18)</f>
        <v/>
      </c>
      <c r="D300" s="345">
        <f>IF($A300="","",WEEKDAY($A300,2))</f>
        <v/>
      </c>
      <c r="E300" s="345">
        <f>IF($A300="","",UPPER(TRIM('Jul 2027'!V8)))</f>
        <v/>
      </c>
      <c r="F300" s="345">
        <f>IF($A300="","",IF(OR('Jul 2027'!V10=TRUE,'Jul 2027'!V10="x",'Jul 2027'!V10="X"),1,0))</f>
        <v/>
      </c>
      <c r="G300" s="345">
        <f>IF($A300="","",IF(OR('Jul 2027'!V11=TRUE,'Jul 2027'!V11="x",'Jul 2027'!V11="X"),1,0))</f>
        <v/>
      </c>
      <c r="H300" s="345">
        <f>IF($A300="","",IF(OR('Jul 2027'!V12=TRUE,'Jul 2027'!V12="x",'Jul 2027'!V12="X"),1,0))</f>
        <v/>
      </c>
      <c r="I300" s="345">
        <f>IF($A300="","",IF(OR('Jul 2027'!V13=TRUE,'Jul 2027'!V13="x",'Jul 2027'!V13="X"),1,0))</f>
        <v/>
      </c>
      <c r="J300" s="345">
        <f>IF($A300="","",IF(OR('Jul 2027'!V14=TRUE,'Jul 2027'!V14="x",'Jul 2027'!V14="X"),1,0))</f>
        <v/>
      </c>
      <c r="K300" s="345">
        <f>IF($A300="","",IF(OR('Jul 2027'!V15=TRUE,'Jul 2027'!V15="x",'Jul 2027'!V15="X"),1,0))</f>
        <v/>
      </c>
      <c r="L300" s="345">
        <f>IF($A300="","",IF(OR('Jul 2027'!V16=TRUE,'Jul 2027'!V16="x",'Jul 2027'!V16="X"),1,0))</f>
        <v/>
      </c>
      <c r="M300" s="345">
        <f>IF($A300="","",IF(OR('Jul 2027'!V17=TRUE,'Jul 2027'!V17="x",'Jul 2027'!V17="X"),1,0))</f>
        <v/>
      </c>
      <c r="N300" s="345">
        <f>IF($A300="","",IF(OR('Jul 2027'!V18=TRUE,'Jul 2027'!V18="x",'Jul 2027'!V18="X"),1,0))</f>
        <v/>
      </c>
      <c r="O300" s="345">
        <f>IF($A300="","",IF(OR('Jul 2027'!V20=TRUE,'Jul 2027'!V20="x",'Jul 2027'!V20="X"),1,0))</f>
        <v/>
      </c>
      <c r="P300" s="345">
        <f>IF($A300="","",IF(OR('Jul 2027'!V21=TRUE,'Jul 2027'!V21="x",'Jul 2027'!V21="X"),1,0))</f>
        <v/>
      </c>
      <c r="Q300" s="345">
        <f>IF($A300="","",IF(OR('Jul 2027'!V22=TRUE,'Jul 2027'!V22="x",'Jul 2027'!V22="X"),1,0))</f>
        <v/>
      </c>
      <c r="R300" s="345">
        <f>IF($A300="","",IF(OR('Jul 2027'!V23=TRUE,'Jul 2027'!V23="x",'Jul 2027'!V23="X"),1,0))</f>
        <v/>
      </c>
      <c r="S300" s="345">
        <f>IF($A300="","",IF(OR('Jul 2027'!V24=TRUE,'Jul 2027'!V24="x",'Jul 2027'!V24="X"),1,0))</f>
        <v/>
      </c>
      <c r="T300" s="345">
        <f>IF($A300="","",IF(OR('Jul 2027'!V25=TRUE,'Jul 2027'!V25="x",'Jul 2027'!V25="X"),1,0))</f>
        <v/>
      </c>
      <c r="U300" s="345">
        <f>IF($A300="","",IF(OR('Jul 2027'!V26=TRUE,'Jul 2027'!V26="x",'Jul 2027'!V26="X"),1,0))</f>
        <v/>
      </c>
      <c r="V300" s="345">
        <f>IF($A300="","",IF(OR('Jul 2027'!V27=TRUE,'Jul 2027'!V27="x",'Jul 2027'!V27="X"),1,0))</f>
        <v/>
      </c>
      <c r="W300" s="345">
        <f>IF($A300="","",IF(OR('Jul 2027'!V28=TRUE,'Jul 2027'!V28="x",'Jul 2027'!V28="X"),1,0))</f>
        <v/>
      </c>
      <c r="X300" s="345">
        <f>IF($A300="","",IF(OR('Jul 2027'!V29=TRUE,'Jul 2027'!V29="x",'Jul 2027'!V29="X"),1,0))</f>
        <v/>
      </c>
      <c r="Y300" s="345">
        <f>IF($A300="","",IF(OR('Jul 2027'!V30=TRUE,'Jul 2027'!V30="x",'Jul 2027'!V30="X"),1,0))</f>
        <v/>
      </c>
      <c r="Z300" s="345">
        <f>IF($A300="","",IF(OR('Jul 2027'!V31=TRUE,'Jul 2027'!V31="x",'Jul 2027'!V31="X"),1,0))</f>
        <v/>
      </c>
      <c r="AA300" s="345">
        <f>IF($A300="","",IF(OR('Jul 2027'!V32=TRUE,'Jul 2027'!V32="x",'Jul 2027'!V32="X"),1,0))</f>
        <v/>
      </c>
      <c r="AB300" s="345">
        <f>IF($A300="","",IF(OR('Jul 2027'!V34=TRUE,'Jul 2027'!V34="x",'Jul 2027'!V34="X"),1,0))</f>
        <v/>
      </c>
      <c r="AC300" s="345">
        <f>IF($A300="","",IF(OR('Jul 2027'!V35=TRUE,'Jul 2027'!V35="x",'Jul 2027'!V35="X"),1,0))</f>
        <v/>
      </c>
      <c r="AD300" s="345">
        <f>IF($A300="","",IF(OR('Jul 2027'!V36=TRUE,'Jul 2027'!V36="x",'Jul 2027'!V36="X"),1,0))</f>
        <v/>
      </c>
      <c r="AE300" s="345">
        <f>IF($A300="","",IF(OR('Jul 2027'!V37=TRUE,'Jul 2027'!V37="x",'Jul 2027'!V37="X"),1,0))</f>
        <v/>
      </c>
      <c r="AF300" s="345">
        <f>IF($A300="","",IF('Jul 2027'!V59="","",'Jul 2027'!V59))</f>
        <v/>
      </c>
      <c r="AG300" s="345">
        <f>IF($A300="","",IF('Jul 2027'!V60="","",'Jul 2027'!V60))</f>
        <v/>
      </c>
      <c r="AH300" s="345">
        <f>IF($A300="","",IF('Jul 2027'!V61="","",'Jul 2027'!V61))</f>
        <v/>
      </c>
      <c r="AI300" s="345">
        <f>IF($A300="","",IF('Jul 2027'!V62="","",'Jul 2027'!V62))</f>
        <v/>
      </c>
      <c r="AJ300" s="345">
        <f>IF($A300="","",IF('Jul 2027'!V63="","",'Jul 2027'!V63))</f>
        <v/>
      </c>
      <c r="AK300" s="345">
        <f>IF($A300="","",IF('Jul 2027'!V64="","",'Jul 2027'!V64))</f>
        <v/>
      </c>
      <c r="AL300" s="345">
        <f>IF($A300="","",IF('Jul 2027'!V65="","",'Jul 2027'!V65))</f>
        <v/>
      </c>
      <c r="AM300" s="345">
        <f>IF($A300="","",IF('Jul 2027'!V66="","",'Jul 2027'!V66))</f>
        <v/>
      </c>
      <c r="AN300" s="345">
        <f>IF($A300="","",IF('Jul 2027'!V67="","",'Jul 2027'!V67))</f>
        <v/>
      </c>
      <c r="AO300" s="345">
        <f>IF($A300="",0,IF(AND($A300&gt;=TrackStart,$A300&lt;=TODAY()),1,0))</f>
        <v/>
      </c>
      <c r="AP300" s="345">
        <f>IF($A300="",0,IF(SUM(F300:AE300)+COUNT(AF300:AN300)&gt;0,1,0))</f>
        <v/>
      </c>
      <c r="AQ300" s="345">
        <f>IF($A300="","",INT(($A300-TrackStart)/7)+1)</f>
        <v/>
      </c>
      <c r="AR300" s="345">
        <f>IF($A300="","",IF(AQ300&lt;=1,Steps1,IF(AQ300=2,Steps2,Steps3)))</f>
        <v/>
      </c>
      <c r="AS300" s="345">
        <f>IF($A300="",0,IF(ISNUMBER(SEARCH(TEXT(D300,"0"),WorkDays&amp;"")),1,0))</f>
        <v/>
      </c>
      <c r="AT300" s="345">
        <f>IF($A300="",0,IF(ISNUMBER(SEARCH(TEXT(D300,"0"),StrDays&amp;"")),1,0))</f>
        <v/>
      </c>
      <c r="AU300" s="345">
        <f>IF($A300="",0,IF(ISNUMBER(AK300),IF(AK300&gt;=SleepMin,1,0),N300))</f>
        <v/>
      </c>
      <c r="AV300" s="345">
        <f>IF($A300="",0,MAX(I300,O300,S300,AC300))</f>
        <v/>
      </c>
      <c r="AW300" s="345">
        <f>IF($A300="",0,IF(ISNUMBER(AH300),IF(AH300&gt;=ProtHit,1,0),0))</f>
        <v/>
      </c>
      <c r="AX300" s="345">
        <f>IF($A300="",0,IF(ISNUMBER(AI300),IF(AI300&gt;=WaterHit,1,0),0))</f>
        <v/>
      </c>
      <c r="AY300" s="345">
        <f>IF($A300="",0,IF(ISNUMBER(AG300),IF(AG300&gt;=AR300,1,0),0))</f>
        <v/>
      </c>
      <c r="AZ300" s="345">
        <f>IF($A300="",0,G300)</f>
        <v/>
      </c>
      <c r="BA300" s="345">
        <f>IF($A300="",0,J300)</f>
        <v/>
      </c>
      <c r="BB300" s="345">
        <f>IF($A300="",0,K300)</f>
        <v/>
      </c>
      <c r="BC300" s="345">
        <f>IF($A300="",0,MAX(L300,AE300))</f>
        <v/>
      </c>
      <c r="BD300" s="344">
        <f>IF($A300="","",(AU300+AV300+AW300+AX300+AY300+AZ300+BB300+BC300+IF(AS300=1,BA300,0))/(8+AS300))</f>
        <v/>
      </c>
      <c r="BE300" s="344">
        <f>IF($A300="","",(IF(ISNUMBER(AI300),IF(AI300&gt;=WaterMVD,1,0),0)+AV300+IF(ISNUMBER(AH300),IF(AH300&gt;=ProtMVD,1,0),0)+MAX(H300,AD300)+AZ300+BB300+AU300)/7)</f>
        <v/>
      </c>
      <c r="BF300" s="344">
        <f>IF(AO300=0,"",IF(E300="S","",IF(AND(AP300=0,$A300=TODAY()),"",IF(E300="M",BE300,BD300))))</f>
        <v/>
      </c>
      <c r="BG300" s="344">
        <f>IF(AO300=0,"",IFERROR(AVERAGEIFS(Data!$BF$4:$BF$375,Data!$A$4:$A$375,"&gt;"&amp;($A300-7),Data!$A$4:$A$375,"&lt;="&amp;$A300),""))</f>
        <v/>
      </c>
      <c r="BH300" s="344">
        <f>IF(AO300=0,"",IFERROR(AVERAGEIFS(Data!$BF$4:$BF$375,Data!$A$4:$A$375,"&gt;"&amp;($A300-30),Data!$A$4:$A$375,"&lt;="&amp;$A300),""))</f>
        <v/>
      </c>
      <c r="BI300" s="359">
        <f>IF($A300="","",IFERROR(AVERAGEIFS(Data!$AF$4:$AF$375,Data!$A$4:$A$375,"&gt;"&amp;($A300-7),Data!$A$4:$A$375,"&lt;="&amp;$A300,Data!$AF$4:$AF$375,"&gt;0"),""))</f>
        <v/>
      </c>
      <c r="BJ300" s="345">
        <f>IF($A300="","",F300+G300+H300+I300+J300+K300+L300+M300+N300-IF(AS300=1,0,J300))</f>
        <v/>
      </c>
      <c r="BK300" s="345">
        <f>IF($A300="","",8+AS300)</f>
        <v/>
      </c>
      <c r="BL300" s="345">
        <f>IF(ISNUMBER(BF300),BF300,NA())</f>
        <v/>
      </c>
      <c r="BM300" s="345">
        <f>IF(ISNUMBER(AF300),AF300,NA())</f>
        <v/>
      </c>
      <c r="BN300" s="345">
        <f>IF(ISNUMBER(BI300),BI300,NA())</f>
        <v/>
      </c>
      <c r="BO300" s="345">
        <f>IF(ISNUMBER(AL300),AL300,NA())</f>
        <v/>
      </c>
      <c r="BP300" s="345">
        <f>IF(ISNUMBER(AM300),AM300,NA())</f>
        <v/>
      </c>
      <c r="BQ300" s="345">
        <f>IF(ISNUMBER(AN300),AN300,NA())</f>
        <v/>
      </c>
    </row>
    <row r="301">
      <c r="A301" s="358">
        <f>IF('Jul 2027'!W7="","",'Jul 2027'!W7)</f>
        <v/>
      </c>
      <c r="B301" s="345" t="n">
        <v>10</v>
      </c>
      <c r="C301" s="345">
        <f>IF($A301="","",19)</f>
        <v/>
      </c>
      <c r="D301" s="345">
        <f>IF($A301="","",WEEKDAY($A301,2))</f>
        <v/>
      </c>
      <c r="E301" s="345">
        <f>IF($A301="","",UPPER(TRIM('Jul 2027'!W8)))</f>
        <v/>
      </c>
      <c r="F301" s="345">
        <f>IF($A301="","",IF(OR('Jul 2027'!W10=TRUE,'Jul 2027'!W10="x",'Jul 2027'!W10="X"),1,0))</f>
        <v/>
      </c>
      <c r="G301" s="345">
        <f>IF($A301="","",IF(OR('Jul 2027'!W11=TRUE,'Jul 2027'!W11="x",'Jul 2027'!W11="X"),1,0))</f>
        <v/>
      </c>
      <c r="H301" s="345">
        <f>IF($A301="","",IF(OR('Jul 2027'!W12=TRUE,'Jul 2027'!W12="x",'Jul 2027'!W12="X"),1,0))</f>
        <v/>
      </c>
      <c r="I301" s="345">
        <f>IF($A301="","",IF(OR('Jul 2027'!W13=TRUE,'Jul 2027'!W13="x",'Jul 2027'!W13="X"),1,0))</f>
        <v/>
      </c>
      <c r="J301" s="345">
        <f>IF($A301="","",IF(OR('Jul 2027'!W14=TRUE,'Jul 2027'!W14="x",'Jul 2027'!W14="X"),1,0))</f>
        <v/>
      </c>
      <c r="K301" s="345">
        <f>IF($A301="","",IF(OR('Jul 2027'!W15=TRUE,'Jul 2027'!W15="x",'Jul 2027'!W15="X"),1,0))</f>
        <v/>
      </c>
      <c r="L301" s="345">
        <f>IF($A301="","",IF(OR('Jul 2027'!W16=TRUE,'Jul 2027'!W16="x",'Jul 2027'!W16="X"),1,0))</f>
        <v/>
      </c>
      <c r="M301" s="345">
        <f>IF($A301="","",IF(OR('Jul 2027'!W17=TRUE,'Jul 2027'!W17="x",'Jul 2027'!W17="X"),1,0))</f>
        <v/>
      </c>
      <c r="N301" s="345">
        <f>IF($A301="","",IF(OR('Jul 2027'!W18=TRUE,'Jul 2027'!W18="x",'Jul 2027'!W18="X"),1,0))</f>
        <v/>
      </c>
      <c r="O301" s="345">
        <f>IF($A301="","",IF(OR('Jul 2027'!W20=TRUE,'Jul 2027'!W20="x",'Jul 2027'!W20="X"),1,0))</f>
        <v/>
      </c>
      <c r="P301" s="345">
        <f>IF($A301="","",IF(OR('Jul 2027'!W21=TRUE,'Jul 2027'!W21="x",'Jul 2027'!W21="X"),1,0))</f>
        <v/>
      </c>
      <c r="Q301" s="345">
        <f>IF($A301="","",IF(OR('Jul 2027'!W22=TRUE,'Jul 2027'!W22="x",'Jul 2027'!W22="X"),1,0))</f>
        <v/>
      </c>
      <c r="R301" s="345">
        <f>IF($A301="","",IF(OR('Jul 2027'!W23=TRUE,'Jul 2027'!W23="x",'Jul 2027'!W23="X"),1,0))</f>
        <v/>
      </c>
      <c r="S301" s="345">
        <f>IF($A301="","",IF(OR('Jul 2027'!W24=TRUE,'Jul 2027'!W24="x",'Jul 2027'!W24="X"),1,0))</f>
        <v/>
      </c>
      <c r="T301" s="345">
        <f>IF($A301="","",IF(OR('Jul 2027'!W25=TRUE,'Jul 2027'!W25="x",'Jul 2027'!W25="X"),1,0))</f>
        <v/>
      </c>
      <c r="U301" s="345">
        <f>IF($A301="","",IF(OR('Jul 2027'!W26=TRUE,'Jul 2027'!W26="x",'Jul 2027'!W26="X"),1,0))</f>
        <v/>
      </c>
      <c r="V301" s="345">
        <f>IF($A301="","",IF(OR('Jul 2027'!W27=TRUE,'Jul 2027'!W27="x",'Jul 2027'!W27="X"),1,0))</f>
        <v/>
      </c>
      <c r="W301" s="345">
        <f>IF($A301="","",IF(OR('Jul 2027'!W28=TRUE,'Jul 2027'!W28="x",'Jul 2027'!W28="X"),1,0))</f>
        <v/>
      </c>
      <c r="X301" s="345">
        <f>IF($A301="","",IF(OR('Jul 2027'!W29=TRUE,'Jul 2027'!W29="x",'Jul 2027'!W29="X"),1,0))</f>
        <v/>
      </c>
      <c r="Y301" s="345">
        <f>IF($A301="","",IF(OR('Jul 2027'!W30=TRUE,'Jul 2027'!W30="x",'Jul 2027'!W30="X"),1,0))</f>
        <v/>
      </c>
      <c r="Z301" s="345">
        <f>IF($A301="","",IF(OR('Jul 2027'!W31=TRUE,'Jul 2027'!W31="x",'Jul 2027'!W31="X"),1,0))</f>
        <v/>
      </c>
      <c r="AA301" s="345">
        <f>IF($A301="","",IF(OR('Jul 2027'!W32=TRUE,'Jul 2027'!W32="x",'Jul 2027'!W32="X"),1,0))</f>
        <v/>
      </c>
      <c r="AB301" s="345">
        <f>IF($A301="","",IF(OR('Jul 2027'!W34=TRUE,'Jul 2027'!W34="x",'Jul 2027'!W34="X"),1,0))</f>
        <v/>
      </c>
      <c r="AC301" s="345">
        <f>IF($A301="","",IF(OR('Jul 2027'!W35=TRUE,'Jul 2027'!W35="x",'Jul 2027'!W35="X"),1,0))</f>
        <v/>
      </c>
      <c r="AD301" s="345">
        <f>IF($A301="","",IF(OR('Jul 2027'!W36=TRUE,'Jul 2027'!W36="x",'Jul 2027'!W36="X"),1,0))</f>
        <v/>
      </c>
      <c r="AE301" s="345">
        <f>IF($A301="","",IF(OR('Jul 2027'!W37=TRUE,'Jul 2027'!W37="x",'Jul 2027'!W37="X"),1,0))</f>
        <v/>
      </c>
      <c r="AF301" s="345">
        <f>IF($A301="","",IF('Jul 2027'!W59="","",'Jul 2027'!W59))</f>
        <v/>
      </c>
      <c r="AG301" s="345">
        <f>IF($A301="","",IF('Jul 2027'!W60="","",'Jul 2027'!W60))</f>
        <v/>
      </c>
      <c r="AH301" s="345">
        <f>IF($A301="","",IF('Jul 2027'!W61="","",'Jul 2027'!W61))</f>
        <v/>
      </c>
      <c r="AI301" s="345">
        <f>IF($A301="","",IF('Jul 2027'!W62="","",'Jul 2027'!W62))</f>
        <v/>
      </c>
      <c r="AJ301" s="345">
        <f>IF($A301="","",IF('Jul 2027'!W63="","",'Jul 2027'!W63))</f>
        <v/>
      </c>
      <c r="AK301" s="345">
        <f>IF($A301="","",IF('Jul 2027'!W64="","",'Jul 2027'!W64))</f>
        <v/>
      </c>
      <c r="AL301" s="345">
        <f>IF($A301="","",IF('Jul 2027'!W65="","",'Jul 2027'!W65))</f>
        <v/>
      </c>
      <c r="AM301" s="345">
        <f>IF($A301="","",IF('Jul 2027'!W66="","",'Jul 2027'!W66))</f>
        <v/>
      </c>
      <c r="AN301" s="345">
        <f>IF($A301="","",IF('Jul 2027'!W67="","",'Jul 2027'!W67))</f>
        <v/>
      </c>
      <c r="AO301" s="345">
        <f>IF($A301="",0,IF(AND($A301&gt;=TrackStart,$A301&lt;=TODAY()),1,0))</f>
        <v/>
      </c>
      <c r="AP301" s="345">
        <f>IF($A301="",0,IF(SUM(F301:AE301)+COUNT(AF301:AN301)&gt;0,1,0))</f>
        <v/>
      </c>
      <c r="AQ301" s="345">
        <f>IF($A301="","",INT(($A301-TrackStart)/7)+1)</f>
        <v/>
      </c>
      <c r="AR301" s="345">
        <f>IF($A301="","",IF(AQ301&lt;=1,Steps1,IF(AQ301=2,Steps2,Steps3)))</f>
        <v/>
      </c>
      <c r="AS301" s="345">
        <f>IF($A301="",0,IF(ISNUMBER(SEARCH(TEXT(D301,"0"),WorkDays&amp;"")),1,0))</f>
        <v/>
      </c>
      <c r="AT301" s="345">
        <f>IF($A301="",0,IF(ISNUMBER(SEARCH(TEXT(D301,"0"),StrDays&amp;"")),1,0))</f>
        <v/>
      </c>
      <c r="AU301" s="345">
        <f>IF($A301="",0,IF(ISNUMBER(AK301),IF(AK301&gt;=SleepMin,1,0),N301))</f>
        <v/>
      </c>
      <c r="AV301" s="345">
        <f>IF($A301="",0,MAX(I301,O301,S301,AC301))</f>
        <v/>
      </c>
      <c r="AW301" s="345">
        <f>IF($A301="",0,IF(ISNUMBER(AH301),IF(AH301&gt;=ProtHit,1,0),0))</f>
        <v/>
      </c>
      <c r="AX301" s="345">
        <f>IF($A301="",0,IF(ISNUMBER(AI301),IF(AI301&gt;=WaterHit,1,0),0))</f>
        <v/>
      </c>
      <c r="AY301" s="345">
        <f>IF($A301="",0,IF(ISNUMBER(AG301),IF(AG301&gt;=AR301,1,0),0))</f>
        <v/>
      </c>
      <c r="AZ301" s="345">
        <f>IF($A301="",0,G301)</f>
        <v/>
      </c>
      <c r="BA301" s="345">
        <f>IF($A301="",0,J301)</f>
        <v/>
      </c>
      <c r="BB301" s="345">
        <f>IF($A301="",0,K301)</f>
        <v/>
      </c>
      <c r="BC301" s="345">
        <f>IF($A301="",0,MAX(L301,AE301))</f>
        <v/>
      </c>
      <c r="BD301" s="344">
        <f>IF($A301="","",(AU301+AV301+AW301+AX301+AY301+AZ301+BB301+BC301+IF(AS301=1,BA301,0))/(8+AS301))</f>
        <v/>
      </c>
      <c r="BE301" s="344">
        <f>IF($A301="","",(IF(ISNUMBER(AI301),IF(AI301&gt;=WaterMVD,1,0),0)+AV301+IF(ISNUMBER(AH301),IF(AH301&gt;=ProtMVD,1,0),0)+MAX(H301,AD301)+AZ301+BB301+AU301)/7)</f>
        <v/>
      </c>
      <c r="BF301" s="344">
        <f>IF(AO301=0,"",IF(E301="S","",IF(AND(AP301=0,$A301=TODAY()),"",IF(E301="M",BE301,BD301))))</f>
        <v/>
      </c>
      <c r="BG301" s="344">
        <f>IF(AO301=0,"",IFERROR(AVERAGEIFS(Data!$BF$4:$BF$375,Data!$A$4:$A$375,"&gt;"&amp;($A301-7),Data!$A$4:$A$375,"&lt;="&amp;$A301),""))</f>
        <v/>
      </c>
      <c r="BH301" s="344">
        <f>IF(AO301=0,"",IFERROR(AVERAGEIFS(Data!$BF$4:$BF$375,Data!$A$4:$A$375,"&gt;"&amp;($A301-30),Data!$A$4:$A$375,"&lt;="&amp;$A301),""))</f>
        <v/>
      </c>
      <c r="BI301" s="359">
        <f>IF($A301="","",IFERROR(AVERAGEIFS(Data!$AF$4:$AF$375,Data!$A$4:$A$375,"&gt;"&amp;($A301-7),Data!$A$4:$A$375,"&lt;="&amp;$A301,Data!$AF$4:$AF$375,"&gt;0"),""))</f>
        <v/>
      </c>
      <c r="BJ301" s="345">
        <f>IF($A301="","",F301+G301+H301+I301+J301+K301+L301+M301+N301-IF(AS301=1,0,J301))</f>
        <v/>
      </c>
      <c r="BK301" s="345">
        <f>IF($A301="","",8+AS301)</f>
        <v/>
      </c>
      <c r="BL301" s="345">
        <f>IF(ISNUMBER(BF301),BF301,NA())</f>
        <v/>
      </c>
      <c r="BM301" s="345">
        <f>IF(ISNUMBER(AF301),AF301,NA())</f>
        <v/>
      </c>
      <c r="BN301" s="345">
        <f>IF(ISNUMBER(BI301),BI301,NA())</f>
        <v/>
      </c>
      <c r="BO301" s="345">
        <f>IF(ISNUMBER(AL301),AL301,NA())</f>
        <v/>
      </c>
      <c r="BP301" s="345">
        <f>IF(ISNUMBER(AM301),AM301,NA())</f>
        <v/>
      </c>
      <c r="BQ301" s="345">
        <f>IF(ISNUMBER(AN301),AN301,NA())</f>
        <v/>
      </c>
    </row>
    <row r="302">
      <c r="A302" s="358">
        <f>IF('Jul 2027'!X7="","",'Jul 2027'!X7)</f>
        <v/>
      </c>
      <c r="B302" s="345" t="n">
        <v>10</v>
      </c>
      <c r="C302" s="345">
        <f>IF($A302="","",20)</f>
        <v/>
      </c>
      <c r="D302" s="345">
        <f>IF($A302="","",WEEKDAY($A302,2))</f>
        <v/>
      </c>
      <c r="E302" s="345">
        <f>IF($A302="","",UPPER(TRIM('Jul 2027'!X8)))</f>
        <v/>
      </c>
      <c r="F302" s="345">
        <f>IF($A302="","",IF(OR('Jul 2027'!X10=TRUE,'Jul 2027'!X10="x",'Jul 2027'!X10="X"),1,0))</f>
        <v/>
      </c>
      <c r="G302" s="345">
        <f>IF($A302="","",IF(OR('Jul 2027'!X11=TRUE,'Jul 2027'!X11="x",'Jul 2027'!X11="X"),1,0))</f>
        <v/>
      </c>
      <c r="H302" s="345">
        <f>IF($A302="","",IF(OR('Jul 2027'!X12=TRUE,'Jul 2027'!X12="x",'Jul 2027'!X12="X"),1,0))</f>
        <v/>
      </c>
      <c r="I302" s="345">
        <f>IF($A302="","",IF(OR('Jul 2027'!X13=TRUE,'Jul 2027'!X13="x",'Jul 2027'!X13="X"),1,0))</f>
        <v/>
      </c>
      <c r="J302" s="345">
        <f>IF($A302="","",IF(OR('Jul 2027'!X14=TRUE,'Jul 2027'!X14="x",'Jul 2027'!X14="X"),1,0))</f>
        <v/>
      </c>
      <c r="K302" s="345">
        <f>IF($A302="","",IF(OR('Jul 2027'!X15=TRUE,'Jul 2027'!X15="x",'Jul 2027'!X15="X"),1,0))</f>
        <v/>
      </c>
      <c r="L302" s="345">
        <f>IF($A302="","",IF(OR('Jul 2027'!X16=TRUE,'Jul 2027'!X16="x",'Jul 2027'!X16="X"),1,0))</f>
        <v/>
      </c>
      <c r="M302" s="345">
        <f>IF($A302="","",IF(OR('Jul 2027'!X17=TRUE,'Jul 2027'!X17="x",'Jul 2027'!X17="X"),1,0))</f>
        <v/>
      </c>
      <c r="N302" s="345">
        <f>IF($A302="","",IF(OR('Jul 2027'!X18=TRUE,'Jul 2027'!X18="x",'Jul 2027'!X18="X"),1,0))</f>
        <v/>
      </c>
      <c r="O302" s="345">
        <f>IF($A302="","",IF(OR('Jul 2027'!X20=TRUE,'Jul 2027'!X20="x",'Jul 2027'!X20="X"),1,0))</f>
        <v/>
      </c>
      <c r="P302" s="345">
        <f>IF($A302="","",IF(OR('Jul 2027'!X21=TRUE,'Jul 2027'!X21="x",'Jul 2027'!X21="X"),1,0))</f>
        <v/>
      </c>
      <c r="Q302" s="345">
        <f>IF($A302="","",IF(OR('Jul 2027'!X22=TRUE,'Jul 2027'!X22="x",'Jul 2027'!X22="X"),1,0))</f>
        <v/>
      </c>
      <c r="R302" s="345">
        <f>IF($A302="","",IF(OR('Jul 2027'!X23=TRUE,'Jul 2027'!X23="x",'Jul 2027'!X23="X"),1,0))</f>
        <v/>
      </c>
      <c r="S302" s="345">
        <f>IF($A302="","",IF(OR('Jul 2027'!X24=TRUE,'Jul 2027'!X24="x",'Jul 2027'!X24="X"),1,0))</f>
        <v/>
      </c>
      <c r="T302" s="345">
        <f>IF($A302="","",IF(OR('Jul 2027'!X25=TRUE,'Jul 2027'!X25="x",'Jul 2027'!X25="X"),1,0))</f>
        <v/>
      </c>
      <c r="U302" s="345">
        <f>IF($A302="","",IF(OR('Jul 2027'!X26=TRUE,'Jul 2027'!X26="x",'Jul 2027'!X26="X"),1,0))</f>
        <v/>
      </c>
      <c r="V302" s="345">
        <f>IF($A302="","",IF(OR('Jul 2027'!X27=TRUE,'Jul 2027'!X27="x",'Jul 2027'!X27="X"),1,0))</f>
        <v/>
      </c>
      <c r="W302" s="345">
        <f>IF($A302="","",IF(OR('Jul 2027'!X28=TRUE,'Jul 2027'!X28="x",'Jul 2027'!X28="X"),1,0))</f>
        <v/>
      </c>
      <c r="X302" s="345">
        <f>IF($A302="","",IF(OR('Jul 2027'!X29=TRUE,'Jul 2027'!X29="x",'Jul 2027'!X29="X"),1,0))</f>
        <v/>
      </c>
      <c r="Y302" s="345">
        <f>IF($A302="","",IF(OR('Jul 2027'!X30=TRUE,'Jul 2027'!X30="x",'Jul 2027'!X30="X"),1,0))</f>
        <v/>
      </c>
      <c r="Z302" s="345">
        <f>IF($A302="","",IF(OR('Jul 2027'!X31=TRUE,'Jul 2027'!X31="x",'Jul 2027'!X31="X"),1,0))</f>
        <v/>
      </c>
      <c r="AA302" s="345">
        <f>IF($A302="","",IF(OR('Jul 2027'!X32=TRUE,'Jul 2027'!X32="x",'Jul 2027'!X32="X"),1,0))</f>
        <v/>
      </c>
      <c r="AB302" s="345">
        <f>IF($A302="","",IF(OR('Jul 2027'!X34=TRUE,'Jul 2027'!X34="x",'Jul 2027'!X34="X"),1,0))</f>
        <v/>
      </c>
      <c r="AC302" s="345">
        <f>IF($A302="","",IF(OR('Jul 2027'!X35=TRUE,'Jul 2027'!X35="x",'Jul 2027'!X35="X"),1,0))</f>
        <v/>
      </c>
      <c r="AD302" s="345">
        <f>IF($A302="","",IF(OR('Jul 2027'!X36=TRUE,'Jul 2027'!X36="x",'Jul 2027'!X36="X"),1,0))</f>
        <v/>
      </c>
      <c r="AE302" s="345">
        <f>IF($A302="","",IF(OR('Jul 2027'!X37=TRUE,'Jul 2027'!X37="x",'Jul 2027'!X37="X"),1,0))</f>
        <v/>
      </c>
      <c r="AF302" s="345">
        <f>IF($A302="","",IF('Jul 2027'!X59="","",'Jul 2027'!X59))</f>
        <v/>
      </c>
      <c r="AG302" s="345">
        <f>IF($A302="","",IF('Jul 2027'!X60="","",'Jul 2027'!X60))</f>
        <v/>
      </c>
      <c r="AH302" s="345">
        <f>IF($A302="","",IF('Jul 2027'!X61="","",'Jul 2027'!X61))</f>
        <v/>
      </c>
      <c r="AI302" s="345">
        <f>IF($A302="","",IF('Jul 2027'!X62="","",'Jul 2027'!X62))</f>
        <v/>
      </c>
      <c r="AJ302" s="345">
        <f>IF($A302="","",IF('Jul 2027'!X63="","",'Jul 2027'!X63))</f>
        <v/>
      </c>
      <c r="AK302" s="345">
        <f>IF($A302="","",IF('Jul 2027'!X64="","",'Jul 2027'!X64))</f>
        <v/>
      </c>
      <c r="AL302" s="345">
        <f>IF($A302="","",IF('Jul 2027'!X65="","",'Jul 2027'!X65))</f>
        <v/>
      </c>
      <c r="AM302" s="345">
        <f>IF($A302="","",IF('Jul 2027'!X66="","",'Jul 2027'!X66))</f>
        <v/>
      </c>
      <c r="AN302" s="345">
        <f>IF($A302="","",IF('Jul 2027'!X67="","",'Jul 2027'!X67))</f>
        <v/>
      </c>
      <c r="AO302" s="345">
        <f>IF($A302="",0,IF(AND($A302&gt;=TrackStart,$A302&lt;=TODAY()),1,0))</f>
        <v/>
      </c>
      <c r="AP302" s="345">
        <f>IF($A302="",0,IF(SUM(F302:AE302)+COUNT(AF302:AN302)&gt;0,1,0))</f>
        <v/>
      </c>
      <c r="AQ302" s="345">
        <f>IF($A302="","",INT(($A302-TrackStart)/7)+1)</f>
        <v/>
      </c>
      <c r="AR302" s="345">
        <f>IF($A302="","",IF(AQ302&lt;=1,Steps1,IF(AQ302=2,Steps2,Steps3)))</f>
        <v/>
      </c>
      <c r="AS302" s="345">
        <f>IF($A302="",0,IF(ISNUMBER(SEARCH(TEXT(D302,"0"),WorkDays&amp;"")),1,0))</f>
        <v/>
      </c>
      <c r="AT302" s="345">
        <f>IF($A302="",0,IF(ISNUMBER(SEARCH(TEXT(D302,"0"),StrDays&amp;"")),1,0))</f>
        <v/>
      </c>
      <c r="AU302" s="345">
        <f>IF($A302="",0,IF(ISNUMBER(AK302),IF(AK302&gt;=SleepMin,1,0),N302))</f>
        <v/>
      </c>
      <c r="AV302" s="345">
        <f>IF($A302="",0,MAX(I302,O302,S302,AC302))</f>
        <v/>
      </c>
      <c r="AW302" s="345">
        <f>IF($A302="",0,IF(ISNUMBER(AH302),IF(AH302&gt;=ProtHit,1,0),0))</f>
        <v/>
      </c>
      <c r="AX302" s="345">
        <f>IF($A302="",0,IF(ISNUMBER(AI302),IF(AI302&gt;=WaterHit,1,0),0))</f>
        <v/>
      </c>
      <c r="AY302" s="345">
        <f>IF($A302="",0,IF(ISNUMBER(AG302),IF(AG302&gt;=AR302,1,0),0))</f>
        <v/>
      </c>
      <c r="AZ302" s="345">
        <f>IF($A302="",0,G302)</f>
        <v/>
      </c>
      <c r="BA302" s="345">
        <f>IF($A302="",0,J302)</f>
        <v/>
      </c>
      <c r="BB302" s="345">
        <f>IF($A302="",0,K302)</f>
        <v/>
      </c>
      <c r="BC302" s="345">
        <f>IF($A302="",0,MAX(L302,AE302))</f>
        <v/>
      </c>
      <c r="BD302" s="344">
        <f>IF($A302="","",(AU302+AV302+AW302+AX302+AY302+AZ302+BB302+BC302+IF(AS302=1,BA302,0))/(8+AS302))</f>
        <v/>
      </c>
      <c r="BE302" s="344">
        <f>IF($A302="","",(IF(ISNUMBER(AI302),IF(AI302&gt;=WaterMVD,1,0),0)+AV302+IF(ISNUMBER(AH302),IF(AH302&gt;=ProtMVD,1,0),0)+MAX(H302,AD302)+AZ302+BB302+AU302)/7)</f>
        <v/>
      </c>
      <c r="BF302" s="344">
        <f>IF(AO302=0,"",IF(E302="S","",IF(AND(AP302=0,$A302=TODAY()),"",IF(E302="M",BE302,BD302))))</f>
        <v/>
      </c>
      <c r="BG302" s="344">
        <f>IF(AO302=0,"",IFERROR(AVERAGEIFS(Data!$BF$4:$BF$375,Data!$A$4:$A$375,"&gt;"&amp;($A302-7),Data!$A$4:$A$375,"&lt;="&amp;$A302),""))</f>
        <v/>
      </c>
      <c r="BH302" s="344">
        <f>IF(AO302=0,"",IFERROR(AVERAGEIFS(Data!$BF$4:$BF$375,Data!$A$4:$A$375,"&gt;"&amp;($A302-30),Data!$A$4:$A$375,"&lt;="&amp;$A302),""))</f>
        <v/>
      </c>
      <c r="BI302" s="359">
        <f>IF($A302="","",IFERROR(AVERAGEIFS(Data!$AF$4:$AF$375,Data!$A$4:$A$375,"&gt;"&amp;($A302-7),Data!$A$4:$A$375,"&lt;="&amp;$A302,Data!$AF$4:$AF$375,"&gt;0"),""))</f>
        <v/>
      </c>
      <c r="BJ302" s="345">
        <f>IF($A302="","",F302+G302+H302+I302+J302+K302+L302+M302+N302-IF(AS302=1,0,J302))</f>
        <v/>
      </c>
      <c r="BK302" s="345">
        <f>IF($A302="","",8+AS302)</f>
        <v/>
      </c>
      <c r="BL302" s="345">
        <f>IF(ISNUMBER(BF302),BF302,NA())</f>
        <v/>
      </c>
      <c r="BM302" s="345">
        <f>IF(ISNUMBER(AF302),AF302,NA())</f>
        <v/>
      </c>
      <c r="BN302" s="345">
        <f>IF(ISNUMBER(BI302),BI302,NA())</f>
        <v/>
      </c>
      <c r="BO302" s="345">
        <f>IF(ISNUMBER(AL302),AL302,NA())</f>
        <v/>
      </c>
      <c r="BP302" s="345">
        <f>IF(ISNUMBER(AM302),AM302,NA())</f>
        <v/>
      </c>
      <c r="BQ302" s="345">
        <f>IF(ISNUMBER(AN302),AN302,NA())</f>
        <v/>
      </c>
    </row>
    <row r="303">
      <c r="A303" s="358">
        <f>IF('Jul 2027'!Y7="","",'Jul 2027'!Y7)</f>
        <v/>
      </c>
      <c r="B303" s="345" t="n">
        <v>10</v>
      </c>
      <c r="C303" s="345">
        <f>IF($A303="","",21)</f>
        <v/>
      </c>
      <c r="D303" s="345">
        <f>IF($A303="","",WEEKDAY($A303,2))</f>
        <v/>
      </c>
      <c r="E303" s="345">
        <f>IF($A303="","",UPPER(TRIM('Jul 2027'!Y8)))</f>
        <v/>
      </c>
      <c r="F303" s="345">
        <f>IF($A303="","",IF(OR('Jul 2027'!Y10=TRUE,'Jul 2027'!Y10="x",'Jul 2027'!Y10="X"),1,0))</f>
        <v/>
      </c>
      <c r="G303" s="345">
        <f>IF($A303="","",IF(OR('Jul 2027'!Y11=TRUE,'Jul 2027'!Y11="x",'Jul 2027'!Y11="X"),1,0))</f>
        <v/>
      </c>
      <c r="H303" s="345">
        <f>IF($A303="","",IF(OR('Jul 2027'!Y12=TRUE,'Jul 2027'!Y12="x",'Jul 2027'!Y12="X"),1,0))</f>
        <v/>
      </c>
      <c r="I303" s="345">
        <f>IF($A303="","",IF(OR('Jul 2027'!Y13=TRUE,'Jul 2027'!Y13="x",'Jul 2027'!Y13="X"),1,0))</f>
        <v/>
      </c>
      <c r="J303" s="345">
        <f>IF($A303="","",IF(OR('Jul 2027'!Y14=TRUE,'Jul 2027'!Y14="x",'Jul 2027'!Y14="X"),1,0))</f>
        <v/>
      </c>
      <c r="K303" s="345">
        <f>IF($A303="","",IF(OR('Jul 2027'!Y15=TRUE,'Jul 2027'!Y15="x",'Jul 2027'!Y15="X"),1,0))</f>
        <v/>
      </c>
      <c r="L303" s="345">
        <f>IF($A303="","",IF(OR('Jul 2027'!Y16=TRUE,'Jul 2027'!Y16="x",'Jul 2027'!Y16="X"),1,0))</f>
        <v/>
      </c>
      <c r="M303" s="345">
        <f>IF($A303="","",IF(OR('Jul 2027'!Y17=TRUE,'Jul 2027'!Y17="x",'Jul 2027'!Y17="X"),1,0))</f>
        <v/>
      </c>
      <c r="N303" s="345">
        <f>IF($A303="","",IF(OR('Jul 2027'!Y18=TRUE,'Jul 2027'!Y18="x",'Jul 2027'!Y18="X"),1,0))</f>
        <v/>
      </c>
      <c r="O303" s="345">
        <f>IF($A303="","",IF(OR('Jul 2027'!Y20=TRUE,'Jul 2027'!Y20="x",'Jul 2027'!Y20="X"),1,0))</f>
        <v/>
      </c>
      <c r="P303" s="345">
        <f>IF($A303="","",IF(OR('Jul 2027'!Y21=TRUE,'Jul 2027'!Y21="x",'Jul 2027'!Y21="X"),1,0))</f>
        <v/>
      </c>
      <c r="Q303" s="345">
        <f>IF($A303="","",IF(OR('Jul 2027'!Y22=TRUE,'Jul 2027'!Y22="x",'Jul 2027'!Y22="X"),1,0))</f>
        <v/>
      </c>
      <c r="R303" s="345">
        <f>IF($A303="","",IF(OR('Jul 2027'!Y23=TRUE,'Jul 2027'!Y23="x",'Jul 2027'!Y23="X"),1,0))</f>
        <v/>
      </c>
      <c r="S303" s="345">
        <f>IF($A303="","",IF(OR('Jul 2027'!Y24=TRUE,'Jul 2027'!Y24="x",'Jul 2027'!Y24="X"),1,0))</f>
        <v/>
      </c>
      <c r="T303" s="345">
        <f>IF($A303="","",IF(OR('Jul 2027'!Y25=TRUE,'Jul 2027'!Y25="x",'Jul 2027'!Y25="X"),1,0))</f>
        <v/>
      </c>
      <c r="U303" s="345">
        <f>IF($A303="","",IF(OR('Jul 2027'!Y26=TRUE,'Jul 2027'!Y26="x",'Jul 2027'!Y26="X"),1,0))</f>
        <v/>
      </c>
      <c r="V303" s="345">
        <f>IF($A303="","",IF(OR('Jul 2027'!Y27=TRUE,'Jul 2027'!Y27="x",'Jul 2027'!Y27="X"),1,0))</f>
        <v/>
      </c>
      <c r="W303" s="345">
        <f>IF($A303="","",IF(OR('Jul 2027'!Y28=TRUE,'Jul 2027'!Y28="x",'Jul 2027'!Y28="X"),1,0))</f>
        <v/>
      </c>
      <c r="X303" s="345">
        <f>IF($A303="","",IF(OR('Jul 2027'!Y29=TRUE,'Jul 2027'!Y29="x",'Jul 2027'!Y29="X"),1,0))</f>
        <v/>
      </c>
      <c r="Y303" s="345">
        <f>IF($A303="","",IF(OR('Jul 2027'!Y30=TRUE,'Jul 2027'!Y30="x",'Jul 2027'!Y30="X"),1,0))</f>
        <v/>
      </c>
      <c r="Z303" s="345">
        <f>IF($A303="","",IF(OR('Jul 2027'!Y31=TRUE,'Jul 2027'!Y31="x",'Jul 2027'!Y31="X"),1,0))</f>
        <v/>
      </c>
      <c r="AA303" s="345">
        <f>IF($A303="","",IF(OR('Jul 2027'!Y32=TRUE,'Jul 2027'!Y32="x",'Jul 2027'!Y32="X"),1,0))</f>
        <v/>
      </c>
      <c r="AB303" s="345">
        <f>IF($A303="","",IF(OR('Jul 2027'!Y34=TRUE,'Jul 2027'!Y34="x",'Jul 2027'!Y34="X"),1,0))</f>
        <v/>
      </c>
      <c r="AC303" s="345">
        <f>IF($A303="","",IF(OR('Jul 2027'!Y35=TRUE,'Jul 2027'!Y35="x",'Jul 2027'!Y35="X"),1,0))</f>
        <v/>
      </c>
      <c r="AD303" s="345">
        <f>IF($A303="","",IF(OR('Jul 2027'!Y36=TRUE,'Jul 2027'!Y36="x",'Jul 2027'!Y36="X"),1,0))</f>
        <v/>
      </c>
      <c r="AE303" s="345">
        <f>IF($A303="","",IF(OR('Jul 2027'!Y37=TRUE,'Jul 2027'!Y37="x",'Jul 2027'!Y37="X"),1,0))</f>
        <v/>
      </c>
      <c r="AF303" s="345">
        <f>IF($A303="","",IF('Jul 2027'!Y59="","",'Jul 2027'!Y59))</f>
        <v/>
      </c>
      <c r="AG303" s="345">
        <f>IF($A303="","",IF('Jul 2027'!Y60="","",'Jul 2027'!Y60))</f>
        <v/>
      </c>
      <c r="AH303" s="345">
        <f>IF($A303="","",IF('Jul 2027'!Y61="","",'Jul 2027'!Y61))</f>
        <v/>
      </c>
      <c r="AI303" s="345">
        <f>IF($A303="","",IF('Jul 2027'!Y62="","",'Jul 2027'!Y62))</f>
        <v/>
      </c>
      <c r="AJ303" s="345">
        <f>IF($A303="","",IF('Jul 2027'!Y63="","",'Jul 2027'!Y63))</f>
        <v/>
      </c>
      <c r="AK303" s="345">
        <f>IF($A303="","",IF('Jul 2027'!Y64="","",'Jul 2027'!Y64))</f>
        <v/>
      </c>
      <c r="AL303" s="345">
        <f>IF($A303="","",IF('Jul 2027'!Y65="","",'Jul 2027'!Y65))</f>
        <v/>
      </c>
      <c r="AM303" s="345">
        <f>IF($A303="","",IF('Jul 2027'!Y66="","",'Jul 2027'!Y66))</f>
        <v/>
      </c>
      <c r="AN303" s="345">
        <f>IF($A303="","",IF('Jul 2027'!Y67="","",'Jul 2027'!Y67))</f>
        <v/>
      </c>
      <c r="AO303" s="345">
        <f>IF($A303="",0,IF(AND($A303&gt;=TrackStart,$A303&lt;=TODAY()),1,0))</f>
        <v/>
      </c>
      <c r="AP303" s="345">
        <f>IF($A303="",0,IF(SUM(F303:AE303)+COUNT(AF303:AN303)&gt;0,1,0))</f>
        <v/>
      </c>
      <c r="AQ303" s="345">
        <f>IF($A303="","",INT(($A303-TrackStart)/7)+1)</f>
        <v/>
      </c>
      <c r="AR303" s="345">
        <f>IF($A303="","",IF(AQ303&lt;=1,Steps1,IF(AQ303=2,Steps2,Steps3)))</f>
        <v/>
      </c>
      <c r="AS303" s="345">
        <f>IF($A303="",0,IF(ISNUMBER(SEARCH(TEXT(D303,"0"),WorkDays&amp;"")),1,0))</f>
        <v/>
      </c>
      <c r="AT303" s="345">
        <f>IF($A303="",0,IF(ISNUMBER(SEARCH(TEXT(D303,"0"),StrDays&amp;"")),1,0))</f>
        <v/>
      </c>
      <c r="AU303" s="345">
        <f>IF($A303="",0,IF(ISNUMBER(AK303),IF(AK303&gt;=SleepMin,1,0),N303))</f>
        <v/>
      </c>
      <c r="AV303" s="345">
        <f>IF($A303="",0,MAX(I303,O303,S303,AC303))</f>
        <v/>
      </c>
      <c r="AW303" s="345">
        <f>IF($A303="",0,IF(ISNUMBER(AH303),IF(AH303&gt;=ProtHit,1,0),0))</f>
        <v/>
      </c>
      <c r="AX303" s="345">
        <f>IF($A303="",0,IF(ISNUMBER(AI303),IF(AI303&gt;=WaterHit,1,0),0))</f>
        <v/>
      </c>
      <c r="AY303" s="345">
        <f>IF($A303="",0,IF(ISNUMBER(AG303),IF(AG303&gt;=AR303,1,0),0))</f>
        <v/>
      </c>
      <c r="AZ303" s="345">
        <f>IF($A303="",0,G303)</f>
        <v/>
      </c>
      <c r="BA303" s="345">
        <f>IF($A303="",0,J303)</f>
        <v/>
      </c>
      <c r="BB303" s="345">
        <f>IF($A303="",0,K303)</f>
        <v/>
      </c>
      <c r="BC303" s="345">
        <f>IF($A303="",0,MAX(L303,AE303))</f>
        <v/>
      </c>
      <c r="BD303" s="344">
        <f>IF($A303="","",(AU303+AV303+AW303+AX303+AY303+AZ303+BB303+BC303+IF(AS303=1,BA303,0))/(8+AS303))</f>
        <v/>
      </c>
      <c r="BE303" s="344">
        <f>IF($A303="","",(IF(ISNUMBER(AI303),IF(AI303&gt;=WaterMVD,1,0),0)+AV303+IF(ISNUMBER(AH303),IF(AH303&gt;=ProtMVD,1,0),0)+MAX(H303,AD303)+AZ303+BB303+AU303)/7)</f>
        <v/>
      </c>
      <c r="BF303" s="344">
        <f>IF(AO303=0,"",IF(E303="S","",IF(AND(AP303=0,$A303=TODAY()),"",IF(E303="M",BE303,BD303))))</f>
        <v/>
      </c>
      <c r="BG303" s="344">
        <f>IF(AO303=0,"",IFERROR(AVERAGEIFS(Data!$BF$4:$BF$375,Data!$A$4:$A$375,"&gt;"&amp;($A303-7),Data!$A$4:$A$375,"&lt;="&amp;$A303),""))</f>
        <v/>
      </c>
      <c r="BH303" s="344">
        <f>IF(AO303=0,"",IFERROR(AVERAGEIFS(Data!$BF$4:$BF$375,Data!$A$4:$A$375,"&gt;"&amp;($A303-30),Data!$A$4:$A$375,"&lt;="&amp;$A303),""))</f>
        <v/>
      </c>
      <c r="BI303" s="359">
        <f>IF($A303="","",IFERROR(AVERAGEIFS(Data!$AF$4:$AF$375,Data!$A$4:$A$375,"&gt;"&amp;($A303-7),Data!$A$4:$A$375,"&lt;="&amp;$A303,Data!$AF$4:$AF$375,"&gt;0"),""))</f>
        <v/>
      </c>
      <c r="BJ303" s="345">
        <f>IF($A303="","",F303+G303+H303+I303+J303+K303+L303+M303+N303-IF(AS303=1,0,J303))</f>
        <v/>
      </c>
      <c r="BK303" s="345">
        <f>IF($A303="","",8+AS303)</f>
        <v/>
      </c>
      <c r="BL303" s="345">
        <f>IF(ISNUMBER(BF303),BF303,NA())</f>
        <v/>
      </c>
      <c r="BM303" s="345">
        <f>IF(ISNUMBER(AF303),AF303,NA())</f>
        <v/>
      </c>
      <c r="BN303" s="345">
        <f>IF(ISNUMBER(BI303),BI303,NA())</f>
        <v/>
      </c>
      <c r="BO303" s="345">
        <f>IF(ISNUMBER(AL303),AL303,NA())</f>
        <v/>
      </c>
      <c r="BP303" s="345">
        <f>IF(ISNUMBER(AM303),AM303,NA())</f>
        <v/>
      </c>
      <c r="BQ303" s="345">
        <f>IF(ISNUMBER(AN303),AN303,NA())</f>
        <v/>
      </c>
    </row>
    <row r="304">
      <c r="A304" s="358">
        <f>IF('Jul 2027'!Z7="","",'Jul 2027'!Z7)</f>
        <v/>
      </c>
      <c r="B304" s="345" t="n">
        <v>10</v>
      </c>
      <c r="C304" s="345">
        <f>IF($A304="","",22)</f>
        <v/>
      </c>
      <c r="D304" s="345">
        <f>IF($A304="","",WEEKDAY($A304,2))</f>
        <v/>
      </c>
      <c r="E304" s="345">
        <f>IF($A304="","",UPPER(TRIM('Jul 2027'!Z8)))</f>
        <v/>
      </c>
      <c r="F304" s="345">
        <f>IF($A304="","",IF(OR('Jul 2027'!Z10=TRUE,'Jul 2027'!Z10="x",'Jul 2027'!Z10="X"),1,0))</f>
        <v/>
      </c>
      <c r="G304" s="345">
        <f>IF($A304="","",IF(OR('Jul 2027'!Z11=TRUE,'Jul 2027'!Z11="x",'Jul 2027'!Z11="X"),1,0))</f>
        <v/>
      </c>
      <c r="H304" s="345">
        <f>IF($A304="","",IF(OR('Jul 2027'!Z12=TRUE,'Jul 2027'!Z12="x",'Jul 2027'!Z12="X"),1,0))</f>
        <v/>
      </c>
      <c r="I304" s="345">
        <f>IF($A304="","",IF(OR('Jul 2027'!Z13=TRUE,'Jul 2027'!Z13="x",'Jul 2027'!Z13="X"),1,0))</f>
        <v/>
      </c>
      <c r="J304" s="345">
        <f>IF($A304="","",IF(OR('Jul 2027'!Z14=TRUE,'Jul 2027'!Z14="x",'Jul 2027'!Z14="X"),1,0))</f>
        <v/>
      </c>
      <c r="K304" s="345">
        <f>IF($A304="","",IF(OR('Jul 2027'!Z15=TRUE,'Jul 2027'!Z15="x",'Jul 2027'!Z15="X"),1,0))</f>
        <v/>
      </c>
      <c r="L304" s="345">
        <f>IF($A304="","",IF(OR('Jul 2027'!Z16=TRUE,'Jul 2027'!Z16="x",'Jul 2027'!Z16="X"),1,0))</f>
        <v/>
      </c>
      <c r="M304" s="345">
        <f>IF($A304="","",IF(OR('Jul 2027'!Z17=TRUE,'Jul 2027'!Z17="x",'Jul 2027'!Z17="X"),1,0))</f>
        <v/>
      </c>
      <c r="N304" s="345">
        <f>IF($A304="","",IF(OR('Jul 2027'!Z18=TRUE,'Jul 2027'!Z18="x",'Jul 2027'!Z18="X"),1,0))</f>
        <v/>
      </c>
      <c r="O304" s="345">
        <f>IF($A304="","",IF(OR('Jul 2027'!Z20=TRUE,'Jul 2027'!Z20="x",'Jul 2027'!Z20="X"),1,0))</f>
        <v/>
      </c>
      <c r="P304" s="345">
        <f>IF($A304="","",IF(OR('Jul 2027'!Z21=TRUE,'Jul 2027'!Z21="x",'Jul 2027'!Z21="X"),1,0))</f>
        <v/>
      </c>
      <c r="Q304" s="345">
        <f>IF($A304="","",IF(OR('Jul 2027'!Z22=TRUE,'Jul 2027'!Z22="x",'Jul 2027'!Z22="X"),1,0))</f>
        <v/>
      </c>
      <c r="R304" s="345">
        <f>IF($A304="","",IF(OR('Jul 2027'!Z23=TRUE,'Jul 2027'!Z23="x",'Jul 2027'!Z23="X"),1,0))</f>
        <v/>
      </c>
      <c r="S304" s="345">
        <f>IF($A304="","",IF(OR('Jul 2027'!Z24=TRUE,'Jul 2027'!Z24="x",'Jul 2027'!Z24="X"),1,0))</f>
        <v/>
      </c>
      <c r="T304" s="345">
        <f>IF($A304="","",IF(OR('Jul 2027'!Z25=TRUE,'Jul 2027'!Z25="x",'Jul 2027'!Z25="X"),1,0))</f>
        <v/>
      </c>
      <c r="U304" s="345">
        <f>IF($A304="","",IF(OR('Jul 2027'!Z26=TRUE,'Jul 2027'!Z26="x",'Jul 2027'!Z26="X"),1,0))</f>
        <v/>
      </c>
      <c r="V304" s="345">
        <f>IF($A304="","",IF(OR('Jul 2027'!Z27=TRUE,'Jul 2027'!Z27="x",'Jul 2027'!Z27="X"),1,0))</f>
        <v/>
      </c>
      <c r="W304" s="345">
        <f>IF($A304="","",IF(OR('Jul 2027'!Z28=TRUE,'Jul 2027'!Z28="x",'Jul 2027'!Z28="X"),1,0))</f>
        <v/>
      </c>
      <c r="X304" s="345">
        <f>IF($A304="","",IF(OR('Jul 2027'!Z29=TRUE,'Jul 2027'!Z29="x",'Jul 2027'!Z29="X"),1,0))</f>
        <v/>
      </c>
      <c r="Y304" s="345">
        <f>IF($A304="","",IF(OR('Jul 2027'!Z30=TRUE,'Jul 2027'!Z30="x",'Jul 2027'!Z30="X"),1,0))</f>
        <v/>
      </c>
      <c r="Z304" s="345">
        <f>IF($A304="","",IF(OR('Jul 2027'!Z31=TRUE,'Jul 2027'!Z31="x",'Jul 2027'!Z31="X"),1,0))</f>
        <v/>
      </c>
      <c r="AA304" s="345">
        <f>IF($A304="","",IF(OR('Jul 2027'!Z32=TRUE,'Jul 2027'!Z32="x",'Jul 2027'!Z32="X"),1,0))</f>
        <v/>
      </c>
      <c r="AB304" s="345">
        <f>IF($A304="","",IF(OR('Jul 2027'!Z34=TRUE,'Jul 2027'!Z34="x",'Jul 2027'!Z34="X"),1,0))</f>
        <v/>
      </c>
      <c r="AC304" s="345">
        <f>IF($A304="","",IF(OR('Jul 2027'!Z35=TRUE,'Jul 2027'!Z35="x",'Jul 2027'!Z35="X"),1,0))</f>
        <v/>
      </c>
      <c r="AD304" s="345">
        <f>IF($A304="","",IF(OR('Jul 2027'!Z36=TRUE,'Jul 2027'!Z36="x",'Jul 2027'!Z36="X"),1,0))</f>
        <v/>
      </c>
      <c r="AE304" s="345">
        <f>IF($A304="","",IF(OR('Jul 2027'!Z37=TRUE,'Jul 2027'!Z37="x",'Jul 2027'!Z37="X"),1,0))</f>
        <v/>
      </c>
      <c r="AF304" s="345">
        <f>IF($A304="","",IF('Jul 2027'!Z59="","",'Jul 2027'!Z59))</f>
        <v/>
      </c>
      <c r="AG304" s="345">
        <f>IF($A304="","",IF('Jul 2027'!Z60="","",'Jul 2027'!Z60))</f>
        <v/>
      </c>
      <c r="AH304" s="345">
        <f>IF($A304="","",IF('Jul 2027'!Z61="","",'Jul 2027'!Z61))</f>
        <v/>
      </c>
      <c r="AI304" s="345">
        <f>IF($A304="","",IF('Jul 2027'!Z62="","",'Jul 2027'!Z62))</f>
        <v/>
      </c>
      <c r="AJ304" s="345">
        <f>IF($A304="","",IF('Jul 2027'!Z63="","",'Jul 2027'!Z63))</f>
        <v/>
      </c>
      <c r="AK304" s="345">
        <f>IF($A304="","",IF('Jul 2027'!Z64="","",'Jul 2027'!Z64))</f>
        <v/>
      </c>
      <c r="AL304" s="345">
        <f>IF($A304="","",IF('Jul 2027'!Z65="","",'Jul 2027'!Z65))</f>
        <v/>
      </c>
      <c r="AM304" s="345">
        <f>IF($A304="","",IF('Jul 2027'!Z66="","",'Jul 2027'!Z66))</f>
        <v/>
      </c>
      <c r="AN304" s="345">
        <f>IF($A304="","",IF('Jul 2027'!Z67="","",'Jul 2027'!Z67))</f>
        <v/>
      </c>
      <c r="AO304" s="345">
        <f>IF($A304="",0,IF(AND($A304&gt;=TrackStart,$A304&lt;=TODAY()),1,0))</f>
        <v/>
      </c>
      <c r="AP304" s="345">
        <f>IF($A304="",0,IF(SUM(F304:AE304)+COUNT(AF304:AN304)&gt;0,1,0))</f>
        <v/>
      </c>
      <c r="AQ304" s="345">
        <f>IF($A304="","",INT(($A304-TrackStart)/7)+1)</f>
        <v/>
      </c>
      <c r="AR304" s="345">
        <f>IF($A304="","",IF(AQ304&lt;=1,Steps1,IF(AQ304=2,Steps2,Steps3)))</f>
        <v/>
      </c>
      <c r="AS304" s="345">
        <f>IF($A304="",0,IF(ISNUMBER(SEARCH(TEXT(D304,"0"),WorkDays&amp;"")),1,0))</f>
        <v/>
      </c>
      <c r="AT304" s="345">
        <f>IF($A304="",0,IF(ISNUMBER(SEARCH(TEXT(D304,"0"),StrDays&amp;"")),1,0))</f>
        <v/>
      </c>
      <c r="AU304" s="345">
        <f>IF($A304="",0,IF(ISNUMBER(AK304),IF(AK304&gt;=SleepMin,1,0),N304))</f>
        <v/>
      </c>
      <c r="AV304" s="345">
        <f>IF($A304="",0,MAX(I304,O304,S304,AC304))</f>
        <v/>
      </c>
      <c r="AW304" s="345">
        <f>IF($A304="",0,IF(ISNUMBER(AH304),IF(AH304&gt;=ProtHit,1,0),0))</f>
        <v/>
      </c>
      <c r="AX304" s="345">
        <f>IF($A304="",0,IF(ISNUMBER(AI304),IF(AI304&gt;=WaterHit,1,0),0))</f>
        <v/>
      </c>
      <c r="AY304" s="345">
        <f>IF($A304="",0,IF(ISNUMBER(AG304),IF(AG304&gt;=AR304,1,0),0))</f>
        <v/>
      </c>
      <c r="AZ304" s="345">
        <f>IF($A304="",0,G304)</f>
        <v/>
      </c>
      <c r="BA304" s="345">
        <f>IF($A304="",0,J304)</f>
        <v/>
      </c>
      <c r="BB304" s="345">
        <f>IF($A304="",0,K304)</f>
        <v/>
      </c>
      <c r="BC304" s="345">
        <f>IF($A304="",0,MAX(L304,AE304))</f>
        <v/>
      </c>
      <c r="BD304" s="344">
        <f>IF($A304="","",(AU304+AV304+AW304+AX304+AY304+AZ304+BB304+BC304+IF(AS304=1,BA304,0))/(8+AS304))</f>
        <v/>
      </c>
      <c r="BE304" s="344">
        <f>IF($A304="","",(IF(ISNUMBER(AI304),IF(AI304&gt;=WaterMVD,1,0),0)+AV304+IF(ISNUMBER(AH304),IF(AH304&gt;=ProtMVD,1,0),0)+MAX(H304,AD304)+AZ304+BB304+AU304)/7)</f>
        <v/>
      </c>
      <c r="BF304" s="344">
        <f>IF(AO304=0,"",IF(E304="S","",IF(AND(AP304=0,$A304=TODAY()),"",IF(E304="M",BE304,BD304))))</f>
        <v/>
      </c>
      <c r="BG304" s="344">
        <f>IF(AO304=0,"",IFERROR(AVERAGEIFS(Data!$BF$4:$BF$375,Data!$A$4:$A$375,"&gt;"&amp;($A304-7),Data!$A$4:$A$375,"&lt;="&amp;$A304),""))</f>
        <v/>
      </c>
      <c r="BH304" s="344">
        <f>IF(AO304=0,"",IFERROR(AVERAGEIFS(Data!$BF$4:$BF$375,Data!$A$4:$A$375,"&gt;"&amp;($A304-30),Data!$A$4:$A$375,"&lt;="&amp;$A304),""))</f>
        <v/>
      </c>
      <c r="BI304" s="359">
        <f>IF($A304="","",IFERROR(AVERAGEIFS(Data!$AF$4:$AF$375,Data!$A$4:$A$375,"&gt;"&amp;($A304-7),Data!$A$4:$A$375,"&lt;="&amp;$A304,Data!$AF$4:$AF$375,"&gt;0"),""))</f>
        <v/>
      </c>
      <c r="BJ304" s="345">
        <f>IF($A304="","",F304+G304+H304+I304+J304+K304+L304+M304+N304-IF(AS304=1,0,J304))</f>
        <v/>
      </c>
      <c r="BK304" s="345">
        <f>IF($A304="","",8+AS304)</f>
        <v/>
      </c>
      <c r="BL304" s="345">
        <f>IF(ISNUMBER(BF304),BF304,NA())</f>
        <v/>
      </c>
      <c r="BM304" s="345">
        <f>IF(ISNUMBER(AF304),AF304,NA())</f>
        <v/>
      </c>
      <c r="BN304" s="345">
        <f>IF(ISNUMBER(BI304),BI304,NA())</f>
        <v/>
      </c>
      <c r="BO304" s="345">
        <f>IF(ISNUMBER(AL304),AL304,NA())</f>
        <v/>
      </c>
      <c r="BP304" s="345">
        <f>IF(ISNUMBER(AM304),AM304,NA())</f>
        <v/>
      </c>
      <c r="BQ304" s="345">
        <f>IF(ISNUMBER(AN304),AN304,NA())</f>
        <v/>
      </c>
    </row>
    <row r="305">
      <c r="A305" s="358">
        <f>IF('Jul 2027'!AA7="","",'Jul 2027'!AA7)</f>
        <v/>
      </c>
      <c r="B305" s="345" t="n">
        <v>10</v>
      </c>
      <c r="C305" s="345">
        <f>IF($A305="","",23)</f>
        <v/>
      </c>
      <c r="D305" s="345">
        <f>IF($A305="","",WEEKDAY($A305,2))</f>
        <v/>
      </c>
      <c r="E305" s="345">
        <f>IF($A305="","",UPPER(TRIM('Jul 2027'!AA8)))</f>
        <v/>
      </c>
      <c r="F305" s="345">
        <f>IF($A305="","",IF(OR('Jul 2027'!AA10=TRUE,'Jul 2027'!AA10="x",'Jul 2027'!AA10="X"),1,0))</f>
        <v/>
      </c>
      <c r="G305" s="345">
        <f>IF($A305="","",IF(OR('Jul 2027'!AA11=TRUE,'Jul 2027'!AA11="x",'Jul 2027'!AA11="X"),1,0))</f>
        <v/>
      </c>
      <c r="H305" s="345">
        <f>IF($A305="","",IF(OR('Jul 2027'!AA12=TRUE,'Jul 2027'!AA12="x",'Jul 2027'!AA12="X"),1,0))</f>
        <v/>
      </c>
      <c r="I305" s="345">
        <f>IF($A305="","",IF(OR('Jul 2027'!AA13=TRUE,'Jul 2027'!AA13="x",'Jul 2027'!AA13="X"),1,0))</f>
        <v/>
      </c>
      <c r="J305" s="345">
        <f>IF($A305="","",IF(OR('Jul 2027'!AA14=TRUE,'Jul 2027'!AA14="x",'Jul 2027'!AA14="X"),1,0))</f>
        <v/>
      </c>
      <c r="K305" s="345">
        <f>IF($A305="","",IF(OR('Jul 2027'!AA15=TRUE,'Jul 2027'!AA15="x",'Jul 2027'!AA15="X"),1,0))</f>
        <v/>
      </c>
      <c r="L305" s="345">
        <f>IF($A305="","",IF(OR('Jul 2027'!AA16=TRUE,'Jul 2027'!AA16="x",'Jul 2027'!AA16="X"),1,0))</f>
        <v/>
      </c>
      <c r="M305" s="345">
        <f>IF($A305="","",IF(OR('Jul 2027'!AA17=TRUE,'Jul 2027'!AA17="x",'Jul 2027'!AA17="X"),1,0))</f>
        <v/>
      </c>
      <c r="N305" s="345">
        <f>IF($A305="","",IF(OR('Jul 2027'!AA18=TRUE,'Jul 2027'!AA18="x",'Jul 2027'!AA18="X"),1,0))</f>
        <v/>
      </c>
      <c r="O305" s="345">
        <f>IF($A305="","",IF(OR('Jul 2027'!AA20=TRUE,'Jul 2027'!AA20="x",'Jul 2027'!AA20="X"),1,0))</f>
        <v/>
      </c>
      <c r="P305" s="345">
        <f>IF($A305="","",IF(OR('Jul 2027'!AA21=TRUE,'Jul 2027'!AA21="x",'Jul 2027'!AA21="X"),1,0))</f>
        <v/>
      </c>
      <c r="Q305" s="345">
        <f>IF($A305="","",IF(OR('Jul 2027'!AA22=TRUE,'Jul 2027'!AA22="x",'Jul 2027'!AA22="X"),1,0))</f>
        <v/>
      </c>
      <c r="R305" s="345">
        <f>IF($A305="","",IF(OR('Jul 2027'!AA23=TRUE,'Jul 2027'!AA23="x",'Jul 2027'!AA23="X"),1,0))</f>
        <v/>
      </c>
      <c r="S305" s="345">
        <f>IF($A305="","",IF(OR('Jul 2027'!AA24=TRUE,'Jul 2027'!AA24="x",'Jul 2027'!AA24="X"),1,0))</f>
        <v/>
      </c>
      <c r="T305" s="345">
        <f>IF($A305="","",IF(OR('Jul 2027'!AA25=TRUE,'Jul 2027'!AA25="x",'Jul 2027'!AA25="X"),1,0))</f>
        <v/>
      </c>
      <c r="U305" s="345">
        <f>IF($A305="","",IF(OR('Jul 2027'!AA26=TRUE,'Jul 2027'!AA26="x",'Jul 2027'!AA26="X"),1,0))</f>
        <v/>
      </c>
      <c r="V305" s="345">
        <f>IF($A305="","",IF(OR('Jul 2027'!AA27=TRUE,'Jul 2027'!AA27="x",'Jul 2027'!AA27="X"),1,0))</f>
        <v/>
      </c>
      <c r="W305" s="345">
        <f>IF($A305="","",IF(OR('Jul 2027'!AA28=TRUE,'Jul 2027'!AA28="x",'Jul 2027'!AA28="X"),1,0))</f>
        <v/>
      </c>
      <c r="X305" s="345">
        <f>IF($A305="","",IF(OR('Jul 2027'!AA29=TRUE,'Jul 2027'!AA29="x",'Jul 2027'!AA29="X"),1,0))</f>
        <v/>
      </c>
      <c r="Y305" s="345">
        <f>IF($A305="","",IF(OR('Jul 2027'!AA30=TRUE,'Jul 2027'!AA30="x",'Jul 2027'!AA30="X"),1,0))</f>
        <v/>
      </c>
      <c r="Z305" s="345">
        <f>IF($A305="","",IF(OR('Jul 2027'!AA31=TRUE,'Jul 2027'!AA31="x",'Jul 2027'!AA31="X"),1,0))</f>
        <v/>
      </c>
      <c r="AA305" s="345">
        <f>IF($A305="","",IF(OR('Jul 2027'!AA32=TRUE,'Jul 2027'!AA32="x",'Jul 2027'!AA32="X"),1,0))</f>
        <v/>
      </c>
      <c r="AB305" s="345">
        <f>IF($A305="","",IF(OR('Jul 2027'!AA34=TRUE,'Jul 2027'!AA34="x",'Jul 2027'!AA34="X"),1,0))</f>
        <v/>
      </c>
      <c r="AC305" s="345">
        <f>IF($A305="","",IF(OR('Jul 2027'!AA35=TRUE,'Jul 2027'!AA35="x",'Jul 2027'!AA35="X"),1,0))</f>
        <v/>
      </c>
      <c r="AD305" s="345">
        <f>IF($A305="","",IF(OR('Jul 2027'!AA36=TRUE,'Jul 2027'!AA36="x",'Jul 2027'!AA36="X"),1,0))</f>
        <v/>
      </c>
      <c r="AE305" s="345">
        <f>IF($A305="","",IF(OR('Jul 2027'!AA37=TRUE,'Jul 2027'!AA37="x",'Jul 2027'!AA37="X"),1,0))</f>
        <v/>
      </c>
      <c r="AF305" s="345">
        <f>IF($A305="","",IF('Jul 2027'!AA59="","",'Jul 2027'!AA59))</f>
        <v/>
      </c>
      <c r="AG305" s="345">
        <f>IF($A305="","",IF('Jul 2027'!AA60="","",'Jul 2027'!AA60))</f>
        <v/>
      </c>
      <c r="AH305" s="345">
        <f>IF($A305="","",IF('Jul 2027'!AA61="","",'Jul 2027'!AA61))</f>
        <v/>
      </c>
      <c r="AI305" s="345">
        <f>IF($A305="","",IF('Jul 2027'!AA62="","",'Jul 2027'!AA62))</f>
        <v/>
      </c>
      <c r="AJ305" s="345">
        <f>IF($A305="","",IF('Jul 2027'!AA63="","",'Jul 2027'!AA63))</f>
        <v/>
      </c>
      <c r="AK305" s="345">
        <f>IF($A305="","",IF('Jul 2027'!AA64="","",'Jul 2027'!AA64))</f>
        <v/>
      </c>
      <c r="AL305" s="345">
        <f>IF($A305="","",IF('Jul 2027'!AA65="","",'Jul 2027'!AA65))</f>
        <v/>
      </c>
      <c r="AM305" s="345">
        <f>IF($A305="","",IF('Jul 2027'!AA66="","",'Jul 2027'!AA66))</f>
        <v/>
      </c>
      <c r="AN305" s="345">
        <f>IF($A305="","",IF('Jul 2027'!AA67="","",'Jul 2027'!AA67))</f>
        <v/>
      </c>
      <c r="AO305" s="345">
        <f>IF($A305="",0,IF(AND($A305&gt;=TrackStart,$A305&lt;=TODAY()),1,0))</f>
        <v/>
      </c>
      <c r="AP305" s="345">
        <f>IF($A305="",0,IF(SUM(F305:AE305)+COUNT(AF305:AN305)&gt;0,1,0))</f>
        <v/>
      </c>
      <c r="AQ305" s="345">
        <f>IF($A305="","",INT(($A305-TrackStart)/7)+1)</f>
        <v/>
      </c>
      <c r="AR305" s="345">
        <f>IF($A305="","",IF(AQ305&lt;=1,Steps1,IF(AQ305=2,Steps2,Steps3)))</f>
        <v/>
      </c>
      <c r="AS305" s="345">
        <f>IF($A305="",0,IF(ISNUMBER(SEARCH(TEXT(D305,"0"),WorkDays&amp;"")),1,0))</f>
        <v/>
      </c>
      <c r="AT305" s="345">
        <f>IF($A305="",0,IF(ISNUMBER(SEARCH(TEXT(D305,"0"),StrDays&amp;"")),1,0))</f>
        <v/>
      </c>
      <c r="AU305" s="345">
        <f>IF($A305="",0,IF(ISNUMBER(AK305),IF(AK305&gt;=SleepMin,1,0),N305))</f>
        <v/>
      </c>
      <c r="AV305" s="345">
        <f>IF($A305="",0,MAX(I305,O305,S305,AC305))</f>
        <v/>
      </c>
      <c r="AW305" s="345">
        <f>IF($A305="",0,IF(ISNUMBER(AH305),IF(AH305&gt;=ProtHit,1,0),0))</f>
        <v/>
      </c>
      <c r="AX305" s="345">
        <f>IF($A305="",0,IF(ISNUMBER(AI305),IF(AI305&gt;=WaterHit,1,0),0))</f>
        <v/>
      </c>
      <c r="AY305" s="345">
        <f>IF($A305="",0,IF(ISNUMBER(AG305),IF(AG305&gt;=AR305,1,0),0))</f>
        <v/>
      </c>
      <c r="AZ305" s="345">
        <f>IF($A305="",0,G305)</f>
        <v/>
      </c>
      <c r="BA305" s="345">
        <f>IF($A305="",0,J305)</f>
        <v/>
      </c>
      <c r="BB305" s="345">
        <f>IF($A305="",0,K305)</f>
        <v/>
      </c>
      <c r="BC305" s="345">
        <f>IF($A305="",0,MAX(L305,AE305))</f>
        <v/>
      </c>
      <c r="BD305" s="344">
        <f>IF($A305="","",(AU305+AV305+AW305+AX305+AY305+AZ305+BB305+BC305+IF(AS305=1,BA305,0))/(8+AS305))</f>
        <v/>
      </c>
      <c r="BE305" s="344">
        <f>IF($A305="","",(IF(ISNUMBER(AI305),IF(AI305&gt;=WaterMVD,1,0),0)+AV305+IF(ISNUMBER(AH305),IF(AH305&gt;=ProtMVD,1,0),0)+MAX(H305,AD305)+AZ305+BB305+AU305)/7)</f>
        <v/>
      </c>
      <c r="BF305" s="344">
        <f>IF(AO305=0,"",IF(E305="S","",IF(AND(AP305=0,$A305=TODAY()),"",IF(E305="M",BE305,BD305))))</f>
        <v/>
      </c>
      <c r="BG305" s="344">
        <f>IF(AO305=0,"",IFERROR(AVERAGEIFS(Data!$BF$4:$BF$375,Data!$A$4:$A$375,"&gt;"&amp;($A305-7),Data!$A$4:$A$375,"&lt;="&amp;$A305),""))</f>
        <v/>
      </c>
      <c r="BH305" s="344">
        <f>IF(AO305=0,"",IFERROR(AVERAGEIFS(Data!$BF$4:$BF$375,Data!$A$4:$A$375,"&gt;"&amp;($A305-30),Data!$A$4:$A$375,"&lt;="&amp;$A305),""))</f>
        <v/>
      </c>
      <c r="BI305" s="359">
        <f>IF($A305="","",IFERROR(AVERAGEIFS(Data!$AF$4:$AF$375,Data!$A$4:$A$375,"&gt;"&amp;($A305-7),Data!$A$4:$A$375,"&lt;="&amp;$A305,Data!$AF$4:$AF$375,"&gt;0"),""))</f>
        <v/>
      </c>
      <c r="BJ305" s="345">
        <f>IF($A305="","",F305+G305+H305+I305+J305+K305+L305+M305+N305-IF(AS305=1,0,J305))</f>
        <v/>
      </c>
      <c r="BK305" s="345">
        <f>IF($A305="","",8+AS305)</f>
        <v/>
      </c>
      <c r="BL305" s="345">
        <f>IF(ISNUMBER(BF305),BF305,NA())</f>
        <v/>
      </c>
      <c r="BM305" s="345">
        <f>IF(ISNUMBER(AF305),AF305,NA())</f>
        <v/>
      </c>
      <c r="BN305" s="345">
        <f>IF(ISNUMBER(BI305),BI305,NA())</f>
        <v/>
      </c>
      <c r="BO305" s="345">
        <f>IF(ISNUMBER(AL305),AL305,NA())</f>
        <v/>
      </c>
      <c r="BP305" s="345">
        <f>IF(ISNUMBER(AM305),AM305,NA())</f>
        <v/>
      </c>
      <c r="BQ305" s="345">
        <f>IF(ISNUMBER(AN305),AN305,NA())</f>
        <v/>
      </c>
    </row>
    <row r="306">
      <c r="A306" s="358">
        <f>IF('Jul 2027'!AB7="","",'Jul 2027'!AB7)</f>
        <v/>
      </c>
      <c r="B306" s="345" t="n">
        <v>10</v>
      </c>
      <c r="C306" s="345">
        <f>IF($A306="","",24)</f>
        <v/>
      </c>
      <c r="D306" s="345">
        <f>IF($A306="","",WEEKDAY($A306,2))</f>
        <v/>
      </c>
      <c r="E306" s="345">
        <f>IF($A306="","",UPPER(TRIM('Jul 2027'!AB8)))</f>
        <v/>
      </c>
      <c r="F306" s="345">
        <f>IF($A306="","",IF(OR('Jul 2027'!AB10=TRUE,'Jul 2027'!AB10="x",'Jul 2027'!AB10="X"),1,0))</f>
        <v/>
      </c>
      <c r="G306" s="345">
        <f>IF($A306="","",IF(OR('Jul 2027'!AB11=TRUE,'Jul 2027'!AB11="x",'Jul 2027'!AB11="X"),1,0))</f>
        <v/>
      </c>
      <c r="H306" s="345">
        <f>IF($A306="","",IF(OR('Jul 2027'!AB12=TRUE,'Jul 2027'!AB12="x",'Jul 2027'!AB12="X"),1,0))</f>
        <v/>
      </c>
      <c r="I306" s="345">
        <f>IF($A306="","",IF(OR('Jul 2027'!AB13=TRUE,'Jul 2027'!AB13="x",'Jul 2027'!AB13="X"),1,0))</f>
        <v/>
      </c>
      <c r="J306" s="345">
        <f>IF($A306="","",IF(OR('Jul 2027'!AB14=TRUE,'Jul 2027'!AB14="x",'Jul 2027'!AB14="X"),1,0))</f>
        <v/>
      </c>
      <c r="K306" s="345">
        <f>IF($A306="","",IF(OR('Jul 2027'!AB15=TRUE,'Jul 2027'!AB15="x",'Jul 2027'!AB15="X"),1,0))</f>
        <v/>
      </c>
      <c r="L306" s="345">
        <f>IF($A306="","",IF(OR('Jul 2027'!AB16=TRUE,'Jul 2027'!AB16="x",'Jul 2027'!AB16="X"),1,0))</f>
        <v/>
      </c>
      <c r="M306" s="345">
        <f>IF($A306="","",IF(OR('Jul 2027'!AB17=TRUE,'Jul 2027'!AB17="x",'Jul 2027'!AB17="X"),1,0))</f>
        <v/>
      </c>
      <c r="N306" s="345">
        <f>IF($A306="","",IF(OR('Jul 2027'!AB18=TRUE,'Jul 2027'!AB18="x",'Jul 2027'!AB18="X"),1,0))</f>
        <v/>
      </c>
      <c r="O306" s="345">
        <f>IF($A306="","",IF(OR('Jul 2027'!AB20=TRUE,'Jul 2027'!AB20="x",'Jul 2027'!AB20="X"),1,0))</f>
        <v/>
      </c>
      <c r="P306" s="345">
        <f>IF($A306="","",IF(OR('Jul 2027'!AB21=TRUE,'Jul 2027'!AB21="x",'Jul 2027'!AB21="X"),1,0))</f>
        <v/>
      </c>
      <c r="Q306" s="345">
        <f>IF($A306="","",IF(OR('Jul 2027'!AB22=TRUE,'Jul 2027'!AB22="x",'Jul 2027'!AB22="X"),1,0))</f>
        <v/>
      </c>
      <c r="R306" s="345">
        <f>IF($A306="","",IF(OR('Jul 2027'!AB23=TRUE,'Jul 2027'!AB23="x",'Jul 2027'!AB23="X"),1,0))</f>
        <v/>
      </c>
      <c r="S306" s="345">
        <f>IF($A306="","",IF(OR('Jul 2027'!AB24=TRUE,'Jul 2027'!AB24="x",'Jul 2027'!AB24="X"),1,0))</f>
        <v/>
      </c>
      <c r="T306" s="345">
        <f>IF($A306="","",IF(OR('Jul 2027'!AB25=TRUE,'Jul 2027'!AB25="x",'Jul 2027'!AB25="X"),1,0))</f>
        <v/>
      </c>
      <c r="U306" s="345">
        <f>IF($A306="","",IF(OR('Jul 2027'!AB26=TRUE,'Jul 2027'!AB26="x",'Jul 2027'!AB26="X"),1,0))</f>
        <v/>
      </c>
      <c r="V306" s="345">
        <f>IF($A306="","",IF(OR('Jul 2027'!AB27=TRUE,'Jul 2027'!AB27="x",'Jul 2027'!AB27="X"),1,0))</f>
        <v/>
      </c>
      <c r="W306" s="345">
        <f>IF($A306="","",IF(OR('Jul 2027'!AB28=TRUE,'Jul 2027'!AB28="x",'Jul 2027'!AB28="X"),1,0))</f>
        <v/>
      </c>
      <c r="X306" s="345">
        <f>IF($A306="","",IF(OR('Jul 2027'!AB29=TRUE,'Jul 2027'!AB29="x",'Jul 2027'!AB29="X"),1,0))</f>
        <v/>
      </c>
      <c r="Y306" s="345">
        <f>IF($A306="","",IF(OR('Jul 2027'!AB30=TRUE,'Jul 2027'!AB30="x",'Jul 2027'!AB30="X"),1,0))</f>
        <v/>
      </c>
      <c r="Z306" s="345">
        <f>IF($A306="","",IF(OR('Jul 2027'!AB31=TRUE,'Jul 2027'!AB31="x",'Jul 2027'!AB31="X"),1,0))</f>
        <v/>
      </c>
      <c r="AA306" s="345">
        <f>IF($A306="","",IF(OR('Jul 2027'!AB32=TRUE,'Jul 2027'!AB32="x",'Jul 2027'!AB32="X"),1,0))</f>
        <v/>
      </c>
      <c r="AB306" s="345">
        <f>IF($A306="","",IF(OR('Jul 2027'!AB34=TRUE,'Jul 2027'!AB34="x",'Jul 2027'!AB34="X"),1,0))</f>
        <v/>
      </c>
      <c r="AC306" s="345">
        <f>IF($A306="","",IF(OR('Jul 2027'!AB35=TRUE,'Jul 2027'!AB35="x",'Jul 2027'!AB35="X"),1,0))</f>
        <v/>
      </c>
      <c r="AD306" s="345">
        <f>IF($A306="","",IF(OR('Jul 2027'!AB36=TRUE,'Jul 2027'!AB36="x",'Jul 2027'!AB36="X"),1,0))</f>
        <v/>
      </c>
      <c r="AE306" s="345">
        <f>IF($A306="","",IF(OR('Jul 2027'!AB37=TRUE,'Jul 2027'!AB37="x",'Jul 2027'!AB37="X"),1,0))</f>
        <v/>
      </c>
      <c r="AF306" s="345">
        <f>IF($A306="","",IF('Jul 2027'!AB59="","",'Jul 2027'!AB59))</f>
        <v/>
      </c>
      <c r="AG306" s="345">
        <f>IF($A306="","",IF('Jul 2027'!AB60="","",'Jul 2027'!AB60))</f>
        <v/>
      </c>
      <c r="AH306" s="345">
        <f>IF($A306="","",IF('Jul 2027'!AB61="","",'Jul 2027'!AB61))</f>
        <v/>
      </c>
      <c r="AI306" s="345">
        <f>IF($A306="","",IF('Jul 2027'!AB62="","",'Jul 2027'!AB62))</f>
        <v/>
      </c>
      <c r="AJ306" s="345">
        <f>IF($A306="","",IF('Jul 2027'!AB63="","",'Jul 2027'!AB63))</f>
        <v/>
      </c>
      <c r="AK306" s="345">
        <f>IF($A306="","",IF('Jul 2027'!AB64="","",'Jul 2027'!AB64))</f>
        <v/>
      </c>
      <c r="AL306" s="345">
        <f>IF($A306="","",IF('Jul 2027'!AB65="","",'Jul 2027'!AB65))</f>
        <v/>
      </c>
      <c r="AM306" s="345">
        <f>IF($A306="","",IF('Jul 2027'!AB66="","",'Jul 2027'!AB66))</f>
        <v/>
      </c>
      <c r="AN306" s="345">
        <f>IF($A306="","",IF('Jul 2027'!AB67="","",'Jul 2027'!AB67))</f>
        <v/>
      </c>
      <c r="AO306" s="345">
        <f>IF($A306="",0,IF(AND($A306&gt;=TrackStart,$A306&lt;=TODAY()),1,0))</f>
        <v/>
      </c>
      <c r="AP306" s="345">
        <f>IF($A306="",0,IF(SUM(F306:AE306)+COUNT(AF306:AN306)&gt;0,1,0))</f>
        <v/>
      </c>
      <c r="AQ306" s="345">
        <f>IF($A306="","",INT(($A306-TrackStart)/7)+1)</f>
        <v/>
      </c>
      <c r="AR306" s="345">
        <f>IF($A306="","",IF(AQ306&lt;=1,Steps1,IF(AQ306=2,Steps2,Steps3)))</f>
        <v/>
      </c>
      <c r="AS306" s="345">
        <f>IF($A306="",0,IF(ISNUMBER(SEARCH(TEXT(D306,"0"),WorkDays&amp;"")),1,0))</f>
        <v/>
      </c>
      <c r="AT306" s="345">
        <f>IF($A306="",0,IF(ISNUMBER(SEARCH(TEXT(D306,"0"),StrDays&amp;"")),1,0))</f>
        <v/>
      </c>
      <c r="AU306" s="345">
        <f>IF($A306="",0,IF(ISNUMBER(AK306),IF(AK306&gt;=SleepMin,1,0),N306))</f>
        <v/>
      </c>
      <c r="AV306" s="345">
        <f>IF($A306="",0,MAX(I306,O306,S306,AC306))</f>
        <v/>
      </c>
      <c r="AW306" s="345">
        <f>IF($A306="",0,IF(ISNUMBER(AH306),IF(AH306&gt;=ProtHit,1,0),0))</f>
        <v/>
      </c>
      <c r="AX306" s="345">
        <f>IF($A306="",0,IF(ISNUMBER(AI306),IF(AI306&gt;=WaterHit,1,0),0))</f>
        <v/>
      </c>
      <c r="AY306" s="345">
        <f>IF($A306="",0,IF(ISNUMBER(AG306),IF(AG306&gt;=AR306,1,0),0))</f>
        <v/>
      </c>
      <c r="AZ306" s="345">
        <f>IF($A306="",0,G306)</f>
        <v/>
      </c>
      <c r="BA306" s="345">
        <f>IF($A306="",0,J306)</f>
        <v/>
      </c>
      <c r="BB306" s="345">
        <f>IF($A306="",0,K306)</f>
        <v/>
      </c>
      <c r="BC306" s="345">
        <f>IF($A306="",0,MAX(L306,AE306))</f>
        <v/>
      </c>
      <c r="BD306" s="344">
        <f>IF($A306="","",(AU306+AV306+AW306+AX306+AY306+AZ306+BB306+BC306+IF(AS306=1,BA306,0))/(8+AS306))</f>
        <v/>
      </c>
      <c r="BE306" s="344">
        <f>IF($A306="","",(IF(ISNUMBER(AI306),IF(AI306&gt;=WaterMVD,1,0),0)+AV306+IF(ISNUMBER(AH306),IF(AH306&gt;=ProtMVD,1,0),0)+MAX(H306,AD306)+AZ306+BB306+AU306)/7)</f>
        <v/>
      </c>
      <c r="BF306" s="344">
        <f>IF(AO306=0,"",IF(E306="S","",IF(AND(AP306=0,$A306=TODAY()),"",IF(E306="M",BE306,BD306))))</f>
        <v/>
      </c>
      <c r="BG306" s="344">
        <f>IF(AO306=0,"",IFERROR(AVERAGEIFS(Data!$BF$4:$BF$375,Data!$A$4:$A$375,"&gt;"&amp;($A306-7),Data!$A$4:$A$375,"&lt;="&amp;$A306),""))</f>
        <v/>
      </c>
      <c r="BH306" s="344">
        <f>IF(AO306=0,"",IFERROR(AVERAGEIFS(Data!$BF$4:$BF$375,Data!$A$4:$A$375,"&gt;"&amp;($A306-30),Data!$A$4:$A$375,"&lt;="&amp;$A306),""))</f>
        <v/>
      </c>
      <c r="BI306" s="359">
        <f>IF($A306="","",IFERROR(AVERAGEIFS(Data!$AF$4:$AF$375,Data!$A$4:$A$375,"&gt;"&amp;($A306-7),Data!$A$4:$A$375,"&lt;="&amp;$A306,Data!$AF$4:$AF$375,"&gt;0"),""))</f>
        <v/>
      </c>
      <c r="BJ306" s="345">
        <f>IF($A306="","",F306+G306+H306+I306+J306+K306+L306+M306+N306-IF(AS306=1,0,J306))</f>
        <v/>
      </c>
      <c r="BK306" s="345">
        <f>IF($A306="","",8+AS306)</f>
        <v/>
      </c>
      <c r="BL306" s="345">
        <f>IF(ISNUMBER(BF306),BF306,NA())</f>
        <v/>
      </c>
      <c r="BM306" s="345">
        <f>IF(ISNUMBER(AF306),AF306,NA())</f>
        <v/>
      </c>
      <c r="BN306" s="345">
        <f>IF(ISNUMBER(BI306),BI306,NA())</f>
        <v/>
      </c>
      <c r="BO306" s="345">
        <f>IF(ISNUMBER(AL306),AL306,NA())</f>
        <v/>
      </c>
      <c r="BP306" s="345">
        <f>IF(ISNUMBER(AM306),AM306,NA())</f>
        <v/>
      </c>
      <c r="BQ306" s="345">
        <f>IF(ISNUMBER(AN306),AN306,NA())</f>
        <v/>
      </c>
    </row>
    <row r="307">
      <c r="A307" s="358">
        <f>IF('Jul 2027'!AC7="","",'Jul 2027'!AC7)</f>
        <v/>
      </c>
      <c r="B307" s="345" t="n">
        <v>10</v>
      </c>
      <c r="C307" s="345">
        <f>IF($A307="","",25)</f>
        <v/>
      </c>
      <c r="D307" s="345">
        <f>IF($A307="","",WEEKDAY($A307,2))</f>
        <v/>
      </c>
      <c r="E307" s="345">
        <f>IF($A307="","",UPPER(TRIM('Jul 2027'!AC8)))</f>
        <v/>
      </c>
      <c r="F307" s="345">
        <f>IF($A307="","",IF(OR('Jul 2027'!AC10=TRUE,'Jul 2027'!AC10="x",'Jul 2027'!AC10="X"),1,0))</f>
        <v/>
      </c>
      <c r="G307" s="345">
        <f>IF($A307="","",IF(OR('Jul 2027'!AC11=TRUE,'Jul 2027'!AC11="x",'Jul 2027'!AC11="X"),1,0))</f>
        <v/>
      </c>
      <c r="H307" s="345">
        <f>IF($A307="","",IF(OR('Jul 2027'!AC12=TRUE,'Jul 2027'!AC12="x",'Jul 2027'!AC12="X"),1,0))</f>
        <v/>
      </c>
      <c r="I307" s="345">
        <f>IF($A307="","",IF(OR('Jul 2027'!AC13=TRUE,'Jul 2027'!AC13="x",'Jul 2027'!AC13="X"),1,0))</f>
        <v/>
      </c>
      <c r="J307" s="345">
        <f>IF($A307="","",IF(OR('Jul 2027'!AC14=TRUE,'Jul 2027'!AC14="x",'Jul 2027'!AC14="X"),1,0))</f>
        <v/>
      </c>
      <c r="K307" s="345">
        <f>IF($A307="","",IF(OR('Jul 2027'!AC15=TRUE,'Jul 2027'!AC15="x",'Jul 2027'!AC15="X"),1,0))</f>
        <v/>
      </c>
      <c r="L307" s="345">
        <f>IF($A307="","",IF(OR('Jul 2027'!AC16=TRUE,'Jul 2027'!AC16="x",'Jul 2027'!AC16="X"),1,0))</f>
        <v/>
      </c>
      <c r="M307" s="345">
        <f>IF($A307="","",IF(OR('Jul 2027'!AC17=TRUE,'Jul 2027'!AC17="x",'Jul 2027'!AC17="X"),1,0))</f>
        <v/>
      </c>
      <c r="N307" s="345">
        <f>IF($A307="","",IF(OR('Jul 2027'!AC18=TRUE,'Jul 2027'!AC18="x",'Jul 2027'!AC18="X"),1,0))</f>
        <v/>
      </c>
      <c r="O307" s="345">
        <f>IF($A307="","",IF(OR('Jul 2027'!AC20=TRUE,'Jul 2027'!AC20="x",'Jul 2027'!AC20="X"),1,0))</f>
        <v/>
      </c>
      <c r="P307" s="345">
        <f>IF($A307="","",IF(OR('Jul 2027'!AC21=TRUE,'Jul 2027'!AC21="x",'Jul 2027'!AC21="X"),1,0))</f>
        <v/>
      </c>
      <c r="Q307" s="345">
        <f>IF($A307="","",IF(OR('Jul 2027'!AC22=TRUE,'Jul 2027'!AC22="x",'Jul 2027'!AC22="X"),1,0))</f>
        <v/>
      </c>
      <c r="R307" s="345">
        <f>IF($A307="","",IF(OR('Jul 2027'!AC23=TRUE,'Jul 2027'!AC23="x",'Jul 2027'!AC23="X"),1,0))</f>
        <v/>
      </c>
      <c r="S307" s="345">
        <f>IF($A307="","",IF(OR('Jul 2027'!AC24=TRUE,'Jul 2027'!AC24="x",'Jul 2027'!AC24="X"),1,0))</f>
        <v/>
      </c>
      <c r="T307" s="345">
        <f>IF($A307="","",IF(OR('Jul 2027'!AC25=TRUE,'Jul 2027'!AC25="x",'Jul 2027'!AC25="X"),1,0))</f>
        <v/>
      </c>
      <c r="U307" s="345">
        <f>IF($A307="","",IF(OR('Jul 2027'!AC26=TRUE,'Jul 2027'!AC26="x",'Jul 2027'!AC26="X"),1,0))</f>
        <v/>
      </c>
      <c r="V307" s="345">
        <f>IF($A307="","",IF(OR('Jul 2027'!AC27=TRUE,'Jul 2027'!AC27="x",'Jul 2027'!AC27="X"),1,0))</f>
        <v/>
      </c>
      <c r="W307" s="345">
        <f>IF($A307="","",IF(OR('Jul 2027'!AC28=TRUE,'Jul 2027'!AC28="x",'Jul 2027'!AC28="X"),1,0))</f>
        <v/>
      </c>
      <c r="X307" s="345">
        <f>IF($A307="","",IF(OR('Jul 2027'!AC29=TRUE,'Jul 2027'!AC29="x",'Jul 2027'!AC29="X"),1,0))</f>
        <v/>
      </c>
      <c r="Y307" s="345">
        <f>IF($A307="","",IF(OR('Jul 2027'!AC30=TRUE,'Jul 2027'!AC30="x",'Jul 2027'!AC30="X"),1,0))</f>
        <v/>
      </c>
      <c r="Z307" s="345">
        <f>IF($A307="","",IF(OR('Jul 2027'!AC31=TRUE,'Jul 2027'!AC31="x",'Jul 2027'!AC31="X"),1,0))</f>
        <v/>
      </c>
      <c r="AA307" s="345">
        <f>IF($A307="","",IF(OR('Jul 2027'!AC32=TRUE,'Jul 2027'!AC32="x",'Jul 2027'!AC32="X"),1,0))</f>
        <v/>
      </c>
      <c r="AB307" s="345">
        <f>IF($A307="","",IF(OR('Jul 2027'!AC34=TRUE,'Jul 2027'!AC34="x",'Jul 2027'!AC34="X"),1,0))</f>
        <v/>
      </c>
      <c r="AC307" s="345">
        <f>IF($A307="","",IF(OR('Jul 2027'!AC35=TRUE,'Jul 2027'!AC35="x",'Jul 2027'!AC35="X"),1,0))</f>
        <v/>
      </c>
      <c r="AD307" s="345">
        <f>IF($A307="","",IF(OR('Jul 2027'!AC36=TRUE,'Jul 2027'!AC36="x",'Jul 2027'!AC36="X"),1,0))</f>
        <v/>
      </c>
      <c r="AE307" s="345">
        <f>IF($A307="","",IF(OR('Jul 2027'!AC37=TRUE,'Jul 2027'!AC37="x",'Jul 2027'!AC37="X"),1,0))</f>
        <v/>
      </c>
      <c r="AF307" s="345">
        <f>IF($A307="","",IF('Jul 2027'!AC59="","",'Jul 2027'!AC59))</f>
        <v/>
      </c>
      <c r="AG307" s="345">
        <f>IF($A307="","",IF('Jul 2027'!AC60="","",'Jul 2027'!AC60))</f>
        <v/>
      </c>
      <c r="AH307" s="345">
        <f>IF($A307="","",IF('Jul 2027'!AC61="","",'Jul 2027'!AC61))</f>
        <v/>
      </c>
      <c r="AI307" s="345">
        <f>IF($A307="","",IF('Jul 2027'!AC62="","",'Jul 2027'!AC62))</f>
        <v/>
      </c>
      <c r="AJ307" s="345">
        <f>IF($A307="","",IF('Jul 2027'!AC63="","",'Jul 2027'!AC63))</f>
        <v/>
      </c>
      <c r="AK307" s="345">
        <f>IF($A307="","",IF('Jul 2027'!AC64="","",'Jul 2027'!AC64))</f>
        <v/>
      </c>
      <c r="AL307" s="345">
        <f>IF($A307="","",IF('Jul 2027'!AC65="","",'Jul 2027'!AC65))</f>
        <v/>
      </c>
      <c r="AM307" s="345">
        <f>IF($A307="","",IF('Jul 2027'!AC66="","",'Jul 2027'!AC66))</f>
        <v/>
      </c>
      <c r="AN307" s="345">
        <f>IF($A307="","",IF('Jul 2027'!AC67="","",'Jul 2027'!AC67))</f>
        <v/>
      </c>
      <c r="AO307" s="345">
        <f>IF($A307="",0,IF(AND($A307&gt;=TrackStart,$A307&lt;=TODAY()),1,0))</f>
        <v/>
      </c>
      <c r="AP307" s="345">
        <f>IF($A307="",0,IF(SUM(F307:AE307)+COUNT(AF307:AN307)&gt;0,1,0))</f>
        <v/>
      </c>
      <c r="AQ307" s="345">
        <f>IF($A307="","",INT(($A307-TrackStart)/7)+1)</f>
        <v/>
      </c>
      <c r="AR307" s="345">
        <f>IF($A307="","",IF(AQ307&lt;=1,Steps1,IF(AQ307=2,Steps2,Steps3)))</f>
        <v/>
      </c>
      <c r="AS307" s="345">
        <f>IF($A307="",0,IF(ISNUMBER(SEARCH(TEXT(D307,"0"),WorkDays&amp;"")),1,0))</f>
        <v/>
      </c>
      <c r="AT307" s="345">
        <f>IF($A307="",0,IF(ISNUMBER(SEARCH(TEXT(D307,"0"),StrDays&amp;"")),1,0))</f>
        <v/>
      </c>
      <c r="AU307" s="345">
        <f>IF($A307="",0,IF(ISNUMBER(AK307),IF(AK307&gt;=SleepMin,1,0),N307))</f>
        <v/>
      </c>
      <c r="AV307" s="345">
        <f>IF($A307="",0,MAX(I307,O307,S307,AC307))</f>
        <v/>
      </c>
      <c r="AW307" s="345">
        <f>IF($A307="",0,IF(ISNUMBER(AH307),IF(AH307&gt;=ProtHit,1,0),0))</f>
        <v/>
      </c>
      <c r="AX307" s="345">
        <f>IF($A307="",0,IF(ISNUMBER(AI307),IF(AI307&gt;=WaterHit,1,0),0))</f>
        <v/>
      </c>
      <c r="AY307" s="345">
        <f>IF($A307="",0,IF(ISNUMBER(AG307),IF(AG307&gt;=AR307,1,0),0))</f>
        <v/>
      </c>
      <c r="AZ307" s="345">
        <f>IF($A307="",0,G307)</f>
        <v/>
      </c>
      <c r="BA307" s="345">
        <f>IF($A307="",0,J307)</f>
        <v/>
      </c>
      <c r="BB307" s="345">
        <f>IF($A307="",0,K307)</f>
        <v/>
      </c>
      <c r="BC307" s="345">
        <f>IF($A307="",0,MAX(L307,AE307))</f>
        <v/>
      </c>
      <c r="BD307" s="344">
        <f>IF($A307="","",(AU307+AV307+AW307+AX307+AY307+AZ307+BB307+BC307+IF(AS307=1,BA307,0))/(8+AS307))</f>
        <v/>
      </c>
      <c r="BE307" s="344">
        <f>IF($A307="","",(IF(ISNUMBER(AI307),IF(AI307&gt;=WaterMVD,1,0),0)+AV307+IF(ISNUMBER(AH307),IF(AH307&gt;=ProtMVD,1,0),0)+MAX(H307,AD307)+AZ307+BB307+AU307)/7)</f>
        <v/>
      </c>
      <c r="BF307" s="344">
        <f>IF(AO307=0,"",IF(E307="S","",IF(AND(AP307=0,$A307=TODAY()),"",IF(E307="M",BE307,BD307))))</f>
        <v/>
      </c>
      <c r="BG307" s="344">
        <f>IF(AO307=0,"",IFERROR(AVERAGEIFS(Data!$BF$4:$BF$375,Data!$A$4:$A$375,"&gt;"&amp;($A307-7),Data!$A$4:$A$375,"&lt;="&amp;$A307),""))</f>
        <v/>
      </c>
      <c r="BH307" s="344">
        <f>IF(AO307=0,"",IFERROR(AVERAGEIFS(Data!$BF$4:$BF$375,Data!$A$4:$A$375,"&gt;"&amp;($A307-30),Data!$A$4:$A$375,"&lt;="&amp;$A307),""))</f>
        <v/>
      </c>
      <c r="BI307" s="359">
        <f>IF($A307="","",IFERROR(AVERAGEIFS(Data!$AF$4:$AF$375,Data!$A$4:$A$375,"&gt;"&amp;($A307-7),Data!$A$4:$A$375,"&lt;="&amp;$A307,Data!$AF$4:$AF$375,"&gt;0"),""))</f>
        <v/>
      </c>
      <c r="BJ307" s="345">
        <f>IF($A307="","",F307+G307+H307+I307+J307+K307+L307+M307+N307-IF(AS307=1,0,J307))</f>
        <v/>
      </c>
      <c r="BK307" s="345">
        <f>IF($A307="","",8+AS307)</f>
        <v/>
      </c>
      <c r="BL307" s="345">
        <f>IF(ISNUMBER(BF307),BF307,NA())</f>
        <v/>
      </c>
      <c r="BM307" s="345">
        <f>IF(ISNUMBER(AF307),AF307,NA())</f>
        <v/>
      </c>
      <c r="BN307" s="345">
        <f>IF(ISNUMBER(BI307),BI307,NA())</f>
        <v/>
      </c>
      <c r="BO307" s="345">
        <f>IF(ISNUMBER(AL307),AL307,NA())</f>
        <v/>
      </c>
      <c r="BP307" s="345">
        <f>IF(ISNUMBER(AM307),AM307,NA())</f>
        <v/>
      </c>
      <c r="BQ307" s="345">
        <f>IF(ISNUMBER(AN307),AN307,NA())</f>
        <v/>
      </c>
    </row>
    <row r="308">
      <c r="A308" s="358">
        <f>IF('Jul 2027'!AD7="","",'Jul 2027'!AD7)</f>
        <v/>
      </c>
      <c r="B308" s="345" t="n">
        <v>10</v>
      </c>
      <c r="C308" s="345">
        <f>IF($A308="","",26)</f>
        <v/>
      </c>
      <c r="D308" s="345">
        <f>IF($A308="","",WEEKDAY($A308,2))</f>
        <v/>
      </c>
      <c r="E308" s="345">
        <f>IF($A308="","",UPPER(TRIM('Jul 2027'!AD8)))</f>
        <v/>
      </c>
      <c r="F308" s="345">
        <f>IF($A308="","",IF(OR('Jul 2027'!AD10=TRUE,'Jul 2027'!AD10="x",'Jul 2027'!AD10="X"),1,0))</f>
        <v/>
      </c>
      <c r="G308" s="345">
        <f>IF($A308="","",IF(OR('Jul 2027'!AD11=TRUE,'Jul 2027'!AD11="x",'Jul 2027'!AD11="X"),1,0))</f>
        <v/>
      </c>
      <c r="H308" s="345">
        <f>IF($A308="","",IF(OR('Jul 2027'!AD12=TRUE,'Jul 2027'!AD12="x",'Jul 2027'!AD12="X"),1,0))</f>
        <v/>
      </c>
      <c r="I308" s="345">
        <f>IF($A308="","",IF(OR('Jul 2027'!AD13=TRUE,'Jul 2027'!AD13="x",'Jul 2027'!AD13="X"),1,0))</f>
        <v/>
      </c>
      <c r="J308" s="345">
        <f>IF($A308="","",IF(OR('Jul 2027'!AD14=TRUE,'Jul 2027'!AD14="x",'Jul 2027'!AD14="X"),1,0))</f>
        <v/>
      </c>
      <c r="K308" s="345">
        <f>IF($A308="","",IF(OR('Jul 2027'!AD15=TRUE,'Jul 2027'!AD15="x",'Jul 2027'!AD15="X"),1,0))</f>
        <v/>
      </c>
      <c r="L308" s="345">
        <f>IF($A308="","",IF(OR('Jul 2027'!AD16=TRUE,'Jul 2027'!AD16="x",'Jul 2027'!AD16="X"),1,0))</f>
        <v/>
      </c>
      <c r="M308" s="345">
        <f>IF($A308="","",IF(OR('Jul 2027'!AD17=TRUE,'Jul 2027'!AD17="x",'Jul 2027'!AD17="X"),1,0))</f>
        <v/>
      </c>
      <c r="N308" s="345">
        <f>IF($A308="","",IF(OR('Jul 2027'!AD18=TRUE,'Jul 2027'!AD18="x",'Jul 2027'!AD18="X"),1,0))</f>
        <v/>
      </c>
      <c r="O308" s="345">
        <f>IF($A308="","",IF(OR('Jul 2027'!AD20=TRUE,'Jul 2027'!AD20="x",'Jul 2027'!AD20="X"),1,0))</f>
        <v/>
      </c>
      <c r="P308" s="345">
        <f>IF($A308="","",IF(OR('Jul 2027'!AD21=TRUE,'Jul 2027'!AD21="x",'Jul 2027'!AD21="X"),1,0))</f>
        <v/>
      </c>
      <c r="Q308" s="345">
        <f>IF($A308="","",IF(OR('Jul 2027'!AD22=TRUE,'Jul 2027'!AD22="x",'Jul 2027'!AD22="X"),1,0))</f>
        <v/>
      </c>
      <c r="R308" s="345">
        <f>IF($A308="","",IF(OR('Jul 2027'!AD23=TRUE,'Jul 2027'!AD23="x",'Jul 2027'!AD23="X"),1,0))</f>
        <v/>
      </c>
      <c r="S308" s="345">
        <f>IF($A308="","",IF(OR('Jul 2027'!AD24=TRUE,'Jul 2027'!AD24="x",'Jul 2027'!AD24="X"),1,0))</f>
        <v/>
      </c>
      <c r="T308" s="345">
        <f>IF($A308="","",IF(OR('Jul 2027'!AD25=TRUE,'Jul 2027'!AD25="x",'Jul 2027'!AD25="X"),1,0))</f>
        <v/>
      </c>
      <c r="U308" s="345">
        <f>IF($A308="","",IF(OR('Jul 2027'!AD26=TRUE,'Jul 2027'!AD26="x",'Jul 2027'!AD26="X"),1,0))</f>
        <v/>
      </c>
      <c r="V308" s="345">
        <f>IF($A308="","",IF(OR('Jul 2027'!AD27=TRUE,'Jul 2027'!AD27="x",'Jul 2027'!AD27="X"),1,0))</f>
        <v/>
      </c>
      <c r="W308" s="345">
        <f>IF($A308="","",IF(OR('Jul 2027'!AD28=TRUE,'Jul 2027'!AD28="x",'Jul 2027'!AD28="X"),1,0))</f>
        <v/>
      </c>
      <c r="X308" s="345">
        <f>IF($A308="","",IF(OR('Jul 2027'!AD29=TRUE,'Jul 2027'!AD29="x",'Jul 2027'!AD29="X"),1,0))</f>
        <v/>
      </c>
      <c r="Y308" s="345">
        <f>IF($A308="","",IF(OR('Jul 2027'!AD30=TRUE,'Jul 2027'!AD30="x",'Jul 2027'!AD30="X"),1,0))</f>
        <v/>
      </c>
      <c r="Z308" s="345">
        <f>IF($A308="","",IF(OR('Jul 2027'!AD31=TRUE,'Jul 2027'!AD31="x",'Jul 2027'!AD31="X"),1,0))</f>
        <v/>
      </c>
      <c r="AA308" s="345">
        <f>IF($A308="","",IF(OR('Jul 2027'!AD32=TRUE,'Jul 2027'!AD32="x",'Jul 2027'!AD32="X"),1,0))</f>
        <v/>
      </c>
      <c r="AB308" s="345">
        <f>IF($A308="","",IF(OR('Jul 2027'!AD34=TRUE,'Jul 2027'!AD34="x",'Jul 2027'!AD34="X"),1,0))</f>
        <v/>
      </c>
      <c r="AC308" s="345">
        <f>IF($A308="","",IF(OR('Jul 2027'!AD35=TRUE,'Jul 2027'!AD35="x",'Jul 2027'!AD35="X"),1,0))</f>
        <v/>
      </c>
      <c r="AD308" s="345">
        <f>IF($A308="","",IF(OR('Jul 2027'!AD36=TRUE,'Jul 2027'!AD36="x",'Jul 2027'!AD36="X"),1,0))</f>
        <v/>
      </c>
      <c r="AE308" s="345">
        <f>IF($A308="","",IF(OR('Jul 2027'!AD37=TRUE,'Jul 2027'!AD37="x",'Jul 2027'!AD37="X"),1,0))</f>
        <v/>
      </c>
      <c r="AF308" s="345">
        <f>IF($A308="","",IF('Jul 2027'!AD59="","",'Jul 2027'!AD59))</f>
        <v/>
      </c>
      <c r="AG308" s="345">
        <f>IF($A308="","",IF('Jul 2027'!AD60="","",'Jul 2027'!AD60))</f>
        <v/>
      </c>
      <c r="AH308" s="345">
        <f>IF($A308="","",IF('Jul 2027'!AD61="","",'Jul 2027'!AD61))</f>
        <v/>
      </c>
      <c r="AI308" s="345">
        <f>IF($A308="","",IF('Jul 2027'!AD62="","",'Jul 2027'!AD62))</f>
        <v/>
      </c>
      <c r="AJ308" s="345">
        <f>IF($A308="","",IF('Jul 2027'!AD63="","",'Jul 2027'!AD63))</f>
        <v/>
      </c>
      <c r="AK308" s="345">
        <f>IF($A308="","",IF('Jul 2027'!AD64="","",'Jul 2027'!AD64))</f>
        <v/>
      </c>
      <c r="AL308" s="345">
        <f>IF($A308="","",IF('Jul 2027'!AD65="","",'Jul 2027'!AD65))</f>
        <v/>
      </c>
      <c r="AM308" s="345">
        <f>IF($A308="","",IF('Jul 2027'!AD66="","",'Jul 2027'!AD66))</f>
        <v/>
      </c>
      <c r="AN308" s="345">
        <f>IF($A308="","",IF('Jul 2027'!AD67="","",'Jul 2027'!AD67))</f>
        <v/>
      </c>
      <c r="AO308" s="345">
        <f>IF($A308="",0,IF(AND($A308&gt;=TrackStart,$A308&lt;=TODAY()),1,0))</f>
        <v/>
      </c>
      <c r="AP308" s="345">
        <f>IF($A308="",0,IF(SUM(F308:AE308)+COUNT(AF308:AN308)&gt;0,1,0))</f>
        <v/>
      </c>
      <c r="AQ308" s="345">
        <f>IF($A308="","",INT(($A308-TrackStart)/7)+1)</f>
        <v/>
      </c>
      <c r="AR308" s="345">
        <f>IF($A308="","",IF(AQ308&lt;=1,Steps1,IF(AQ308=2,Steps2,Steps3)))</f>
        <v/>
      </c>
      <c r="AS308" s="345">
        <f>IF($A308="",0,IF(ISNUMBER(SEARCH(TEXT(D308,"0"),WorkDays&amp;"")),1,0))</f>
        <v/>
      </c>
      <c r="AT308" s="345">
        <f>IF($A308="",0,IF(ISNUMBER(SEARCH(TEXT(D308,"0"),StrDays&amp;"")),1,0))</f>
        <v/>
      </c>
      <c r="AU308" s="345">
        <f>IF($A308="",0,IF(ISNUMBER(AK308),IF(AK308&gt;=SleepMin,1,0),N308))</f>
        <v/>
      </c>
      <c r="AV308" s="345">
        <f>IF($A308="",0,MAX(I308,O308,S308,AC308))</f>
        <v/>
      </c>
      <c r="AW308" s="345">
        <f>IF($A308="",0,IF(ISNUMBER(AH308),IF(AH308&gt;=ProtHit,1,0),0))</f>
        <v/>
      </c>
      <c r="AX308" s="345">
        <f>IF($A308="",0,IF(ISNUMBER(AI308),IF(AI308&gt;=WaterHit,1,0),0))</f>
        <v/>
      </c>
      <c r="AY308" s="345">
        <f>IF($A308="",0,IF(ISNUMBER(AG308),IF(AG308&gt;=AR308,1,0),0))</f>
        <v/>
      </c>
      <c r="AZ308" s="345">
        <f>IF($A308="",0,G308)</f>
        <v/>
      </c>
      <c r="BA308" s="345">
        <f>IF($A308="",0,J308)</f>
        <v/>
      </c>
      <c r="BB308" s="345">
        <f>IF($A308="",0,K308)</f>
        <v/>
      </c>
      <c r="BC308" s="345">
        <f>IF($A308="",0,MAX(L308,AE308))</f>
        <v/>
      </c>
      <c r="BD308" s="344">
        <f>IF($A308="","",(AU308+AV308+AW308+AX308+AY308+AZ308+BB308+BC308+IF(AS308=1,BA308,0))/(8+AS308))</f>
        <v/>
      </c>
      <c r="BE308" s="344">
        <f>IF($A308="","",(IF(ISNUMBER(AI308),IF(AI308&gt;=WaterMVD,1,0),0)+AV308+IF(ISNUMBER(AH308),IF(AH308&gt;=ProtMVD,1,0),0)+MAX(H308,AD308)+AZ308+BB308+AU308)/7)</f>
        <v/>
      </c>
      <c r="BF308" s="344">
        <f>IF(AO308=0,"",IF(E308="S","",IF(AND(AP308=0,$A308=TODAY()),"",IF(E308="M",BE308,BD308))))</f>
        <v/>
      </c>
      <c r="BG308" s="344">
        <f>IF(AO308=0,"",IFERROR(AVERAGEIFS(Data!$BF$4:$BF$375,Data!$A$4:$A$375,"&gt;"&amp;($A308-7),Data!$A$4:$A$375,"&lt;="&amp;$A308),""))</f>
        <v/>
      </c>
      <c r="BH308" s="344">
        <f>IF(AO308=0,"",IFERROR(AVERAGEIFS(Data!$BF$4:$BF$375,Data!$A$4:$A$375,"&gt;"&amp;($A308-30),Data!$A$4:$A$375,"&lt;="&amp;$A308),""))</f>
        <v/>
      </c>
      <c r="BI308" s="359">
        <f>IF($A308="","",IFERROR(AVERAGEIFS(Data!$AF$4:$AF$375,Data!$A$4:$A$375,"&gt;"&amp;($A308-7),Data!$A$4:$A$375,"&lt;="&amp;$A308,Data!$AF$4:$AF$375,"&gt;0"),""))</f>
        <v/>
      </c>
      <c r="BJ308" s="345">
        <f>IF($A308="","",F308+G308+H308+I308+J308+K308+L308+M308+N308-IF(AS308=1,0,J308))</f>
        <v/>
      </c>
      <c r="BK308" s="345">
        <f>IF($A308="","",8+AS308)</f>
        <v/>
      </c>
      <c r="BL308" s="345">
        <f>IF(ISNUMBER(BF308),BF308,NA())</f>
        <v/>
      </c>
      <c r="BM308" s="345">
        <f>IF(ISNUMBER(AF308),AF308,NA())</f>
        <v/>
      </c>
      <c r="BN308" s="345">
        <f>IF(ISNUMBER(BI308),BI308,NA())</f>
        <v/>
      </c>
      <c r="BO308" s="345">
        <f>IF(ISNUMBER(AL308),AL308,NA())</f>
        <v/>
      </c>
      <c r="BP308" s="345">
        <f>IF(ISNUMBER(AM308),AM308,NA())</f>
        <v/>
      </c>
      <c r="BQ308" s="345">
        <f>IF(ISNUMBER(AN308),AN308,NA())</f>
        <v/>
      </c>
    </row>
    <row r="309">
      <c r="A309" s="358">
        <f>IF('Jul 2027'!AE7="","",'Jul 2027'!AE7)</f>
        <v/>
      </c>
      <c r="B309" s="345" t="n">
        <v>10</v>
      </c>
      <c r="C309" s="345">
        <f>IF($A309="","",27)</f>
        <v/>
      </c>
      <c r="D309" s="345">
        <f>IF($A309="","",WEEKDAY($A309,2))</f>
        <v/>
      </c>
      <c r="E309" s="345">
        <f>IF($A309="","",UPPER(TRIM('Jul 2027'!AE8)))</f>
        <v/>
      </c>
      <c r="F309" s="345">
        <f>IF($A309="","",IF(OR('Jul 2027'!AE10=TRUE,'Jul 2027'!AE10="x",'Jul 2027'!AE10="X"),1,0))</f>
        <v/>
      </c>
      <c r="G309" s="345">
        <f>IF($A309="","",IF(OR('Jul 2027'!AE11=TRUE,'Jul 2027'!AE11="x",'Jul 2027'!AE11="X"),1,0))</f>
        <v/>
      </c>
      <c r="H309" s="345">
        <f>IF($A309="","",IF(OR('Jul 2027'!AE12=TRUE,'Jul 2027'!AE12="x",'Jul 2027'!AE12="X"),1,0))</f>
        <v/>
      </c>
      <c r="I309" s="345">
        <f>IF($A309="","",IF(OR('Jul 2027'!AE13=TRUE,'Jul 2027'!AE13="x",'Jul 2027'!AE13="X"),1,0))</f>
        <v/>
      </c>
      <c r="J309" s="345">
        <f>IF($A309="","",IF(OR('Jul 2027'!AE14=TRUE,'Jul 2027'!AE14="x",'Jul 2027'!AE14="X"),1,0))</f>
        <v/>
      </c>
      <c r="K309" s="345">
        <f>IF($A309="","",IF(OR('Jul 2027'!AE15=TRUE,'Jul 2027'!AE15="x",'Jul 2027'!AE15="X"),1,0))</f>
        <v/>
      </c>
      <c r="L309" s="345">
        <f>IF($A309="","",IF(OR('Jul 2027'!AE16=TRUE,'Jul 2027'!AE16="x",'Jul 2027'!AE16="X"),1,0))</f>
        <v/>
      </c>
      <c r="M309" s="345">
        <f>IF($A309="","",IF(OR('Jul 2027'!AE17=TRUE,'Jul 2027'!AE17="x",'Jul 2027'!AE17="X"),1,0))</f>
        <v/>
      </c>
      <c r="N309" s="345">
        <f>IF($A309="","",IF(OR('Jul 2027'!AE18=TRUE,'Jul 2027'!AE18="x",'Jul 2027'!AE18="X"),1,0))</f>
        <v/>
      </c>
      <c r="O309" s="345">
        <f>IF($A309="","",IF(OR('Jul 2027'!AE20=TRUE,'Jul 2027'!AE20="x",'Jul 2027'!AE20="X"),1,0))</f>
        <v/>
      </c>
      <c r="P309" s="345">
        <f>IF($A309="","",IF(OR('Jul 2027'!AE21=TRUE,'Jul 2027'!AE21="x",'Jul 2027'!AE21="X"),1,0))</f>
        <v/>
      </c>
      <c r="Q309" s="345">
        <f>IF($A309="","",IF(OR('Jul 2027'!AE22=TRUE,'Jul 2027'!AE22="x",'Jul 2027'!AE22="X"),1,0))</f>
        <v/>
      </c>
      <c r="R309" s="345">
        <f>IF($A309="","",IF(OR('Jul 2027'!AE23=TRUE,'Jul 2027'!AE23="x",'Jul 2027'!AE23="X"),1,0))</f>
        <v/>
      </c>
      <c r="S309" s="345">
        <f>IF($A309="","",IF(OR('Jul 2027'!AE24=TRUE,'Jul 2027'!AE24="x",'Jul 2027'!AE24="X"),1,0))</f>
        <v/>
      </c>
      <c r="T309" s="345">
        <f>IF($A309="","",IF(OR('Jul 2027'!AE25=TRUE,'Jul 2027'!AE25="x",'Jul 2027'!AE25="X"),1,0))</f>
        <v/>
      </c>
      <c r="U309" s="345">
        <f>IF($A309="","",IF(OR('Jul 2027'!AE26=TRUE,'Jul 2027'!AE26="x",'Jul 2027'!AE26="X"),1,0))</f>
        <v/>
      </c>
      <c r="V309" s="345">
        <f>IF($A309="","",IF(OR('Jul 2027'!AE27=TRUE,'Jul 2027'!AE27="x",'Jul 2027'!AE27="X"),1,0))</f>
        <v/>
      </c>
      <c r="W309" s="345">
        <f>IF($A309="","",IF(OR('Jul 2027'!AE28=TRUE,'Jul 2027'!AE28="x",'Jul 2027'!AE28="X"),1,0))</f>
        <v/>
      </c>
      <c r="X309" s="345">
        <f>IF($A309="","",IF(OR('Jul 2027'!AE29=TRUE,'Jul 2027'!AE29="x",'Jul 2027'!AE29="X"),1,0))</f>
        <v/>
      </c>
      <c r="Y309" s="345">
        <f>IF($A309="","",IF(OR('Jul 2027'!AE30=TRUE,'Jul 2027'!AE30="x",'Jul 2027'!AE30="X"),1,0))</f>
        <v/>
      </c>
      <c r="Z309" s="345">
        <f>IF($A309="","",IF(OR('Jul 2027'!AE31=TRUE,'Jul 2027'!AE31="x",'Jul 2027'!AE31="X"),1,0))</f>
        <v/>
      </c>
      <c r="AA309" s="345">
        <f>IF($A309="","",IF(OR('Jul 2027'!AE32=TRUE,'Jul 2027'!AE32="x",'Jul 2027'!AE32="X"),1,0))</f>
        <v/>
      </c>
      <c r="AB309" s="345">
        <f>IF($A309="","",IF(OR('Jul 2027'!AE34=TRUE,'Jul 2027'!AE34="x",'Jul 2027'!AE34="X"),1,0))</f>
        <v/>
      </c>
      <c r="AC309" s="345">
        <f>IF($A309="","",IF(OR('Jul 2027'!AE35=TRUE,'Jul 2027'!AE35="x",'Jul 2027'!AE35="X"),1,0))</f>
        <v/>
      </c>
      <c r="AD309" s="345">
        <f>IF($A309="","",IF(OR('Jul 2027'!AE36=TRUE,'Jul 2027'!AE36="x",'Jul 2027'!AE36="X"),1,0))</f>
        <v/>
      </c>
      <c r="AE309" s="345">
        <f>IF($A309="","",IF(OR('Jul 2027'!AE37=TRUE,'Jul 2027'!AE37="x",'Jul 2027'!AE37="X"),1,0))</f>
        <v/>
      </c>
      <c r="AF309" s="345">
        <f>IF($A309="","",IF('Jul 2027'!AE59="","",'Jul 2027'!AE59))</f>
        <v/>
      </c>
      <c r="AG309" s="345">
        <f>IF($A309="","",IF('Jul 2027'!AE60="","",'Jul 2027'!AE60))</f>
        <v/>
      </c>
      <c r="AH309" s="345">
        <f>IF($A309="","",IF('Jul 2027'!AE61="","",'Jul 2027'!AE61))</f>
        <v/>
      </c>
      <c r="AI309" s="345">
        <f>IF($A309="","",IF('Jul 2027'!AE62="","",'Jul 2027'!AE62))</f>
        <v/>
      </c>
      <c r="AJ309" s="345">
        <f>IF($A309="","",IF('Jul 2027'!AE63="","",'Jul 2027'!AE63))</f>
        <v/>
      </c>
      <c r="AK309" s="345">
        <f>IF($A309="","",IF('Jul 2027'!AE64="","",'Jul 2027'!AE64))</f>
        <v/>
      </c>
      <c r="AL309" s="345">
        <f>IF($A309="","",IF('Jul 2027'!AE65="","",'Jul 2027'!AE65))</f>
        <v/>
      </c>
      <c r="AM309" s="345">
        <f>IF($A309="","",IF('Jul 2027'!AE66="","",'Jul 2027'!AE66))</f>
        <v/>
      </c>
      <c r="AN309" s="345">
        <f>IF($A309="","",IF('Jul 2027'!AE67="","",'Jul 2027'!AE67))</f>
        <v/>
      </c>
      <c r="AO309" s="345">
        <f>IF($A309="",0,IF(AND($A309&gt;=TrackStart,$A309&lt;=TODAY()),1,0))</f>
        <v/>
      </c>
      <c r="AP309" s="345">
        <f>IF($A309="",0,IF(SUM(F309:AE309)+COUNT(AF309:AN309)&gt;0,1,0))</f>
        <v/>
      </c>
      <c r="AQ309" s="345">
        <f>IF($A309="","",INT(($A309-TrackStart)/7)+1)</f>
        <v/>
      </c>
      <c r="AR309" s="345">
        <f>IF($A309="","",IF(AQ309&lt;=1,Steps1,IF(AQ309=2,Steps2,Steps3)))</f>
        <v/>
      </c>
      <c r="AS309" s="345">
        <f>IF($A309="",0,IF(ISNUMBER(SEARCH(TEXT(D309,"0"),WorkDays&amp;"")),1,0))</f>
        <v/>
      </c>
      <c r="AT309" s="345">
        <f>IF($A309="",0,IF(ISNUMBER(SEARCH(TEXT(D309,"0"),StrDays&amp;"")),1,0))</f>
        <v/>
      </c>
      <c r="AU309" s="345">
        <f>IF($A309="",0,IF(ISNUMBER(AK309),IF(AK309&gt;=SleepMin,1,0),N309))</f>
        <v/>
      </c>
      <c r="AV309" s="345">
        <f>IF($A309="",0,MAX(I309,O309,S309,AC309))</f>
        <v/>
      </c>
      <c r="AW309" s="345">
        <f>IF($A309="",0,IF(ISNUMBER(AH309),IF(AH309&gt;=ProtHit,1,0),0))</f>
        <v/>
      </c>
      <c r="AX309" s="345">
        <f>IF($A309="",0,IF(ISNUMBER(AI309),IF(AI309&gt;=WaterHit,1,0),0))</f>
        <v/>
      </c>
      <c r="AY309" s="345">
        <f>IF($A309="",0,IF(ISNUMBER(AG309),IF(AG309&gt;=AR309,1,0),0))</f>
        <v/>
      </c>
      <c r="AZ309" s="345">
        <f>IF($A309="",0,G309)</f>
        <v/>
      </c>
      <c r="BA309" s="345">
        <f>IF($A309="",0,J309)</f>
        <v/>
      </c>
      <c r="BB309" s="345">
        <f>IF($A309="",0,K309)</f>
        <v/>
      </c>
      <c r="BC309" s="345">
        <f>IF($A309="",0,MAX(L309,AE309))</f>
        <v/>
      </c>
      <c r="BD309" s="344">
        <f>IF($A309="","",(AU309+AV309+AW309+AX309+AY309+AZ309+BB309+BC309+IF(AS309=1,BA309,0))/(8+AS309))</f>
        <v/>
      </c>
      <c r="BE309" s="344">
        <f>IF($A309="","",(IF(ISNUMBER(AI309),IF(AI309&gt;=WaterMVD,1,0),0)+AV309+IF(ISNUMBER(AH309),IF(AH309&gt;=ProtMVD,1,0),0)+MAX(H309,AD309)+AZ309+BB309+AU309)/7)</f>
        <v/>
      </c>
      <c r="BF309" s="344">
        <f>IF(AO309=0,"",IF(E309="S","",IF(AND(AP309=0,$A309=TODAY()),"",IF(E309="M",BE309,BD309))))</f>
        <v/>
      </c>
      <c r="BG309" s="344">
        <f>IF(AO309=0,"",IFERROR(AVERAGEIFS(Data!$BF$4:$BF$375,Data!$A$4:$A$375,"&gt;"&amp;($A309-7),Data!$A$4:$A$375,"&lt;="&amp;$A309),""))</f>
        <v/>
      </c>
      <c r="BH309" s="344">
        <f>IF(AO309=0,"",IFERROR(AVERAGEIFS(Data!$BF$4:$BF$375,Data!$A$4:$A$375,"&gt;"&amp;($A309-30),Data!$A$4:$A$375,"&lt;="&amp;$A309),""))</f>
        <v/>
      </c>
      <c r="BI309" s="359">
        <f>IF($A309="","",IFERROR(AVERAGEIFS(Data!$AF$4:$AF$375,Data!$A$4:$A$375,"&gt;"&amp;($A309-7),Data!$A$4:$A$375,"&lt;="&amp;$A309,Data!$AF$4:$AF$375,"&gt;0"),""))</f>
        <v/>
      </c>
      <c r="BJ309" s="345">
        <f>IF($A309="","",F309+G309+H309+I309+J309+K309+L309+M309+N309-IF(AS309=1,0,J309))</f>
        <v/>
      </c>
      <c r="BK309" s="345">
        <f>IF($A309="","",8+AS309)</f>
        <v/>
      </c>
      <c r="BL309" s="345">
        <f>IF(ISNUMBER(BF309),BF309,NA())</f>
        <v/>
      </c>
      <c r="BM309" s="345">
        <f>IF(ISNUMBER(AF309),AF309,NA())</f>
        <v/>
      </c>
      <c r="BN309" s="345">
        <f>IF(ISNUMBER(BI309),BI309,NA())</f>
        <v/>
      </c>
      <c r="BO309" s="345">
        <f>IF(ISNUMBER(AL309),AL309,NA())</f>
        <v/>
      </c>
      <c r="BP309" s="345">
        <f>IF(ISNUMBER(AM309),AM309,NA())</f>
        <v/>
      </c>
      <c r="BQ309" s="345">
        <f>IF(ISNUMBER(AN309),AN309,NA())</f>
        <v/>
      </c>
    </row>
    <row r="310">
      <c r="A310" s="358">
        <f>IF('Jul 2027'!AF7="","",'Jul 2027'!AF7)</f>
        <v/>
      </c>
      <c r="B310" s="345" t="n">
        <v>10</v>
      </c>
      <c r="C310" s="345">
        <f>IF($A310="","",28)</f>
        <v/>
      </c>
      <c r="D310" s="345">
        <f>IF($A310="","",WEEKDAY($A310,2))</f>
        <v/>
      </c>
      <c r="E310" s="345">
        <f>IF($A310="","",UPPER(TRIM('Jul 2027'!AF8)))</f>
        <v/>
      </c>
      <c r="F310" s="345">
        <f>IF($A310="","",IF(OR('Jul 2027'!AF10=TRUE,'Jul 2027'!AF10="x",'Jul 2027'!AF10="X"),1,0))</f>
        <v/>
      </c>
      <c r="G310" s="345">
        <f>IF($A310="","",IF(OR('Jul 2027'!AF11=TRUE,'Jul 2027'!AF11="x",'Jul 2027'!AF11="X"),1,0))</f>
        <v/>
      </c>
      <c r="H310" s="345">
        <f>IF($A310="","",IF(OR('Jul 2027'!AF12=TRUE,'Jul 2027'!AF12="x",'Jul 2027'!AF12="X"),1,0))</f>
        <v/>
      </c>
      <c r="I310" s="345">
        <f>IF($A310="","",IF(OR('Jul 2027'!AF13=TRUE,'Jul 2027'!AF13="x",'Jul 2027'!AF13="X"),1,0))</f>
        <v/>
      </c>
      <c r="J310" s="345">
        <f>IF($A310="","",IF(OR('Jul 2027'!AF14=TRUE,'Jul 2027'!AF14="x",'Jul 2027'!AF14="X"),1,0))</f>
        <v/>
      </c>
      <c r="K310" s="345">
        <f>IF($A310="","",IF(OR('Jul 2027'!AF15=TRUE,'Jul 2027'!AF15="x",'Jul 2027'!AF15="X"),1,0))</f>
        <v/>
      </c>
      <c r="L310" s="345">
        <f>IF($A310="","",IF(OR('Jul 2027'!AF16=TRUE,'Jul 2027'!AF16="x",'Jul 2027'!AF16="X"),1,0))</f>
        <v/>
      </c>
      <c r="M310" s="345">
        <f>IF($A310="","",IF(OR('Jul 2027'!AF17=TRUE,'Jul 2027'!AF17="x",'Jul 2027'!AF17="X"),1,0))</f>
        <v/>
      </c>
      <c r="N310" s="345">
        <f>IF($A310="","",IF(OR('Jul 2027'!AF18=TRUE,'Jul 2027'!AF18="x",'Jul 2027'!AF18="X"),1,0))</f>
        <v/>
      </c>
      <c r="O310" s="345">
        <f>IF($A310="","",IF(OR('Jul 2027'!AF20=TRUE,'Jul 2027'!AF20="x",'Jul 2027'!AF20="X"),1,0))</f>
        <v/>
      </c>
      <c r="P310" s="345">
        <f>IF($A310="","",IF(OR('Jul 2027'!AF21=TRUE,'Jul 2027'!AF21="x",'Jul 2027'!AF21="X"),1,0))</f>
        <v/>
      </c>
      <c r="Q310" s="345">
        <f>IF($A310="","",IF(OR('Jul 2027'!AF22=TRUE,'Jul 2027'!AF22="x",'Jul 2027'!AF22="X"),1,0))</f>
        <v/>
      </c>
      <c r="R310" s="345">
        <f>IF($A310="","",IF(OR('Jul 2027'!AF23=TRUE,'Jul 2027'!AF23="x",'Jul 2027'!AF23="X"),1,0))</f>
        <v/>
      </c>
      <c r="S310" s="345">
        <f>IF($A310="","",IF(OR('Jul 2027'!AF24=TRUE,'Jul 2027'!AF24="x",'Jul 2027'!AF24="X"),1,0))</f>
        <v/>
      </c>
      <c r="T310" s="345">
        <f>IF($A310="","",IF(OR('Jul 2027'!AF25=TRUE,'Jul 2027'!AF25="x",'Jul 2027'!AF25="X"),1,0))</f>
        <v/>
      </c>
      <c r="U310" s="345">
        <f>IF($A310="","",IF(OR('Jul 2027'!AF26=TRUE,'Jul 2027'!AF26="x",'Jul 2027'!AF26="X"),1,0))</f>
        <v/>
      </c>
      <c r="V310" s="345">
        <f>IF($A310="","",IF(OR('Jul 2027'!AF27=TRUE,'Jul 2027'!AF27="x",'Jul 2027'!AF27="X"),1,0))</f>
        <v/>
      </c>
      <c r="W310" s="345">
        <f>IF($A310="","",IF(OR('Jul 2027'!AF28=TRUE,'Jul 2027'!AF28="x",'Jul 2027'!AF28="X"),1,0))</f>
        <v/>
      </c>
      <c r="X310" s="345">
        <f>IF($A310="","",IF(OR('Jul 2027'!AF29=TRUE,'Jul 2027'!AF29="x",'Jul 2027'!AF29="X"),1,0))</f>
        <v/>
      </c>
      <c r="Y310" s="345">
        <f>IF($A310="","",IF(OR('Jul 2027'!AF30=TRUE,'Jul 2027'!AF30="x",'Jul 2027'!AF30="X"),1,0))</f>
        <v/>
      </c>
      <c r="Z310" s="345">
        <f>IF($A310="","",IF(OR('Jul 2027'!AF31=TRUE,'Jul 2027'!AF31="x",'Jul 2027'!AF31="X"),1,0))</f>
        <v/>
      </c>
      <c r="AA310" s="345">
        <f>IF($A310="","",IF(OR('Jul 2027'!AF32=TRUE,'Jul 2027'!AF32="x",'Jul 2027'!AF32="X"),1,0))</f>
        <v/>
      </c>
      <c r="AB310" s="345">
        <f>IF($A310="","",IF(OR('Jul 2027'!AF34=TRUE,'Jul 2027'!AF34="x",'Jul 2027'!AF34="X"),1,0))</f>
        <v/>
      </c>
      <c r="AC310" s="345">
        <f>IF($A310="","",IF(OR('Jul 2027'!AF35=TRUE,'Jul 2027'!AF35="x",'Jul 2027'!AF35="X"),1,0))</f>
        <v/>
      </c>
      <c r="AD310" s="345">
        <f>IF($A310="","",IF(OR('Jul 2027'!AF36=TRUE,'Jul 2027'!AF36="x",'Jul 2027'!AF36="X"),1,0))</f>
        <v/>
      </c>
      <c r="AE310" s="345">
        <f>IF($A310="","",IF(OR('Jul 2027'!AF37=TRUE,'Jul 2027'!AF37="x",'Jul 2027'!AF37="X"),1,0))</f>
        <v/>
      </c>
      <c r="AF310" s="345">
        <f>IF($A310="","",IF('Jul 2027'!AF59="","",'Jul 2027'!AF59))</f>
        <v/>
      </c>
      <c r="AG310" s="345">
        <f>IF($A310="","",IF('Jul 2027'!AF60="","",'Jul 2027'!AF60))</f>
        <v/>
      </c>
      <c r="AH310" s="345">
        <f>IF($A310="","",IF('Jul 2027'!AF61="","",'Jul 2027'!AF61))</f>
        <v/>
      </c>
      <c r="AI310" s="345">
        <f>IF($A310="","",IF('Jul 2027'!AF62="","",'Jul 2027'!AF62))</f>
        <v/>
      </c>
      <c r="AJ310" s="345">
        <f>IF($A310="","",IF('Jul 2027'!AF63="","",'Jul 2027'!AF63))</f>
        <v/>
      </c>
      <c r="AK310" s="345">
        <f>IF($A310="","",IF('Jul 2027'!AF64="","",'Jul 2027'!AF64))</f>
        <v/>
      </c>
      <c r="AL310" s="345">
        <f>IF($A310="","",IF('Jul 2027'!AF65="","",'Jul 2027'!AF65))</f>
        <v/>
      </c>
      <c r="AM310" s="345">
        <f>IF($A310="","",IF('Jul 2027'!AF66="","",'Jul 2027'!AF66))</f>
        <v/>
      </c>
      <c r="AN310" s="345">
        <f>IF($A310="","",IF('Jul 2027'!AF67="","",'Jul 2027'!AF67))</f>
        <v/>
      </c>
      <c r="AO310" s="345">
        <f>IF($A310="",0,IF(AND($A310&gt;=TrackStart,$A310&lt;=TODAY()),1,0))</f>
        <v/>
      </c>
      <c r="AP310" s="345">
        <f>IF($A310="",0,IF(SUM(F310:AE310)+COUNT(AF310:AN310)&gt;0,1,0))</f>
        <v/>
      </c>
      <c r="AQ310" s="345">
        <f>IF($A310="","",INT(($A310-TrackStart)/7)+1)</f>
        <v/>
      </c>
      <c r="AR310" s="345">
        <f>IF($A310="","",IF(AQ310&lt;=1,Steps1,IF(AQ310=2,Steps2,Steps3)))</f>
        <v/>
      </c>
      <c r="AS310" s="345">
        <f>IF($A310="",0,IF(ISNUMBER(SEARCH(TEXT(D310,"0"),WorkDays&amp;"")),1,0))</f>
        <v/>
      </c>
      <c r="AT310" s="345">
        <f>IF($A310="",0,IF(ISNUMBER(SEARCH(TEXT(D310,"0"),StrDays&amp;"")),1,0))</f>
        <v/>
      </c>
      <c r="AU310" s="345">
        <f>IF($A310="",0,IF(ISNUMBER(AK310),IF(AK310&gt;=SleepMin,1,0),N310))</f>
        <v/>
      </c>
      <c r="AV310" s="345">
        <f>IF($A310="",0,MAX(I310,O310,S310,AC310))</f>
        <v/>
      </c>
      <c r="AW310" s="345">
        <f>IF($A310="",0,IF(ISNUMBER(AH310),IF(AH310&gt;=ProtHit,1,0),0))</f>
        <v/>
      </c>
      <c r="AX310" s="345">
        <f>IF($A310="",0,IF(ISNUMBER(AI310),IF(AI310&gt;=WaterHit,1,0),0))</f>
        <v/>
      </c>
      <c r="AY310" s="345">
        <f>IF($A310="",0,IF(ISNUMBER(AG310),IF(AG310&gt;=AR310,1,0),0))</f>
        <v/>
      </c>
      <c r="AZ310" s="345">
        <f>IF($A310="",0,G310)</f>
        <v/>
      </c>
      <c r="BA310" s="345">
        <f>IF($A310="",0,J310)</f>
        <v/>
      </c>
      <c r="BB310" s="345">
        <f>IF($A310="",0,K310)</f>
        <v/>
      </c>
      <c r="BC310" s="345">
        <f>IF($A310="",0,MAX(L310,AE310))</f>
        <v/>
      </c>
      <c r="BD310" s="344">
        <f>IF($A310="","",(AU310+AV310+AW310+AX310+AY310+AZ310+BB310+BC310+IF(AS310=1,BA310,0))/(8+AS310))</f>
        <v/>
      </c>
      <c r="BE310" s="344">
        <f>IF($A310="","",(IF(ISNUMBER(AI310),IF(AI310&gt;=WaterMVD,1,0),0)+AV310+IF(ISNUMBER(AH310),IF(AH310&gt;=ProtMVD,1,0),0)+MAX(H310,AD310)+AZ310+BB310+AU310)/7)</f>
        <v/>
      </c>
      <c r="BF310" s="344">
        <f>IF(AO310=0,"",IF(E310="S","",IF(AND(AP310=0,$A310=TODAY()),"",IF(E310="M",BE310,BD310))))</f>
        <v/>
      </c>
      <c r="BG310" s="344">
        <f>IF(AO310=0,"",IFERROR(AVERAGEIFS(Data!$BF$4:$BF$375,Data!$A$4:$A$375,"&gt;"&amp;($A310-7),Data!$A$4:$A$375,"&lt;="&amp;$A310),""))</f>
        <v/>
      </c>
      <c r="BH310" s="344">
        <f>IF(AO310=0,"",IFERROR(AVERAGEIFS(Data!$BF$4:$BF$375,Data!$A$4:$A$375,"&gt;"&amp;($A310-30),Data!$A$4:$A$375,"&lt;="&amp;$A310),""))</f>
        <v/>
      </c>
      <c r="BI310" s="359">
        <f>IF($A310="","",IFERROR(AVERAGEIFS(Data!$AF$4:$AF$375,Data!$A$4:$A$375,"&gt;"&amp;($A310-7),Data!$A$4:$A$375,"&lt;="&amp;$A310,Data!$AF$4:$AF$375,"&gt;0"),""))</f>
        <v/>
      </c>
      <c r="BJ310" s="345">
        <f>IF($A310="","",F310+G310+H310+I310+J310+K310+L310+M310+N310-IF(AS310=1,0,J310))</f>
        <v/>
      </c>
      <c r="BK310" s="345">
        <f>IF($A310="","",8+AS310)</f>
        <v/>
      </c>
      <c r="BL310" s="345">
        <f>IF(ISNUMBER(BF310),BF310,NA())</f>
        <v/>
      </c>
      <c r="BM310" s="345">
        <f>IF(ISNUMBER(AF310),AF310,NA())</f>
        <v/>
      </c>
      <c r="BN310" s="345">
        <f>IF(ISNUMBER(BI310),BI310,NA())</f>
        <v/>
      </c>
      <c r="BO310" s="345">
        <f>IF(ISNUMBER(AL310),AL310,NA())</f>
        <v/>
      </c>
      <c r="BP310" s="345">
        <f>IF(ISNUMBER(AM310),AM310,NA())</f>
        <v/>
      </c>
      <c r="BQ310" s="345">
        <f>IF(ISNUMBER(AN310),AN310,NA())</f>
        <v/>
      </c>
    </row>
    <row r="311">
      <c r="A311" s="358">
        <f>IF('Jul 2027'!AG7="","",'Jul 2027'!AG7)</f>
        <v/>
      </c>
      <c r="B311" s="345" t="n">
        <v>10</v>
      </c>
      <c r="C311" s="345">
        <f>IF($A311="","",29)</f>
        <v/>
      </c>
      <c r="D311" s="345">
        <f>IF($A311="","",WEEKDAY($A311,2))</f>
        <v/>
      </c>
      <c r="E311" s="345">
        <f>IF($A311="","",UPPER(TRIM('Jul 2027'!AG8)))</f>
        <v/>
      </c>
      <c r="F311" s="345">
        <f>IF($A311="","",IF(OR('Jul 2027'!AG10=TRUE,'Jul 2027'!AG10="x",'Jul 2027'!AG10="X"),1,0))</f>
        <v/>
      </c>
      <c r="G311" s="345">
        <f>IF($A311="","",IF(OR('Jul 2027'!AG11=TRUE,'Jul 2027'!AG11="x",'Jul 2027'!AG11="X"),1,0))</f>
        <v/>
      </c>
      <c r="H311" s="345">
        <f>IF($A311="","",IF(OR('Jul 2027'!AG12=TRUE,'Jul 2027'!AG12="x",'Jul 2027'!AG12="X"),1,0))</f>
        <v/>
      </c>
      <c r="I311" s="345">
        <f>IF($A311="","",IF(OR('Jul 2027'!AG13=TRUE,'Jul 2027'!AG13="x",'Jul 2027'!AG13="X"),1,0))</f>
        <v/>
      </c>
      <c r="J311" s="345">
        <f>IF($A311="","",IF(OR('Jul 2027'!AG14=TRUE,'Jul 2027'!AG14="x",'Jul 2027'!AG14="X"),1,0))</f>
        <v/>
      </c>
      <c r="K311" s="345">
        <f>IF($A311="","",IF(OR('Jul 2027'!AG15=TRUE,'Jul 2027'!AG15="x",'Jul 2027'!AG15="X"),1,0))</f>
        <v/>
      </c>
      <c r="L311" s="345">
        <f>IF($A311="","",IF(OR('Jul 2027'!AG16=TRUE,'Jul 2027'!AG16="x",'Jul 2027'!AG16="X"),1,0))</f>
        <v/>
      </c>
      <c r="M311" s="345">
        <f>IF($A311="","",IF(OR('Jul 2027'!AG17=TRUE,'Jul 2027'!AG17="x",'Jul 2027'!AG17="X"),1,0))</f>
        <v/>
      </c>
      <c r="N311" s="345">
        <f>IF($A311="","",IF(OR('Jul 2027'!AG18=TRUE,'Jul 2027'!AG18="x",'Jul 2027'!AG18="X"),1,0))</f>
        <v/>
      </c>
      <c r="O311" s="345">
        <f>IF($A311="","",IF(OR('Jul 2027'!AG20=TRUE,'Jul 2027'!AG20="x",'Jul 2027'!AG20="X"),1,0))</f>
        <v/>
      </c>
      <c r="P311" s="345">
        <f>IF($A311="","",IF(OR('Jul 2027'!AG21=TRUE,'Jul 2027'!AG21="x",'Jul 2027'!AG21="X"),1,0))</f>
        <v/>
      </c>
      <c r="Q311" s="345">
        <f>IF($A311="","",IF(OR('Jul 2027'!AG22=TRUE,'Jul 2027'!AG22="x",'Jul 2027'!AG22="X"),1,0))</f>
        <v/>
      </c>
      <c r="R311" s="345">
        <f>IF($A311="","",IF(OR('Jul 2027'!AG23=TRUE,'Jul 2027'!AG23="x",'Jul 2027'!AG23="X"),1,0))</f>
        <v/>
      </c>
      <c r="S311" s="345">
        <f>IF($A311="","",IF(OR('Jul 2027'!AG24=TRUE,'Jul 2027'!AG24="x",'Jul 2027'!AG24="X"),1,0))</f>
        <v/>
      </c>
      <c r="T311" s="345">
        <f>IF($A311="","",IF(OR('Jul 2027'!AG25=TRUE,'Jul 2027'!AG25="x",'Jul 2027'!AG25="X"),1,0))</f>
        <v/>
      </c>
      <c r="U311" s="345">
        <f>IF($A311="","",IF(OR('Jul 2027'!AG26=TRUE,'Jul 2027'!AG26="x",'Jul 2027'!AG26="X"),1,0))</f>
        <v/>
      </c>
      <c r="V311" s="345">
        <f>IF($A311="","",IF(OR('Jul 2027'!AG27=TRUE,'Jul 2027'!AG27="x",'Jul 2027'!AG27="X"),1,0))</f>
        <v/>
      </c>
      <c r="W311" s="345">
        <f>IF($A311="","",IF(OR('Jul 2027'!AG28=TRUE,'Jul 2027'!AG28="x",'Jul 2027'!AG28="X"),1,0))</f>
        <v/>
      </c>
      <c r="X311" s="345">
        <f>IF($A311="","",IF(OR('Jul 2027'!AG29=TRUE,'Jul 2027'!AG29="x",'Jul 2027'!AG29="X"),1,0))</f>
        <v/>
      </c>
      <c r="Y311" s="345">
        <f>IF($A311="","",IF(OR('Jul 2027'!AG30=TRUE,'Jul 2027'!AG30="x",'Jul 2027'!AG30="X"),1,0))</f>
        <v/>
      </c>
      <c r="Z311" s="345">
        <f>IF($A311="","",IF(OR('Jul 2027'!AG31=TRUE,'Jul 2027'!AG31="x",'Jul 2027'!AG31="X"),1,0))</f>
        <v/>
      </c>
      <c r="AA311" s="345">
        <f>IF($A311="","",IF(OR('Jul 2027'!AG32=TRUE,'Jul 2027'!AG32="x",'Jul 2027'!AG32="X"),1,0))</f>
        <v/>
      </c>
      <c r="AB311" s="345">
        <f>IF($A311="","",IF(OR('Jul 2027'!AG34=TRUE,'Jul 2027'!AG34="x",'Jul 2027'!AG34="X"),1,0))</f>
        <v/>
      </c>
      <c r="AC311" s="345">
        <f>IF($A311="","",IF(OR('Jul 2027'!AG35=TRUE,'Jul 2027'!AG35="x",'Jul 2027'!AG35="X"),1,0))</f>
        <v/>
      </c>
      <c r="AD311" s="345">
        <f>IF($A311="","",IF(OR('Jul 2027'!AG36=TRUE,'Jul 2027'!AG36="x",'Jul 2027'!AG36="X"),1,0))</f>
        <v/>
      </c>
      <c r="AE311" s="345">
        <f>IF($A311="","",IF(OR('Jul 2027'!AG37=TRUE,'Jul 2027'!AG37="x",'Jul 2027'!AG37="X"),1,0))</f>
        <v/>
      </c>
      <c r="AF311" s="345">
        <f>IF($A311="","",IF('Jul 2027'!AG59="","",'Jul 2027'!AG59))</f>
        <v/>
      </c>
      <c r="AG311" s="345">
        <f>IF($A311="","",IF('Jul 2027'!AG60="","",'Jul 2027'!AG60))</f>
        <v/>
      </c>
      <c r="AH311" s="345">
        <f>IF($A311="","",IF('Jul 2027'!AG61="","",'Jul 2027'!AG61))</f>
        <v/>
      </c>
      <c r="AI311" s="345">
        <f>IF($A311="","",IF('Jul 2027'!AG62="","",'Jul 2027'!AG62))</f>
        <v/>
      </c>
      <c r="AJ311" s="345">
        <f>IF($A311="","",IF('Jul 2027'!AG63="","",'Jul 2027'!AG63))</f>
        <v/>
      </c>
      <c r="AK311" s="345">
        <f>IF($A311="","",IF('Jul 2027'!AG64="","",'Jul 2027'!AG64))</f>
        <v/>
      </c>
      <c r="AL311" s="345">
        <f>IF($A311="","",IF('Jul 2027'!AG65="","",'Jul 2027'!AG65))</f>
        <v/>
      </c>
      <c r="AM311" s="345">
        <f>IF($A311="","",IF('Jul 2027'!AG66="","",'Jul 2027'!AG66))</f>
        <v/>
      </c>
      <c r="AN311" s="345">
        <f>IF($A311="","",IF('Jul 2027'!AG67="","",'Jul 2027'!AG67))</f>
        <v/>
      </c>
      <c r="AO311" s="345">
        <f>IF($A311="",0,IF(AND($A311&gt;=TrackStart,$A311&lt;=TODAY()),1,0))</f>
        <v/>
      </c>
      <c r="AP311" s="345">
        <f>IF($A311="",0,IF(SUM(F311:AE311)+COUNT(AF311:AN311)&gt;0,1,0))</f>
        <v/>
      </c>
      <c r="AQ311" s="345">
        <f>IF($A311="","",INT(($A311-TrackStart)/7)+1)</f>
        <v/>
      </c>
      <c r="AR311" s="345">
        <f>IF($A311="","",IF(AQ311&lt;=1,Steps1,IF(AQ311=2,Steps2,Steps3)))</f>
        <v/>
      </c>
      <c r="AS311" s="345">
        <f>IF($A311="",0,IF(ISNUMBER(SEARCH(TEXT(D311,"0"),WorkDays&amp;"")),1,0))</f>
        <v/>
      </c>
      <c r="AT311" s="345">
        <f>IF($A311="",0,IF(ISNUMBER(SEARCH(TEXT(D311,"0"),StrDays&amp;"")),1,0))</f>
        <v/>
      </c>
      <c r="AU311" s="345">
        <f>IF($A311="",0,IF(ISNUMBER(AK311),IF(AK311&gt;=SleepMin,1,0),N311))</f>
        <v/>
      </c>
      <c r="AV311" s="345">
        <f>IF($A311="",0,MAX(I311,O311,S311,AC311))</f>
        <v/>
      </c>
      <c r="AW311" s="345">
        <f>IF($A311="",0,IF(ISNUMBER(AH311),IF(AH311&gt;=ProtHit,1,0),0))</f>
        <v/>
      </c>
      <c r="AX311" s="345">
        <f>IF($A311="",0,IF(ISNUMBER(AI311),IF(AI311&gt;=WaterHit,1,0),0))</f>
        <v/>
      </c>
      <c r="AY311" s="345">
        <f>IF($A311="",0,IF(ISNUMBER(AG311),IF(AG311&gt;=AR311,1,0),0))</f>
        <v/>
      </c>
      <c r="AZ311" s="345">
        <f>IF($A311="",0,G311)</f>
        <v/>
      </c>
      <c r="BA311" s="345">
        <f>IF($A311="",0,J311)</f>
        <v/>
      </c>
      <c r="BB311" s="345">
        <f>IF($A311="",0,K311)</f>
        <v/>
      </c>
      <c r="BC311" s="345">
        <f>IF($A311="",0,MAX(L311,AE311))</f>
        <v/>
      </c>
      <c r="BD311" s="344">
        <f>IF($A311="","",(AU311+AV311+AW311+AX311+AY311+AZ311+BB311+BC311+IF(AS311=1,BA311,0))/(8+AS311))</f>
        <v/>
      </c>
      <c r="BE311" s="344">
        <f>IF($A311="","",(IF(ISNUMBER(AI311),IF(AI311&gt;=WaterMVD,1,0),0)+AV311+IF(ISNUMBER(AH311),IF(AH311&gt;=ProtMVD,1,0),0)+MAX(H311,AD311)+AZ311+BB311+AU311)/7)</f>
        <v/>
      </c>
      <c r="BF311" s="344">
        <f>IF(AO311=0,"",IF(E311="S","",IF(AND(AP311=0,$A311=TODAY()),"",IF(E311="M",BE311,BD311))))</f>
        <v/>
      </c>
      <c r="BG311" s="344">
        <f>IF(AO311=0,"",IFERROR(AVERAGEIFS(Data!$BF$4:$BF$375,Data!$A$4:$A$375,"&gt;"&amp;($A311-7),Data!$A$4:$A$375,"&lt;="&amp;$A311),""))</f>
        <v/>
      </c>
      <c r="BH311" s="344">
        <f>IF(AO311=0,"",IFERROR(AVERAGEIFS(Data!$BF$4:$BF$375,Data!$A$4:$A$375,"&gt;"&amp;($A311-30),Data!$A$4:$A$375,"&lt;="&amp;$A311),""))</f>
        <v/>
      </c>
      <c r="BI311" s="359">
        <f>IF($A311="","",IFERROR(AVERAGEIFS(Data!$AF$4:$AF$375,Data!$A$4:$A$375,"&gt;"&amp;($A311-7),Data!$A$4:$A$375,"&lt;="&amp;$A311,Data!$AF$4:$AF$375,"&gt;0"),""))</f>
        <v/>
      </c>
      <c r="BJ311" s="345">
        <f>IF($A311="","",F311+G311+H311+I311+J311+K311+L311+M311+N311-IF(AS311=1,0,J311))</f>
        <v/>
      </c>
      <c r="BK311" s="345">
        <f>IF($A311="","",8+AS311)</f>
        <v/>
      </c>
      <c r="BL311" s="345">
        <f>IF(ISNUMBER(BF311),BF311,NA())</f>
        <v/>
      </c>
      <c r="BM311" s="345">
        <f>IF(ISNUMBER(AF311),AF311,NA())</f>
        <v/>
      </c>
      <c r="BN311" s="345">
        <f>IF(ISNUMBER(BI311),BI311,NA())</f>
        <v/>
      </c>
      <c r="BO311" s="345">
        <f>IF(ISNUMBER(AL311),AL311,NA())</f>
        <v/>
      </c>
      <c r="BP311" s="345">
        <f>IF(ISNUMBER(AM311),AM311,NA())</f>
        <v/>
      </c>
      <c r="BQ311" s="345">
        <f>IF(ISNUMBER(AN311),AN311,NA())</f>
        <v/>
      </c>
    </row>
    <row r="312">
      <c r="A312" s="358">
        <f>IF('Jul 2027'!AH7="","",'Jul 2027'!AH7)</f>
        <v/>
      </c>
      <c r="B312" s="345" t="n">
        <v>10</v>
      </c>
      <c r="C312" s="345">
        <f>IF($A312="","",30)</f>
        <v/>
      </c>
      <c r="D312" s="345">
        <f>IF($A312="","",WEEKDAY($A312,2))</f>
        <v/>
      </c>
      <c r="E312" s="345">
        <f>IF($A312="","",UPPER(TRIM('Jul 2027'!AH8)))</f>
        <v/>
      </c>
      <c r="F312" s="345">
        <f>IF($A312="","",IF(OR('Jul 2027'!AH10=TRUE,'Jul 2027'!AH10="x",'Jul 2027'!AH10="X"),1,0))</f>
        <v/>
      </c>
      <c r="G312" s="345">
        <f>IF($A312="","",IF(OR('Jul 2027'!AH11=TRUE,'Jul 2027'!AH11="x",'Jul 2027'!AH11="X"),1,0))</f>
        <v/>
      </c>
      <c r="H312" s="345">
        <f>IF($A312="","",IF(OR('Jul 2027'!AH12=TRUE,'Jul 2027'!AH12="x",'Jul 2027'!AH12="X"),1,0))</f>
        <v/>
      </c>
      <c r="I312" s="345">
        <f>IF($A312="","",IF(OR('Jul 2027'!AH13=TRUE,'Jul 2027'!AH13="x",'Jul 2027'!AH13="X"),1,0))</f>
        <v/>
      </c>
      <c r="J312" s="345">
        <f>IF($A312="","",IF(OR('Jul 2027'!AH14=TRUE,'Jul 2027'!AH14="x",'Jul 2027'!AH14="X"),1,0))</f>
        <v/>
      </c>
      <c r="K312" s="345">
        <f>IF($A312="","",IF(OR('Jul 2027'!AH15=TRUE,'Jul 2027'!AH15="x",'Jul 2027'!AH15="X"),1,0))</f>
        <v/>
      </c>
      <c r="L312" s="345">
        <f>IF($A312="","",IF(OR('Jul 2027'!AH16=TRUE,'Jul 2027'!AH16="x",'Jul 2027'!AH16="X"),1,0))</f>
        <v/>
      </c>
      <c r="M312" s="345">
        <f>IF($A312="","",IF(OR('Jul 2027'!AH17=TRUE,'Jul 2027'!AH17="x",'Jul 2027'!AH17="X"),1,0))</f>
        <v/>
      </c>
      <c r="N312" s="345">
        <f>IF($A312="","",IF(OR('Jul 2027'!AH18=TRUE,'Jul 2027'!AH18="x",'Jul 2027'!AH18="X"),1,0))</f>
        <v/>
      </c>
      <c r="O312" s="345">
        <f>IF($A312="","",IF(OR('Jul 2027'!AH20=TRUE,'Jul 2027'!AH20="x",'Jul 2027'!AH20="X"),1,0))</f>
        <v/>
      </c>
      <c r="P312" s="345">
        <f>IF($A312="","",IF(OR('Jul 2027'!AH21=TRUE,'Jul 2027'!AH21="x",'Jul 2027'!AH21="X"),1,0))</f>
        <v/>
      </c>
      <c r="Q312" s="345">
        <f>IF($A312="","",IF(OR('Jul 2027'!AH22=TRUE,'Jul 2027'!AH22="x",'Jul 2027'!AH22="X"),1,0))</f>
        <v/>
      </c>
      <c r="R312" s="345">
        <f>IF($A312="","",IF(OR('Jul 2027'!AH23=TRUE,'Jul 2027'!AH23="x",'Jul 2027'!AH23="X"),1,0))</f>
        <v/>
      </c>
      <c r="S312" s="345">
        <f>IF($A312="","",IF(OR('Jul 2027'!AH24=TRUE,'Jul 2027'!AH24="x",'Jul 2027'!AH24="X"),1,0))</f>
        <v/>
      </c>
      <c r="T312" s="345">
        <f>IF($A312="","",IF(OR('Jul 2027'!AH25=TRUE,'Jul 2027'!AH25="x",'Jul 2027'!AH25="X"),1,0))</f>
        <v/>
      </c>
      <c r="U312" s="345">
        <f>IF($A312="","",IF(OR('Jul 2027'!AH26=TRUE,'Jul 2027'!AH26="x",'Jul 2027'!AH26="X"),1,0))</f>
        <v/>
      </c>
      <c r="V312" s="345">
        <f>IF($A312="","",IF(OR('Jul 2027'!AH27=TRUE,'Jul 2027'!AH27="x",'Jul 2027'!AH27="X"),1,0))</f>
        <v/>
      </c>
      <c r="W312" s="345">
        <f>IF($A312="","",IF(OR('Jul 2027'!AH28=TRUE,'Jul 2027'!AH28="x",'Jul 2027'!AH28="X"),1,0))</f>
        <v/>
      </c>
      <c r="X312" s="345">
        <f>IF($A312="","",IF(OR('Jul 2027'!AH29=TRUE,'Jul 2027'!AH29="x",'Jul 2027'!AH29="X"),1,0))</f>
        <v/>
      </c>
      <c r="Y312" s="345">
        <f>IF($A312="","",IF(OR('Jul 2027'!AH30=TRUE,'Jul 2027'!AH30="x",'Jul 2027'!AH30="X"),1,0))</f>
        <v/>
      </c>
      <c r="Z312" s="345">
        <f>IF($A312="","",IF(OR('Jul 2027'!AH31=TRUE,'Jul 2027'!AH31="x",'Jul 2027'!AH31="X"),1,0))</f>
        <v/>
      </c>
      <c r="AA312" s="345">
        <f>IF($A312="","",IF(OR('Jul 2027'!AH32=TRUE,'Jul 2027'!AH32="x",'Jul 2027'!AH32="X"),1,0))</f>
        <v/>
      </c>
      <c r="AB312" s="345">
        <f>IF($A312="","",IF(OR('Jul 2027'!AH34=TRUE,'Jul 2027'!AH34="x",'Jul 2027'!AH34="X"),1,0))</f>
        <v/>
      </c>
      <c r="AC312" s="345">
        <f>IF($A312="","",IF(OR('Jul 2027'!AH35=TRUE,'Jul 2027'!AH35="x",'Jul 2027'!AH35="X"),1,0))</f>
        <v/>
      </c>
      <c r="AD312" s="345">
        <f>IF($A312="","",IF(OR('Jul 2027'!AH36=TRUE,'Jul 2027'!AH36="x",'Jul 2027'!AH36="X"),1,0))</f>
        <v/>
      </c>
      <c r="AE312" s="345">
        <f>IF($A312="","",IF(OR('Jul 2027'!AH37=TRUE,'Jul 2027'!AH37="x",'Jul 2027'!AH37="X"),1,0))</f>
        <v/>
      </c>
      <c r="AF312" s="345">
        <f>IF($A312="","",IF('Jul 2027'!AH59="","",'Jul 2027'!AH59))</f>
        <v/>
      </c>
      <c r="AG312" s="345">
        <f>IF($A312="","",IF('Jul 2027'!AH60="","",'Jul 2027'!AH60))</f>
        <v/>
      </c>
      <c r="AH312" s="345">
        <f>IF($A312="","",IF('Jul 2027'!AH61="","",'Jul 2027'!AH61))</f>
        <v/>
      </c>
      <c r="AI312" s="345">
        <f>IF($A312="","",IF('Jul 2027'!AH62="","",'Jul 2027'!AH62))</f>
        <v/>
      </c>
      <c r="AJ312" s="345">
        <f>IF($A312="","",IF('Jul 2027'!AH63="","",'Jul 2027'!AH63))</f>
        <v/>
      </c>
      <c r="AK312" s="345">
        <f>IF($A312="","",IF('Jul 2027'!AH64="","",'Jul 2027'!AH64))</f>
        <v/>
      </c>
      <c r="AL312" s="345">
        <f>IF($A312="","",IF('Jul 2027'!AH65="","",'Jul 2027'!AH65))</f>
        <v/>
      </c>
      <c r="AM312" s="345">
        <f>IF($A312="","",IF('Jul 2027'!AH66="","",'Jul 2027'!AH66))</f>
        <v/>
      </c>
      <c r="AN312" s="345">
        <f>IF($A312="","",IF('Jul 2027'!AH67="","",'Jul 2027'!AH67))</f>
        <v/>
      </c>
      <c r="AO312" s="345">
        <f>IF($A312="",0,IF(AND($A312&gt;=TrackStart,$A312&lt;=TODAY()),1,0))</f>
        <v/>
      </c>
      <c r="AP312" s="345">
        <f>IF($A312="",0,IF(SUM(F312:AE312)+COUNT(AF312:AN312)&gt;0,1,0))</f>
        <v/>
      </c>
      <c r="AQ312" s="345">
        <f>IF($A312="","",INT(($A312-TrackStart)/7)+1)</f>
        <v/>
      </c>
      <c r="AR312" s="345">
        <f>IF($A312="","",IF(AQ312&lt;=1,Steps1,IF(AQ312=2,Steps2,Steps3)))</f>
        <v/>
      </c>
      <c r="AS312" s="345">
        <f>IF($A312="",0,IF(ISNUMBER(SEARCH(TEXT(D312,"0"),WorkDays&amp;"")),1,0))</f>
        <v/>
      </c>
      <c r="AT312" s="345">
        <f>IF($A312="",0,IF(ISNUMBER(SEARCH(TEXT(D312,"0"),StrDays&amp;"")),1,0))</f>
        <v/>
      </c>
      <c r="AU312" s="345">
        <f>IF($A312="",0,IF(ISNUMBER(AK312),IF(AK312&gt;=SleepMin,1,0),N312))</f>
        <v/>
      </c>
      <c r="AV312" s="345">
        <f>IF($A312="",0,MAX(I312,O312,S312,AC312))</f>
        <v/>
      </c>
      <c r="AW312" s="345">
        <f>IF($A312="",0,IF(ISNUMBER(AH312),IF(AH312&gt;=ProtHit,1,0),0))</f>
        <v/>
      </c>
      <c r="AX312" s="345">
        <f>IF($A312="",0,IF(ISNUMBER(AI312),IF(AI312&gt;=WaterHit,1,0),0))</f>
        <v/>
      </c>
      <c r="AY312" s="345">
        <f>IF($A312="",0,IF(ISNUMBER(AG312),IF(AG312&gt;=AR312,1,0),0))</f>
        <v/>
      </c>
      <c r="AZ312" s="345">
        <f>IF($A312="",0,G312)</f>
        <v/>
      </c>
      <c r="BA312" s="345">
        <f>IF($A312="",0,J312)</f>
        <v/>
      </c>
      <c r="BB312" s="345">
        <f>IF($A312="",0,K312)</f>
        <v/>
      </c>
      <c r="BC312" s="345">
        <f>IF($A312="",0,MAX(L312,AE312))</f>
        <v/>
      </c>
      <c r="BD312" s="344">
        <f>IF($A312="","",(AU312+AV312+AW312+AX312+AY312+AZ312+BB312+BC312+IF(AS312=1,BA312,0))/(8+AS312))</f>
        <v/>
      </c>
      <c r="BE312" s="344">
        <f>IF($A312="","",(IF(ISNUMBER(AI312),IF(AI312&gt;=WaterMVD,1,0),0)+AV312+IF(ISNUMBER(AH312),IF(AH312&gt;=ProtMVD,1,0),0)+MAX(H312,AD312)+AZ312+BB312+AU312)/7)</f>
        <v/>
      </c>
      <c r="BF312" s="344">
        <f>IF(AO312=0,"",IF(E312="S","",IF(AND(AP312=0,$A312=TODAY()),"",IF(E312="M",BE312,BD312))))</f>
        <v/>
      </c>
      <c r="BG312" s="344">
        <f>IF(AO312=0,"",IFERROR(AVERAGEIFS(Data!$BF$4:$BF$375,Data!$A$4:$A$375,"&gt;"&amp;($A312-7),Data!$A$4:$A$375,"&lt;="&amp;$A312),""))</f>
        <v/>
      </c>
      <c r="BH312" s="344">
        <f>IF(AO312=0,"",IFERROR(AVERAGEIFS(Data!$BF$4:$BF$375,Data!$A$4:$A$375,"&gt;"&amp;($A312-30),Data!$A$4:$A$375,"&lt;="&amp;$A312),""))</f>
        <v/>
      </c>
      <c r="BI312" s="359">
        <f>IF($A312="","",IFERROR(AVERAGEIFS(Data!$AF$4:$AF$375,Data!$A$4:$A$375,"&gt;"&amp;($A312-7),Data!$A$4:$A$375,"&lt;="&amp;$A312,Data!$AF$4:$AF$375,"&gt;0"),""))</f>
        <v/>
      </c>
      <c r="BJ312" s="345">
        <f>IF($A312="","",F312+G312+H312+I312+J312+K312+L312+M312+N312-IF(AS312=1,0,J312))</f>
        <v/>
      </c>
      <c r="BK312" s="345">
        <f>IF($A312="","",8+AS312)</f>
        <v/>
      </c>
      <c r="BL312" s="345">
        <f>IF(ISNUMBER(BF312),BF312,NA())</f>
        <v/>
      </c>
      <c r="BM312" s="345">
        <f>IF(ISNUMBER(AF312),AF312,NA())</f>
        <v/>
      </c>
      <c r="BN312" s="345">
        <f>IF(ISNUMBER(BI312),BI312,NA())</f>
        <v/>
      </c>
      <c r="BO312" s="345">
        <f>IF(ISNUMBER(AL312),AL312,NA())</f>
        <v/>
      </c>
      <c r="BP312" s="345">
        <f>IF(ISNUMBER(AM312),AM312,NA())</f>
        <v/>
      </c>
      <c r="BQ312" s="345">
        <f>IF(ISNUMBER(AN312),AN312,NA())</f>
        <v/>
      </c>
    </row>
    <row r="313">
      <c r="A313" s="358">
        <f>IF('Jul 2027'!AI7="","",'Jul 2027'!AI7)</f>
        <v/>
      </c>
      <c r="B313" s="345" t="n">
        <v>10</v>
      </c>
      <c r="C313" s="345">
        <f>IF($A313="","",31)</f>
        <v/>
      </c>
      <c r="D313" s="345">
        <f>IF($A313="","",WEEKDAY($A313,2))</f>
        <v/>
      </c>
      <c r="E313" s="345">
        <f>IF($A313="","",UPPER(TRIM('Jul 2027'!AI8)))</f>
        <v/>
      </c>
      <c r="F313" s="345">
        <f>IF($A313="","",IF(OR('Jul 2027'!AI10=TRUE,'Jul 2027'!AI10="x",'Jul 2027'!AI10="X"),1,0))</f>
        <v/>
      </c>
      <c r="G313" s="345">
        <f>IF($A313="","",IF(OR('Jul 2027'!AI11=TRUE,'Jul 2027'!AI11="x",'Jul 2027'!AI11="X"),1,0))</f>
        <v/>
      </c>
      <c r="H313" s="345">
        <f>IF($A313="","",IF(OR('Jul 2027'!AI12=TRUE,'Jul 2027'!AI12="x",'Jul 2027'!AI12="X"),1,0))</f>
        <v/>
      </c>
      <c r="I313" s="345">
        <f>IF($A313="","",IF(OR('Jul 2027'!AI13=TRUE,'Jul 2027'!AI13="x",'Jul 2027'!AI13="X"),1,0))</f>
        <v/>
      </c>
      <c r="J313" s="345">
        <f>IF($A313="","",IF(OR('Jul 2027'!AI14=TRUE,'Jul 2027'!AI14="x",'Jul 2027'!AI14="X"),1,0))</f>
        <v/>
      </c>
      <c r="K313" s="345">
        <f>IF($A313="","",IF(OR('Jul 2027'!AI15=TRUE,'Jul 2027'!AI15="x",'Jul 2027'!AI15="X"),1,0))</f>
        <v/>
      </c>
      <c r="L313" s="345">
        <f>IF($A313="","",IF(OR('Jul 2027'!AI16=TRUE,'Jul 2027'!AI16="x",'Jul 2027'!AI16="X"),1,0))</f>
        <v/>
      </c>
      <c r="M313" s="345">
        <f>IF($A313="","",IF(OR('Jul 2027'!AI17=TRUE,'Jul 2027'!AI17="x",'Jul 2027'!AI17="X"),1,0))</f>
        <v/>
      </c>
      <c r="N313" s="345">
        <f>IF($A313="","",IF(OR('Jul 2027'!AI18=TRUE,'Jul 2027'!AI18="x",'Jul 2027'!AI18="X"),1,0))</f>
        <v/>
      </c>
      <c r="O313" s="345">
        <f>IF($A313="","",IF(OR('Jul 2027'!AI20=TRUE,'Jul 2027'!AI20="x",'Jul 2027'!AI20="X"),1,0))</f>
        <v/>
      </c>
      <c r="P313" s="345">
        <f>IF($A313="","",IF(OR('Jul 2027'!AI21=TRUE,'Jul 2027'!AI21="x",'Jul 2027'!AI21="X"),1,0))</f>
        <v/>
      </c>
      <c r="Q313" s="345">
        <f>IF($A313="","",IF(OR('Jul 2027'!AI22=TRUE,'Jul 2027'!AI22="x",'Jul 2027'!AI22="X"),1,0))</f>
        <v/>
      </c>
      <c r="R313" s="345">
        <f>IF($A313="","",IF(OR('Jul 2027'!AI23=TRUE,'Jul 2027'!AI23="x",'Jul 2027'!AI23="X"),1,0))</f>
        <v/>
      </c>
      <c r="S313" s="345">
        <f>IF($A313="","",IF(OR('Jul 2027'!AI24=TRUE,'Jul 2027'!AI24="x",'Jul 2027'!AI24="X"),1,0))</f>
        <v/>
      </c>
      <c r="T313" s="345">
        <f>IF($A313="","",IF(OR('Jul 2027'!AI25=TRUE,'Jul 2027'!AI25="x",'Jul 2027'!AI25="X"),1,0))</f>
        <v/>
      </c>
      <c r="U313" s="345">
        <f>IF($A313="","",IF(OR('Jul 2027'!AI26=TRUE,'Jul 2027'!AI26="x",'Jul 2027'!AI26="X"),1,0))</f>
        <v/>
      </c>
      <c r="V313" s="345">
        <f>IF($A313="","",IF(OR('Jul 2027'!AI27=TRUE,'Jul 2027'!AI27="x",'Jul 2027'!AI27="X"),1,0))</f>
        <v/>
      </c>
      <c r="W313" s="345">
        <f>IF($A313="","",IF(OR('Jul 2027'!AI28=TRUE,'Jul 2027'!AI28="x",'Jul 2027'!AI28="X"),1,0))</f>
        <v/>
      </c>
      <c r="X313" s="345">
        <f>IF($A313="","",IF(OR('Jul 2027'!AI29=TRUE,'Jul 2027'!AI29="x",'Jul 2027'!AI29="X"),1,0))</f>
        <v/>
      </c>
      <c r="Y313" s="345">
        <f>IF($A313="","",IF(OR('Jul 2027'!AI30=TRUE,'Jul 2027'!AI30="x",'Jul 2027'!AI30="X"),1,0))</f>
        <v/>
      </c>
      <c r="Z313" s="345">
        <f>IF($A313="","",IF(OR('Jul 2027'!AI31=TRUE,'Jul 2027'!AI31="x",'Jul 2027'!AI31="X"),1,0))</f>
        <v/>
      </c>
      <c r="AA313" s="345">
        <f>IF($A313="","",IF(OR('Jul 2027'!AI32=TRUE,'Jul 2027'!AI32="x",'Jul 2027'!AI32="X"),1,0))</f>
        <v/>
      </c>
      <c r="AB313" s="345">
        <f>IF($A313="","",IF(OR('Jul 2027'!AI34=TRUE,'Jul 2027'!AI34="x",'Jul 2027'!AI34="X"),1,0))</f>
        <v/>
      </c>
      <c r="AC313" s="345">
        <f>IF($A313="","",IF(OR('Jul 2027'!AI35=TRUE,'Jul 2027'!AI35="x",'Jul 2027'!AI35="X"),1,0))</f>
        <v/>
      </c>
      <c r="AD313" s="345">
        <f>IF($A313="","",IF(OR('Jul 2027'!AI36=TRUE,'Jul 2027'!AI36="x",'Jul 2027'!AI36="X"),1,0))</f>
        <v/>
      </c>
      <c r="AE313" s="345">
        <f>IF($A313="","",IF(OR('Jul 2027'!AI37=TRUE,'Jul 2027'!AI37="x",'Jul 2027'!AI37="X"),1,0))</f>
        <v/>
      </c>
      <c r="AF313" s="345">
        <f>IF($A313="","",IF('Jul 2027'!AI59="","",'Jul 2027'!AI59))</f>
        <v/>
      </c>
      <c r="AG313" s="345">
        <f>IF($A313="","",IF('Jul 2027'!AI60="","",'Jul 2027'!AI60))</f>
        <v/>
      </c>
      <c r="AH313" s="345">
        <f>IF($A313="","",IF('Jul 2027'!AI61="","",'Jul 2027'!AI61))</f>
        <v/>
      </c>
      <c r="AI313" s="345">
        <f>IF($A313="","",IF('Jul 2027'!AI62="","",'Jul 2027'!AI62))</f>
        <v/>
      </c>
      <c r="AJ313" s="345">
        <f>IF($A313="","",IF('Jul 2027'!AI63="","",'Jul 2027'!AI63))</f>
        <v/>
      </c>
      <c r="AK313" s="345">
        <f>IF($A313="","",IF('Jul 2027'!AI64="","",'Jul 2027'!AI64))</f>
        <v/>
      </c>
      <c r="AL313" s="345">
        <f>IF($A313="","",IF('Jul 2027'!AI65="","",'Jul 2027'!AI65))</f>
        <v/>
      </c>
      <c r="AM313" s="345">
        <f>IF($A313="","",IF('Jul 2027'!AI66="","",'Jul 2027'!AI66))</f>
        <v/>
      </c>
      <c r="AN313" s="345">
        <f>IF($A313="","",IF('Jul 2027'!AI67="","",'Jul 2027'!AI67))</f>
        <v/>
      </c>
      <c r="AO313" s="345">
        <f>IF($A313="",0,IF(AND($A313&gt;=TrackStart,$A313&lt;=TODAY()),1,0))</f>
        <v/>
      </c>
      <c r="AP313" s="345">
        <f>IF($A313="",0,IF(SUM(F313:AE313)+COUNT(AF313:AN313)&gt;0,1,0))</f>
        <v/>
      </c>
      <c r="AQ313" s="345">
        <f>IF($A313="","",INT(($A313-TrackStart)/7)+1)</f>
        <v/>
      </c>
      <c r="AR313" s="345">
        <f>IF($A313="","",IF(AQ313&lt;=1,Steps1,IF(AQ313=2,Steps2,Steps3)))</f>
        <v/>
      </c>
      <c r="AS313" s="345">
        <f>IF($A313="",0,IF(ISNUMBER(SEARCH(TEXT(D313,"0"),WorkDays&amp;"")),1,0))</f>
        <v/>
      </c>
      <c r="AT313" s="345">
        <f>IF($A313="",0,IF(ISNUMBER(SEARCH(TEXT(D313,"0"),StrDays&amp;"")),1,0))</f>
        <v/>
      </c>
      <c r="AU313" s="345">
        <f>IF($A313="",0,IF(ISNUMBER(AK313),IF(AK313&gt;=SleepMin,1,0),N313))</f>
        <v/>
      </c>
      <c r="AV313" s="345">
        <f>IF($A313="",0,MAX(I313,O313,S313,AC313))</f>
        <v/>
      </c>
      <c r="AW313" s="345">
        <f>IF($A313="",0,IF(ISNUMBER(AH313),IF(AH313&gt;=ProtHit,1,0),0))</f>
        <v/>
      </c>
      <c r="AX313" s="345">
        <f>IF($A313="",0,IF(ISNUMBER(AI313),IF(AI313&gt;=WaterHit,1,0),0))</f>
        <v/>
      </c>
      <c r="AY313" s="345">
        <f>IF($A313="",0,IF(ISNUMBER(AG313),IF(AG313&gt;=AR313,1,0),0))</f>
        <v/>
      </c>
      <c r="AZ313" s="345">
        <f>IF($A313="",0,G313)</f>
        <v/>
      </c>
      <c r="BA313" s="345">
        <f>IF($A313="",0,J313)</f>
        <v/>
      </c>
      <c r="BB313" s="345">
        <f>IF($A313="",0,K313)</f>
        <v/>
      </c>
      <c r="BC313" s="345">
        <f>IF($A313="",0,MAX(L313,AE313))</f>
        <v/>
      </c>
      <c r="BD313" s="344">
        <f>IF($A313="","",(AU313+AV313+AW313+AX313+AY313+AZ313+BB313+BC313+IF(AS313=1,BA313,0))/(8+AS313))</f>
        <v/>
      </c>
      <c r="BE313" s="344">
        <f>IF($A313="","",(IF(ISNUMBER(AI313),IF(AI313&gt;=WaterMVD,1,0),0)+AV313+IF(ISNUMBER(AH313),IF(AH313&gt;=ProtMVD,1,0),0)+MAX(H313,AD313)+AZ313+BB313+AU313)/7)</f>
        <v/>
      </c>
      <c r="BF313" s="344">
        <f>IF(AO313=0,"",IF(E313="S","",IF(AND(AP313=0,$A313=TODAY()),"",IF(E313="M",BE313,BD313))))</f>
        <v/>
      </c>
      <c r="BG313" s="344">
        <f>IF(AO313=0,"",IFERROR(AVERAGEIFS(Data!$BF$4:$BF$375,Data!$A$4:$A$375,"&gt;"&amp;($A313-7),Data!$A$4:$A$375,"&lt;="&amp;$A313),""))</f>
        <v/>
      </c>
      <c r="BH313" s="344">
        <f>IF(AO313=0,"",IFERROR(AVERAGEIFS(Data!$BF$4:$BF$375,Data!$A$4:$A$375,"&gt;"&amp;($A313-30),Data!$A$4:$A$375,"&lt;="&amp;$A313),""))</f>
        <v/>
      </c>
      <c r="BI313" s="359">
        <f>IF($A313="","",IFERROR(AVERAGEIFS(Data!$AF$4:$AF$375,Data!$A$4:$A$375,"&gt;"&amp;($A313-7),Data!$A$4:$A$375,"&lt;="&amp;$A313,Data!$AF$4:$AF$375,"&gt;0"),""))</f>
        <v/>
      </c>
      <c r="BJ313" s="345">
        <f>IF($A313="","",F313+G313+H313+I313+J313+K313+L313+M313+N313-IF(AS313=1,0,J313))</f>
        <v/>
      </c>
      <c r="BK313" s="345">
        <f>IF($A313="","",8+AS313)</f>
        <v/>
      </c>
      <c r="BL313" s="345">
        <f>IF(ISNUMBER(BF313),BF313,NA())</f>
        <v/>
      </c>
      <c r="BM313" s="345">
        <f>IF(ISNUMBER(AF313),AF313,NA())</f>
        <v/>
      </c>
      <c r="BN313" s="345">
        <f>IF(ISNUMBER(BI313),BI313,NA())</f>
        <v/>
      </c>
      <c r="BO313" s="345">
        <f>IF(ISNUMBER(AL313),AL313,NA())</f>
        <v/>
      </c>
      <c r="BP313" s="345">
        <f>IF(ISNUMBER(AM313),AM313,NA())</f>
        <v/>
      </c>
      <c r="BQ313" s="345">
        <f>IF(ISNUMBER(AN313),AN313,NA())</f>
        <v/>
      </c>
    </row>
    <row r="314">
      <c r="A314" s="358">
        <f>IF('Aug 2027'!E7="","",'Aug 2027'!E7)</f>
        <v/>
      </c>
      <c r="B314" s="345" t="n">
        <v>11</v>
      </c>
      <c r="C314" s="345">
        <f>IF($A314="","",1)</f>
        <v/>
      </c>
      <c r="D314" s="345">
        <f>IF($A314="","",WEEKDAY($A314,2))</f>
        <v/>
      </c>
      <c r="E314" s="345">
        <f>IF($A314="","",UPPER(TRIM('Aug 2027'!E8)))</f>
        <v/>
      </c>
      <c r="F314" s="345">
        <f>IF($A314="","",IF(OR('Aug 2027'!E10=TRUE,'Aug 2027'!E10="x",'Aug 2027'!E10="X"),1,0))</f>
        <v/>
      </c>
      <c r="G314" s="345">
        <f>IF($A314="","",IF(OR('Aug 2027'!E11=TRUE,'Aug 2027'!E11="x",'Aug 2027'!E11="X"),1,0))</f>
        <v/>
      </c>
      <c r="H314" s="345">
        <f>IF($A314="","",IF(OR('Aug 2027'!E12=TRUE,'Aug 2027'!E12="x",'Aug 2027'!E12="X"),1,0))</f>
        <v/>
      </c>
      <c r="I314" s="345">
        <f>IF($A314="","",IF(OR('Aug 2027'!E13=TRUE,'Aug 2027'!E13="x",'Aug 2027'!E13="X"),1,0))</f>
        <v/>
      </c>
      <c r="J314" s="345">
        <f>IF($A314="","",IF(OR('Aug 2027'!E14=TRUE,'Aug 2027'!E14="x",'Aug 2027'!E14="X"),1,0))</f>
        <v/>
      </c>
      <c r="K314" s="345">
        <f>IF($A314="","",IF(OR('Aug 2027'!E15=TRUE,'Aug 2027'!E15="x",'Aug 2027'!E15="X"),1,0))</f>
        <v/>
      </c>
      <c r="L314" s="345">
        <f>IF($A314="","",IF(OR('Aug 2027'!E16=TRUE,'Aug 2027'!E16="x",'Aug 2027'!E16="X"),1,0))</f>
        <v/>
      </c>
      <c r="M314" s="345">
        <f>IF($A314="","",IF(OR('Aug 2027'!E17=TRUE,'Aug 2027'!E17="x",'Aug 2027'!E17="X"),1,0))</f>
        <v/>
      </c>
      <c r="N314" s="345">
        <f>IF($A314="","",IF(OR('Aug 2027'!E18=TRUE,'Aug 2027'!E18="x",'Aug 2027'!E18="X"),1,0))</f>
        <v/>
      </c>
      <c r="O314" s="345">
        <f>IF($A314="","",IF(OR('Aug 2027'!E20=TRUE,'Aug 2027'!E20="x",'Aug 2027'!E20="X"),1,0))</f>
        <v/>
      </c>
      <c r="P314" s="345">
        <f>IF($A314="","",IF(OR('Aug 2027'!E21=TRUE,'Aug 2027'!E21="x",'Aug 2027'!E21="X"),1,0))</f>
        <v/>
      </c>
      <c r="Q314" s="345">
        <f>IF($A314="","",IF(OR('Aug 2027'!E22=TRUE,'Aug 2027'!E22="x",'Aug 2027'!E22="X"),1,0))</f>
        <v/>
      </c>
      <c r="R314" s="345">
        <f>IF($A314="","",IF(OR('Aug 2027'!E23=TRUE,'Aug 2027'!E23="x",'Aug 2027'!E23="X"),1,0))</f>
        <v/>
      </c>
      <c r="S314" s="345">
        <f>IF($A314="","",IF(OR('Aug 2027'!E24=TRUE,'Aug 2027'!E24="x",'Aug 2027'!E24="X"),1,0))</f>
        <v/>
      </c>
      <c r="T314" s="345">
        <f>IF($A314="","",IF(OR('Aug 2027'!E25=TRUE,'Aug 2027'!E25="x",'Aug 2027'!E25="X"),1,0))</f>
        <v/>
      </c>
      <c r="U314" s="345">
        <f>IF($A314="","",IF(OR('Aug 2027'!E26=TRUE,'Aug 2027'!E26="x",'Aug 2027'!E26="X"),1,0))</f>
        <v/>
      </c>
      <c r="V314" s="345">
        <f>IF($A314="","",IF(OR('Aug 2027'!E27=TRUE,'Aug 2027'!E27="x",'Aug 2027'!E27="X"),1,0))</f>
        <v/>
      </c>
      <c r="W314" s="345">
        <f>IF($A314="","",IF(OR('Aug 2027'!E28=TRUE,'Aug 2027'!E28="x",'Aug 2027'!E28="X"),1,0))</f>
        <v/>
      </c>
      <c r="X314" s="345">
        <f>IF($A314="","",IF(OR('Aug 2027'!E29=TRUE,'Aug 2027'!E29="x",'Aug 2027'!E29="X"),1,0))</f>
        <v/>
      </c>
      <c r="Y314" s="345">
        <f>IF($A314="","",IF(OR('Aug 2027'!E30=TRUE,'Aug 2027'!E30="x",'Aug 2027'!E30="X"),1,0))</f>
        <v/>
      </c>
      <c r="Z314" s="345">
        <f>IF($A314="","",IF(OR('Aug 2027'!E31=TRUE,'Aug 2027'!E31="x",'Aug 2027'!E31="X"),1,0))</f>
        <v/>
      </c>
      <c r="AA314" s="345">
        <f>IF($A314="","",IF(OR('Aug 2027'!E32=TRUE,'Aug 2027'!E32="x",'Aug 2027'!E32="X"),1,0))</f>
        <v/>
      </c>
      <c r="AB314" s="345">
        <f>IF($A314="","",IF(OR('Aug 2027'!E34=TRUE,'Aug 2027'!E34="x",'Aug 2027'!E34="X"),1,0))</f>
        <v/>
      </c>
      <c r="AC314" s="345">
        <f>IF($A314="","",IF(OR('Aug 2027'!E35=TRUE,'Aug 2027'!E35="x",'Aug 2027'!E35="X"),1,0))</f>
        <v/>
      </c>
      <c r="AD314" s="345">
        <f>IF($A314="","",IF(OR('Aug 2027'!E36=TRUE,'Aug 2027'!E36="x",'Aug 2027'!E36="X"),1,0))</f>
        <v/>
      </c>
      <c r="AE314" s="345">
        <f>IF($A314="","",IF(OR('Aug 2027'!E37=TRUE,'Aug 2027'!E37="x",'Aug 2027'!E37="X"),1,0))</f>
        <v/>
      </c>
      <c r="AF314" s="345">
        <f>IF($A314="","",IF('Aug 2027'!E59="","",'Aug 2027'!E59))</f>
        <v/>
      </c>
      <c r="AG314" s="345">
        <f>IF($A314="","",IF('Aug 2027'!E60="","",'Aug 2027'!E60))</f>
        <v/>
      </c>
      <c r="AH314" s="345">
        <f>IF($A314="","",IF('Aug 2027'!E61="","",'Aug 2027'!E61))</f>
        <v/>
      </c>
      <c r="AI314" s="345">
        <f>IF($A314="","",IF('Aug 2027'!E62="","",'Aug 2027'!E62))</f>
        <v/>
      </c>
      <c r="AJ314" s="345">
        <f>IF($A314="","",IF('Aug 2027'!E63="","",'Aug 2027'!E63))</f>
        <v/>
      </c>
      <c r="AK314" s="345">
        <f>IF($A314="","",IF('Aug 2027'!E64="","",'Aug 2027'!E64))</f>
        <v/>
      </c>
      <c r="AL314" s="345">
        <f>IF($A314="","",IF('Aug 2027'!E65="","",'Aug 2027'!E65))</f>
        <v/>
      </c>
      <c r="AM314" s="345">
        <f>IF($A314="","",IF('Aug 2027'!E66="","",'Aug 2027'!E66))</f>
        <v/>
      </c>
      <c r="AN314" s="345">
        <f>IF($A314="","",IF('Aug 2027'!E67="","",'Aug 2027'!E67))</f>
        <v/>
      </c>
      <c r="AO314" s="345">
        <f>IF($A314="",0,IF(AND($A314&gt;=TrackStart,$A314&lt;=TODAY()),1,0))</f>
        <v/>
      </c>
      <c r="AP314" s="345">
        <f>IF($A314="",0,IF(SUM(F314:AE314)+COUNT(AF314:AN314)&gt;0,1,0))</f>
        <v/>
      </c>
      <c r="AQ314" s="345">
        <f>IF($A314="","",INT(($A314-TrackStart)/7)+1)</f>
        <v/>
      </c>
      <c r="AR314" s="345">
        <f>IF($A314="","",IF(AQ314&lt;=1,Steps1,IF(AQ314=2,Steps2,Steps3)))</f>
        <v/>
      </c>
      <c r="AS314" s="345">
        <f>IF($A314="",0,IF(ISNUMBER(SEARCH(TEXT(D314,"0"),WorkDays&amp;"")),1,0))</f>
        <v/>
      </c>
      <c r="AT314" s="345">
        <f>IF($A314="",0,IF(ISNUMBER(SEARCH(TEXT(D314,"0"),StrDays&amp;"")),1,0))</f>
        <v/>
      </c>
      <c r="AU314" s="345">
        <f>IF($A314="",0,IF(ISNUMBER(AK314),IF(AK314&gt;=SleepMin,1,0),N314))</f>
        <v/>
      </c>
      <c r="AV314" s="345">
        <f>IF($A314="",0,MAX(I314,O314,S314,AC314))</f>
        <v/>
      </c>
      <c r="AW314" s="345">
        <f>IF($A314="",0,IF(ISNUMBER(AH314),IF(AH314&gt;=ProtHit,1,0),0))</f>
        <v/>
      </c>
      <c r="AX314" s="345">
        <f>IF($A314="",0,IF(ISNUMBER(AI314),IF(AI314&gt;=WaterHit,1,0),0))</f>
        <v/>
      </c>
      <c r="AY314" s="345">
        <f>IF($A314="",0,IF(ISNUMBER(AG314),IF(AG314&gt;=AR314,1,0),0))</f>
        <v/>
      </c>
      <c r="AZ314" s="345">
        <f>IF($A314="",0,G314)</f>
        <v/>
      </c>
      <c r="BA314" s="345">
        <f>IF($A314="",0,J314)</f>
        <v/>
      </c>
      <c r="BB314" s="345">
        <f>IF($A314="",0,K314)</f>
        <v/>
      </c>
      <c r="BC314" s="345">
        <f>IF($A314="",0,MAX(L314,AE314))</f>
        <v/>
      </c>
      <c r="BD314" s="344">
        <f>IF($A314="","",(AU314+AV314+AW314+AX314+AY314+AZ314+BB314+BC314+IF(AS314=1,BA314,0))/(8+AS314))</f>
        <v/>
      </c>
      <c r="BE314" s="344">
        <f>IF($A314="","",(IF(ISNUMBER(AI314),IF(AI314&gt;=WaterMVD,1,0),0)+AV314+IF(ISNUMBER(AH314),IF(AH314&gt;=ProtMVD,1,0),0)+MAX(H314,AD314)+AZ314+BB314+AU314)/7)</f>
        <v/>
      </c>
      <c r="BF314" s="344">
        <f>IF(AO314=0,"",IF(E314="S","",IF(AND(AP314=0,$A314=TODAY()),"",IF(E314="M",BE314,BD314))))</f>
        <v/>
      </c>
      <c r="BG314" s="344">
        <f>IF(AO314=0,"",IFERROR(AVERAGEIFS(Data!$BF$4:$BF$375,Data!$A$4:$A$375,"&gt;"&amp;($A314-7),Data!$A$4:$A$375,"&lt;="&amp;$A314),""))</f>
        <v/>
      </c>
      <c r="BH314" s="344">
        <f>IF(AO314=0,"",IFERROR(AVERAGEIFS(Data!$BF$4:$BF$375,Data!$A$4:$A$375,"&gt;"&amp;($A314-30),Data!$A$4:$A$375,"&lt;="&amp;$A314),""))</f>
        <v/>
      </c>
      <c r="BI314" s="359">
        <f>IF($A314="","",IFERROR(AVERAGEIFS(Data!$AF$4:$AF$375,Data!$A$4:$A$375,"&gt;"&amp;($A314-7),Data!$A$4:$A$375,"&lt;="&amp;$A314,Data!$AF$4:$AF$375,"&gt;0"),""))</f>
        <v/>
      </c>
      <c r="BJ314" s="345">
        <f>IF($A314="","",F314+G314+H314+I314+J314+K314+L314+M314+N314-IF(AS314=1,0,J314))</f>
        <v/>
      </c>
      <c r="BK314" s="345">
        <f>IF($A314="","",8+AS314)</f>
        <v/>
      </c>
      <c r="BL314" s="345">
        <f>IF(ISNUMBER(BF314),BF314,NA())</f>
        <v/>
      </c>
      <c r="BM314" s="345">
        <f>IF(ISNUMBER(AF314),AF314,NA())</f>
        <v/>
      </c>
      <c r="BN314" s="345">
        <f>IF(ISNUMBER(BI314),BI314,NA())</f>
        <v/>
      </c>
      <c r="BO314" s="345">
        <f>IF(ISNUMBER(AL314),AL314,NA())</f>
        <v/>
      </c>
      <c r="BP314" s="345">
        <f>IF(ISNUMBER(AM314),AM314,NA())</f>
        <v/>
      </c>
      <c r="BQ314" s="345">
        <f>IF(ISNUMBER(AN314),AN314,NA())</f>
        <v/>
      </c>
    </row>
    <row r="315">
      <c r="A315" s="358">
        <f>IF('Aug 2027'!F7="","",'Aug 2027'!F7)</f>
        <v/>
      </c>
      <c r="B315" s="345" t="n">
        <v>11</v>
      </c>
      <c r="C315" s="345">
        <f>IF($A315="","",2)</f>
        <v/>
      </c>
      <c r="D315" s="345">
        <f>IF($A315="","",WEEKDAY($A315,2))</f>
        <v/>
      </c>
      <c r="E315" s="345">
        <f>IF($A315="","",UPPER(TRIM('Aug 2027'!F8)))</f>
        <v/>
      </c>
      <c r="F315" s="345">
        <f>IF($A315="","",IF(OR('Aug 2027'!F10=TRUE,'Aug 2027'!F10="x",'Aug 2027'!F10="X"),1,0))</f>
        <v/>
      </c>
      <c r="G315" s="345">
        <f>IF($A315="","",IF(OR('Aug 2027'!F11=TRUE,'Aug 2027'!F11="x",'Aug 2027'!F11="X"),1,0))</f>
        <v/>
      </c>
      <c r="H315" s="345">
        <f>IF($A315="","",IF(OR('Aug 2027'!F12=TRUE,'Aug 2027'!F12="x",'Aug 2027'!F12="X"),1,0))</f>
        <v/>
      </c>
      <c r="I315" s="345">
        <f>IF($A315="","",IF(OR('Aug 2027'!F13=TRUE,'Aug 2027'!F13="x",'Aug 2027'!F13="X"),1,0))</f>
        <v/>
      </c>
      <c r="J315" s="345">
        <f>IF($A315="","",IF(OR('Aug 2027'!F14=TRUE,'Aug 2027'!F14="x",'Aug 2027'!F14="X"),1,0))</f>
        <v/>
      </c>
      <c r="K315" s="345">
        <f>IF($A315="","",IF(OR('Aug 2027'!F15=TRUE,'Aug 2027'!F15="x",'Aug 2027'!F15="X"),1,0))</f>
        <v/>
      </c>
      <c r="L315" s="345">
        <f>IF($A315="","",IF(OR('Aug 2027'!F16=TRUE,'Aug 2027'!F16="x",'Aug 2027'!F16="X"),1,0))</f>
        <v/>
      </c>
      <c r="M315" s="345">
        <f>IF($A315="","",IF(OR('Aug 2027'!F17=TRUE,'Aug 2027'!F17="x",'Aug 2027'!F17="X"),1,0))</f>
        <v/>
      </c>
      <c r="N315" s="345">
        <f>IF($A315="","",IF(OR('Aug 2027'!F18=TRUE,'Aug 2027'!F18="x",'Aug 2027'!F18="X"),1,0))</f>
        <v/>
      </c>
      <c r="O315" s="345">
        <f>IF($A315="","",IF(OR('Aug 2027'!F20=TRUE,'Aug 2027'!F20="x",'Aug 2027'!F20="X"),1,0))</f>
        <v/>
      </c>
      <c r="P315" s="345">
        <f>IF($A315="","",IF(OR('Aug 2027'!F21=TRUE,'Aug 2027'!F21="x",'Aug 2027'!F21="X"),1,0))</f>
        <v/>
      </c>
      <c r="Q315" s="345">
        <f>IF($A315="","",IF(OR('Aug 2027'!F22=TRUE,'Aug 2027'!F22="x",'Aug 2027'!F22="X"),1,0))</f>
        <v/>
      </c>
      <c r="R315" s="345">
        <f>IF($A315="","",IF(OR('Aug 2027'!F23=TRUE,'Aug 2027'!F23="x",'Aug 2027'!F23="X"),1,0))</f>
        <v/>
      </c>
      <c r="S315" s="345">
        <f>IF($A315="","",IF(OR('Aug 2027'!F24=TRUE,'Aug 2027'!F24="x",'Aug 2027'!F24="X"),1,0))</f>
        <v/>
      </c>
      <c r="T315" s="345">
        <f>IF($A315="","",IF(OR('Aug 2027'!F25=TRUE,'Aug 2027'!F25="x",'Aug 2027'!F25="X"),1,0))</f>
        <v/>
      </c>
      <c r="U315" s="345">
        <f>IF($A315="","",IF(OR('Aug 2027'!F26=TRUE,'Aug 2027'!F26="x",'Aug 2027'!F26="X"),1,0))</f>
        <v/>
      </c>
      <c r="V315" s="345">
        <f>IF($A315="","",IF(OR('Aug 2027'!F27=TRUE,'Aug 2027'!F27="x",'Aug 2027'!F27="X"),1,0))</f>
        <v/>
      </c>
      <c r="W315" s="345">
        <f>IF($A315="","",IF(OR('Aug 2027'!F28=TRUE,'Aug 2027'!F28="x",'Aug 2027'!F28="X"),1,0))</f>
        <v/>
      </c>
      <c r="X315" s="345">
        <f>IF($A315="","",IF(OR('Aug 2027'!F29=TRUE,'Aug 2027'!F29="x",'Aug 2027'!F29="X"),1,0))</f>
        <v/>
      </c>
      <c r="Y315" s="345">
        <f>IF($A315="","",IF(OR('Aug 2027'!F30=TRUE,'Aug 2027'!F30="x",'Aug 2027'!F30="X"),1,0))</f>
        <v/>
      </c>
      <c r="Z315" s="345">
        <f>IF($A315="","",IF(OR('Aug 2027'!F31=TRUE,'Aug 2027'!F31="x",'Aug 2027'!F31="X"),1,0))</f>
        <v/>
      </c>
      <c r="AA315" s="345">
        <f>IF($A315="","",IF(OR('Aug 2027'!F32=TRUE,'Aug 2027'!F32="x",'Aug 2027'!F32="X"),1,0))</f>
        <v/>
      </c>
      <c r="AB315" s="345">
        <f>IF($A315="","",IF(OR('Aug 2027'!F34=TRUE,'Aug 2027'!F34="x",'Aug 2027'!F34="X"),1,0))</f>
        <v/>
      </c>
      <c r="AC315" s="345">
        <f>IF($A315="","",IF(OR('Aug 2027'!F35=TRUE,'Aug 2027'!F35="x",'Aug 2027'!F35="X"),1,0))</f>
        <v/>
      </c>
      <c r="AD315" s="345">
        <f>IF($A315="","",IF(OR('Aug 2027'!F36=TRUE,'Aug 2027'!F36="x",'Aug 2027'!F36="X"),1,0))</f>
        <v/>
      </c>
      <c r="AE315" s="345">
        <f>IF($A315="","",IF(OR('Aug 2027'!F37=TRUE,'Aug 2027'!F37="x",'Aug 2027'!F37="X"),1,0))</f>
        <v/>
      </c>
      <c r="AF315" s="345">
        <f>IF($A315="","",IF('Aug 2027'!F59="","",'Aug 2027'!F59))</f>
        <v/>
      </c>
      <c r="AG315" s="345">
        <f>IF($A315="","",IF('Aug 2027'!F60="","",'Aug 2027'!F60))</f>
        <v/>
      </c>
      <c r="AH315" s="345">
        <f>IF($A315="","",IF('Aug 2027'!F61="","",'Aug 2027'!F61))</f>
        <v/>
      </c>
      <c r="AI315" s="345">
        <f>IF($A315="","",IF('Aug 2027'!F62="","",'Aug 2027'!F62))</f>
        <v/>
      </c>
      <c r="AJ315" s="345">
        <f>IF($A315="","",IF('Aug 2027'!F63="","",'Aug 2027'!F63))</f>
        <v/>
      </c>
      <c r="AK315" s="345">
        <f>IF($A315="","",IF('Aug 2027'!F64="","",'Aug 2027'!F64))</f>
        <v/>
      </c>
      <c r="AL315" s="345">
        <f>IF($A315="","",IF('Aug 2027'!F65="","",'Aug 2027'!F65))</f>
        <v/>
      </c>
      <c r="AM315" s="345">
        <f>IF($A315="","",IF('Aug 2027'!F66="","",'Aug 2027'!F66))</f>
        <v/>
      </c>
      <c r="AN315" s="345">
        <f>IF($A315="","",IF('Aug 2027'!F67="","",'Aug 2027'!F67))</f>
        <v/>
      </c>
      <c r="AO315" s="345">
        <f>IF($A315="",0,IF(AND($A315&gt;=TrackStart,$A315&lt;=TODAY()),1,0))</f>
        <v/>
      </c>
      <c r="AP315" s="345">
        <f>IF($A315="",0,IF(SUM(F315:AE315)+COUNT(AF315:AN315)&gt;0,1,0))</f>
        <v/>
      </c>
      <c r="AQ315" s="345">
        <f>IF($A315="","",INT(($A315-TrackStart)/7)+1)</f>
        <v/>
      </c>
      <c r="AR315" s="345">
        <f>IF($A315="","",IF(AQ315&lt;=1,Steps1,IF(AQ315=2,Steps2,Steps3)))</f>
        <v/>
      </c>
      <c r="AS315" s="345">
        <f>IF($A315="",0,IF(ISNUMBER(SEARCH(TEXT(D315,"0"),WorkDays&amp;"")),1,0))</f>
        <v/>
      </c>
      <c r="AT315" s="345">
        <f>IF($A315="",0,IF(ISNUMBER(SEARCH(TEXT(D315,"0"),StrDays&amp;"")),1,0))</f>
        <v/>
      </c>
      <c r="AU315" s="345">
        <f>IF($A315="",0,IF(ISNUMBER(AK315),IF(AK315&gt;=SleepMin,1,0),N315))</f>
        <v/>
      </c>
      <c r="AV315" s="345">
        <f>IF($A315="",0,MAX(I315,O315,S315,AC315))</f>
        <v/>
      </c>
      <c r="AW315" s="345">
        <f>IF($A315="",0,IF(ISNUMBER(AH315),IF(AH315&gt;=ProtHit,1,0),0))</f>
        <v/>
      </c>
      <c r="AX315" s="345">
        <f>IF($A315="",0,IF(ISNUMBER(AI315),IF(AI315&gt;=WaterHit,1,0),0))</f>
        <v/>
      </c>
      <c r="AY315" s="345">
        <f>IF($A315="",0,IF(ISNUMBER(AG315),IF(AG315&gt;=AR315,1,0),0))</f>
        <v/>
      </c>
      <c r="AZ315" s="345">
        <f>IF($A315="",0,G315)</f>
        <v/>
      </c>
      <c r="BA315" s="345">
        <f>IF($A315="",0,J315)</f>
        <v/>
      </c>
      <c r="BB315" s="345">
        <f>IF($A315="",0,K315)</f>
        <v/>
      </c>
      <c r="BC315" s="345">
        <f>IF($A315="",0,MAX(L315,AE315))</f>
        <v/>
      </c>
      <c r="BD315" s="344">
        <f>IF($A315="","",(AU315+AV315+AW315+AX315+AY315+AZ315+BB315+BC315+IF(AS315=1,BA315,0))/(8+AS315))</f>
        <v/>
      </c>
      <c r="BE315" s="344">
        <f>IF($A315="","",(IF(ISNUMBER(AI315),IF(AI315&gt;=WaterMVD,1,0),0)+AV315+IF(ISNUMBER(AH315),IF(AH315&gt;=ProtMVD,1,0),0)+MAX(H315,AD315)+AZ315+BB315+AU315)/7)</f>
        <v/>
      </c>
      <c r="BF315" s="344">
        <f>IF(AO315=0,"",IF(E315="S","",IF(AND(AP315=0,$A315=TODAY()),"",IF(E315="M",BE315,BD315))))</f>
        <v/>
      </c>
      <c r="BG315" s="344">
        <f>IF(AO315=0,"",IFERROR(AVERAGEIFS(Data!$BF$4:$BF$375,Data!$A$4:$A$375,"&gt;"&amp;($A315-7),Data!$A$4:$A$375,"&lt;="&amp;$A315),""))</f>
        <v/>
      </c>
      <c r="BH315" s="344">
        <f>IF(AO315=0,"",IFERROR(AVERAGEIFS(Data!$BF$4:$BF$375,Data!$A$4:$A$375,"&gt;"&amp;($A315-30),Data!$A$4:$A$375,"&lt;="&amp;$A315),""))</f>
        <v/>
      </c>
      <c r="BI315" s="359">
        <f>IF($A315="","",IFERROR(AVERAGEIFS(Data!$AF$4:$AF$375,Data!$A$4:$A$375,"&gt;"&amp;($A315-7),Data!$A$4:$A$375,"&lt;="&amp;$A315,Data!$AF$4:$AF$375,"&gt;0"),""))</f>
        <v/>
      </c>
      <c r="BJ315" s="345">
        <f>IF($A315="","",F315+G315+H315+I315+J315+K315+L315+M315+N315-IF(AS315=1,0,J315))</f>
        <v/>
      </c>
      <c r="BK315" s="345">
        <f>IF($A315="","",8+AS315)</f>
        <v/>
      </c>
      <c r="BL315" s="345">
        <f>IF(ISNUMBER(BF315),BF315,NA())</f>
        <v/>
      </c>
      <c r="BM315" s="345">
        <f>IF(ISNUMBER(AF315),AF315,NA())</f>
        <v/>
      </c>
      <c r="BN315" s="345">
        <f>IF(ISNUMBER(BI315),BI315,NA())</f>
        <v/>
      </c>
      <c r="BO315" s="345">
        <f>IF(ISNUMBER(AL315),AL315,NA())</f>
        <v/>
      </c>
      <c r="BP315" s="345">
        <f>IF(ISNUMBER(AM315),AM315,NA())</f>
        <v/>
      </c>
      <c r="BQ315" s="345">
        <f>IF(ISNUMBER(AN315),AN315,NA())</f>
        <v/>
      </c>
    </row>
    <row r="316">
      <c r="A316" s="358">
        <f>IF('Aug 2027'!G7="","",'Aug 2027'!G7)</f>
        <v/>
      </c>
      <c r="B316" s="345" t="n">
        <v>11</v>
      </c>
      <c r="C316" s="345">
        <f>IF($A316="","",3)</f>
        <v/>
      </c>
      <c r="D316" s="345">
        <f>IF($A316="","",WEEKDAY($A316,2))</f>
        <v/>
      </c>
      <c r="E316" s="345">
        <f>IF($A316="","",UPPER(TRIM('Aug 2027'!G8)))</f>
        <v/>
      </c>
      <c r="F316" s="345">
        <f>IF($A316="","",IF(OR('Aug 2027'!G10=TRUE,'Aug 2027'!G10="x",'Aug 2027'!G10="X"),1,0))</f>
        <v/>
      </c>
      <c r="G316" s="345">
        <f>IF($A316="","",IF(OR('Aug 2027'!G11=TRUE,'Aug 2027'!G11="x",'Aug 2027'!G11="X"),1,0))</f>
        <v/>
      </c>
      <c r="H316" s="345">
        <f>IF($A316="","",IF(OR('Aug 2027'!G12=TRUE,'Aug 2027'!G12="x",'Aug 2027'!G12="X"),1,0))</f>
        <v/>
      </c>
      <c r="I316" s="345">
        <f>IF($A316="","",IF(OR('Aug 2027'!G13=TRUE,'Aug 2027'!G13="x",'Aug 2027'!G13="X"),1,0))</f>
        <v/>
      </c>
      <c r="J316" s="345">
        <f>IF($A316="","",IF(OR('Aug 2027'!G14=TRUE,'Aug 2027'!G14="x",'Aug 2027'!G14="X"),1,0))</f>
        <v/>
      </c>
      <c r="K316" s="345">
        <f>IF($A316="","",IF(OR('Aug 2027'!G15=TRUE,'Aug 2027'!G15="x",'Aug 2027'!G15="X"),1,0))</f>
        <v/>
      </c>
      <c r="L316" s="345">
        <f>IF($A316="","",IF(OR('Aug 2027'!G16=TRUE,'Aug 2027'!G16="x",'Aug 2027'!G16="X"),1,0))</f>
        <v/>
      </c>
      <c r="M316" s="345">
        <f>IF($A316="","",IF(OR('Aug 2027'!G17=TRUE,'Aug 2027'!G17="x",'Aug 2027'!G17="X"),1,0))</f>
        <v/>
      </c>
      <c r="N316" s="345">
        <f>IF($A316="","",IF(OR('Aug 2027'!G18=TRUE,'Aug 2027'!G18="x",'Aug 2027'!G18="X"),1,0))</f>
        <v/>
      </c>
      <c r="O316" s="345">
        <f>IF($A316="","",IF(OR('Aug 2027'!G20=TRUE,'Aug 2027'!G20="x",'Aug 2027'!G20="X"),1,0))</f>
        <v/>
      </c>
      <c r="P316" s="345">
        <f>IF($A316="","",IF(OR('Aug 2027'!G21=TRUE,'Aug 2027'!G21="x",'Aug 2027'!G21="X"),1,0))</f>
        <v/>
      </c>
      <c r="Q316" s="345">
        <f>IF($A316="","",IF(OR('Aug 2027'!G22=TRUE,'Aug 2027'!G22="x",'Aug 2027'!G22="X"),1,0))</f>
        <v/>
      </c>
      <c r="R316" s="345">
        <f>IF($A316="","",IF(OR('Aug 2027'!G23=TRUE,'Aug 2027'!G23="x",'Aug 2027'!G23="X"),1,0))</f>
        <v/>
      </c>
      <c r="S316" s="345">
        <f>IF($A316="","",IF(OR('Aug 2027'!G24=TRUE,'Aug 2027'!G24="x",'Aug 2027'!G24="X"),1,0))</f>
        <v/>
      </c>
      <c r="T316" s="345">
        <f>IF($A316="","",IF(OR('Aug 2027'!G25=TRUE,'Aug 2027'!G25="x",'Aug 2027'!G25="X"),1,0))</f>
        <v/>
      </c>
      <c r="U316" s="345">
        <f>IF($A316="","",IF(OR('Aug 2027'!G26=TRUE,'Aug 2027'!G26="x",'Aug 2027'!G26="X"),1,0))</f>
        <v/>
      </c>
      <c r="V316" s="345">
        <f>IF($A316="","",IF(OR('Aug 2027'!G27=TRUE,'Aug 2027'!G27="x",'Aug 2027'!G27="X"),1,0))</f>
        <v/>
      </c>
      <c r="W316" s="345">
        <f>IF($A316="","",IF(OR('Aug 2027'!G28=TRUE,'Aug 2027'!G28="x",'Aug 2027'!G28="X"),1,0))</f>
        <v/>
      </c>
      <c r="X316" s="345">
        <f>IF($A316="","",IF(OR('Aug 2027'!G29=TRUE,'Aug 2027'!G29="x",'Aug 2027'!G29="X"),1,0))</f>
        <v/>
      </c>
      <c r="Y316" s="345">
        <f>IF($A316="","",IF(OR('Aug 2027'!G30=TRUE,'Aug 2027'!G30="x",'Aug 2027'!G30="X"),1,0))</f>
        <v/>
      </c>
      <c r="Z316" s="345">
        <f>IF($A316="","",IF(OR('Aug 2027'!G31=TRUE,'Aug 2027'!G31="x",'Aug 2027'!G31="X"),1,0))</f>
        <v/>
      </c>
      <c r="AA316" s="345">
        <f>IF($A316="","",IF(OR('Aug 2027'!G32=TRUE,'Aug 2027'!G32="x",'Aug 2027'!G32="X"),1,0))</f>
        <v/>
      </c>
      <c r="AB316" s="345">
        <f>IF($A316="","",IF(OR('Aug 2027'!G34=TRUE,'Aug 2027'!G34="x",'Aug 2027'!G34="X"),1,0))</f>
        <v/>
      </c>
      <c r="AC316" s="345">
        <f>IF($A316="","",IF(OR('Aug 2027'!G35=TRUE,'Aug 2027'!G35="x",'Aug 2027'!G35="X"),1,0))</f>
        <v/>
      </c>
      <c r="AD316" s="345">
        <f>IF($A316="","",IF(OR('Aug 2027'!G36=TRUE,'Aug 2027'!G36="x",'Aug 2027'!G36="X"),1,0))</f>
        <v/>
      </c>
      <c r="AE316" s="345">
        <f>IF($A316="","",IF(OR('Aug 2027'!G37=TRUE,'Aug 2027'!G37="x",'Aug 2027'!G37="X"),1,0))</f>
        <v/>
      </c>
      <c r="AF316" s="345">
        <f>IF($A316="","",IF('Aug 2027'!G59="","",'Aug 2027'!G59))</f>
        <v/>
      </c>
      <c r="AG316" s="345">
        <f>IF($A316="","",IF('Aug 2027'!G60="","",'Aug 2027'!G60))</f>
        <v/>
      </c>
      <c r="AH316" s="345">
        <f>IF($A316="","",IF('Aug 2027'!G61="","",'Aug 2027'!G61))</f>
        <v/>
      </c>
      <c r="AI316" s="345">
        <f>IF($A316="","",IF('Aug 2027'!G62="","",'Aug 2027'!G62))</f>
        <v/>
      </c>
      <c r="AJ316" s="345">
        <f>IF($A316="","",IF('Aug 2027'!G63="","",'Aug 2027'!G63))</f>
        <v/>
      </c>
      <c r="AK316" s="345">
        <f>IF($A316="","",IF('Aug 2027'!G64="","",'Aug 2027'!G64))</f>
        <v/>
      </c>
      <c r="AL316" s="345">
        <f>IF($A316="","",IF('Aug 2027'!G65="","",'Aug 2027'!G65))</f>
        <v/>
      </c>
      <c r="AM316" s="345">
        <f>IF($A316="","",IF('Aug 2027'!G66="","",'Aug 2027'!G66))</f>
        <v/>
      </c>
      <c r="AN316" s="345">
        <f>IF($A316="","",IF('Aug 2027'!G67="","",'Aug 2027'!G67))</f>
        <v/>
      </c>
      <c r="AO316" s="345">
        <f>IF($A316="",0,IF(AND($A316&gt;=TrackStart,$A316&lt;=TODAY()),1,0))</f>
        <v/>
      </c>
      <c r="AP316" s="345">
        <f>IF($A316="",0,IF(SUM(F316:AE316)+COUNT(AF316:AN316)&gt;0,1,0))</f>
        <v/>
      </c>
      <c r="AQ316" s="345">
        <f>IF($A316="","",INT(($A316-TrackStart)/7)+1)</f>
        <v/>
      </c>
      <c r="AR316" s="345">
        <f>IF($A316="","",IF(AQ316&lt;=1,Steps1,IF(AQ316=2,Steps2,Steps3)))</f>
        <v/>
      </c>
      <c r="AS316" s="345">
        <f>IF($A316="",0,IF(ISNUMBER(SEARCH(TEXT(D316,"0"),WorkDays&amp;"")),1,0))</f>
        <v/>
      </c>
      <c r="AT316" s="345">
        <f>IF($A316="",0,IF(ISNUMBER(SEARCH(TEXT(D316,"0"),StrDays&amp;"")),1,0))</f>
        <v/>
      </c>
      <c r="AU316" s="345">
        <f>IF($A316="",0,IF(ISNUMBER(AK316),IF(AK316&gt;=SleepMin,1,0),N316))</f>
        <v/>
      </c>
      <c r="AV316" s="345">
        <f>IF($A316="",0,MAX(I316,O316,S316,AC316))</f>
        <v/>
      </c>
      <c r="AW316" s="345">
        <f>IF($A316="",0,IF(ISNUMBER(AH316),IF(AH316&gt;=ProtHit,1,0),0))</f>
        <v/>
      </c>
      <c r="AX316" s="345">
        <f>IF($A316="",0,IF(ISNUMBER(AI316),IF(AI316&gt;=WaterHit,1,0),0))</f>
        <v/>
      </c>
      <c r="AY316" s="345">
        <f>IF($A316="",0,IF(ISNUMBER(AG316),IF(AG316&gt;=AR316,1,0),0))</f>
        <v/>
      </c>
      <c r="AZ316" s="345">
        <f>IF($A316="",0,G316)</f>
        <v/>
      </c>
      <c r="BA316" s="345">
        <f>IF($A316="",0,J316)</f>
        <v/>
      </c>
      <c r="BB316" s="345">
        <f>IF($A316="",0,K316)</f>
        <v/>
      </c>
      <c r="BC316" s="345">
        <f>IF($A316="",0,MAX(L316,AE316))</f>
        <v/>
      </c>
      <c r="BD316" s="344">
        <f>IF($A316="","",(AU316+AV316+AW316+AX316+AY316+AZ316+BB316+BC316+IF(AS316=1,BA316,0))/(8+AS316))</f>
        <v/>
      </c>
      <c r="BE316" s="344">
        <f>IF($A316="","",(IF(ISNUMBER(AI316),IF(AI316&gt;=WaterMVD,1,0),0)+AV316+IF(ISNUMBER(AH316),IF(AH316&gt;=ProtMVD,1,0),0)+MAX(H316,AD316)+AZ316+BB316+AU316)/7)</f>
        <v/>
      </c>
      <c r="BF316" s="344">
        <f>IF(AO316=0,"",IF(E316="S","",IF(AND(AP316=0,$A316=TODAY()),"",IF(E316="M",BE316,BD316))))</f>
        <v/>
      </c>
      <c r="BG316" s="344">
        <f>IF(AO316=0,"",IFERROR(AVERAGEIFS(Data!$BF$4:$BF$375,Data!$A$4:$A$375,"&gt;"&amp;($A316-7),Data!$A$4:$A$375,"&lt;="&amp;$A316),""))</f>
        <v/>
      </c>
      <c r="BH316" s="344">
        <f>IF(AO316=0,"",IFERROR(AVERAGEIFS(Data!$BF$4:$BF$375,Data!$A$4:$A$375,"&gt;"&amp;($A316-30),Data!$A$4:$A$375,"&lt;="&amp;$A316),""))</f>
        <v/>
      </c>
      <c r="BI316" s="359">
        <f>IF($A316="","",IFERROR(AVERAGEIFS(Data!$AF$4:$AF$375,Data!$A$4:$A$375,"&gt;"&amp;($A316-7),Data!$A$4:$A$375,"&lt;="&amp;$A316,Data!$AF$4:$AF$375,"&gt;0"),""))</f>
        <v/>
      </c>
      <c r="BJ316" s="345">
        <f>IF($A316="","",F316+G316+H316+I316+J316+K316+L316+M316+N316-IF(AS316=1,0,J316))</f>
        <v/>
      </c>
      <c r="BK316" s="345">
        <f>IF($A316="","",8+AS316)</f>
        <v/>
      </c>
      <c r="BL316" s="345">
        <f>IF(ISNUMBER(BF316),BF316,NA())</f>
        <v/>
      </c>
      <c r="BM316" s="345">
        <f>IF(ISNUMBER(AF316),AF316,NA())</f>
        <v/>
      </c>
      <c r="BN316" s="345">
        <f>IF(ISNUMBER(BI316),BI316,NA())</f>
        <v/>
      </c>
      <c r="BO316" s="345">
        <f>IF(ISNUMBER(AL316),AL316,NA())</f>
        <v/>
      </c>
      <c r="BP316" s="345">
        <f>IF(ISNUMBER(AM316),AM316,NA())</f>
        <v/>
      </c>
      <c r="BQ316" s="345">
        <f>IF(ISNUMBER(AN316),AN316,NA())</f>
        <v/>
      </c>
    </row>
    <row r="317">
      <c r="A317" s="358">
        <f>IF('Aug 2027'!H7="","",'Aug 2027'!H7)</f>
        <v/>
      </c>
      <c r="B317" s="345" t="n">
        <v>11</v>
      </c>
      <c r="C317" s="345">
        <f>IF($A317="","",4)</f>
        <v/>
      </c>
      <c r="D317" s="345">
        <f>IF($A317="","",WEEKDAY($A317,2))</f>
        <v/>
      </c>
      <c r="E317" s="345">
        <f>IF($A317="","",UPPER(TRIM('Aug 2027'!H8)))</f>
        <v/>
      </c>
      <c r="F317" s="345">
        <f>IF($A317="","",IF(OR('Aug 2027'!H10=TRUE,'Aug 2027'!H10="x",'Aug 2027'!H10="X"),1,0))</f>
        <v/>
      </c>
      <c r="G317" s="345">
        <f>IF($A317="","",IF(OR('Aug 2027'!H11=TRUE,'Aug 2027'!H11="x",'Aug 2027'!H11="X"),1,0))</f>
        <v/>
      </c>
      <c r="H317" s="345">
        <f>IF($A317="","",IF(OR('Aug 2027'!H12=TRUE,'Aug 2027'!H12="x",'Aug 2027'!H12="X"),1,0))</f>
        <v/>
      </c>
      <c r="I317" s="345">
        <f>IF($A317="","",IF(OR('Aug 2027'!H13=TRUE,'Aug 2027'!H13="x",'Aug 2027'!H13="X"),1,0))</f>
        <v/>
      </c>
      <c r="J317" s="345">
        <f>IF($A317="","",IF(OR('Aug 2027'!H14=TRUE,'Aug 2027'!H14="x",'Aug 2027'!H14="X"),1,0))</f>
        <v/>
      </c>
      <c r="K317" s="345">
        <f>IF($A317="","",IF(OR('Aug 2027'!H15=TRUE,'Aug 2027'!H15="x",'Aug 2027'!H15="X"),1,0))</f>
        <v/>
      </c>
      <c r="L317" s="345">
        <f>IF($A317="","",IF(OR('Aug 2027'!H16=TRUE,'Aug 2027'!H16="x",'Aug 2027'!H16="X"),1,0))</f>
        <v/>
      </c>
      <c r="M317" s="345">
        <f>IF($A317="","",IF(OR('Aug 2027'!H17=TRUE,'Aug 2027'!H17="x",'Aug 2027'!H17="X"),1,0))</f>
        <v/>
      </c>
      <c r="N317" s="345">
        <f>IF($A317="","",IF(OR('Aug 2027'!H18=TRUE,'Aug 2027'!H18="x",'Aug 2027'!H18="X"),1,0))</f>
        <v/>
      </c>
      <c r="O317" s="345">
        <f>IF($A317="","",IF(OR('Aug 2027'!H20=TRUE,'Aug 2027'!H20="x",'Aug 2027'!H20="X"),1,0))</f>
        <v/>
      </c>
      <c r="P317" s="345">
        <f>IF($A317="","",IF(OR('Aug 2027'!H21=TRUE,'Aug 2027'!H21="x",'Aug 2027'!H21="X"),1,0))</f>
        <v/>
      </c>
      <c r="Q317" s="345">
        <f>IF($A317="","",IF(OR('Aug 2027'!H22=TRUE,'Aug 2027'!H22="x",'Aug 2027'!H22="X"),1,0))</f>
        <v/>
      </c>
      <c r="R317" s="345">
        <f>IF($A317="","",IF(OR('Aug 2027'!H23=TRUE,'Aug 2027'!H23="x",'Aug 2027'!H23="X"),1,0))</f>
        <v/>
      </c>
      <c r="S317" s="345">
        <f>IF($A317="","",IF(OR('Aug 2027'!H24=TRUE,'Aug 2027'!H24="x",'Aug 2027'!H24="X"),1,0))</f>
        <v/>
      </c>
      <c r="T317" s="345">
        <f>IF($A317="","",IF(OR('Aug 2027'!H25=TRUE,'Aug 2027'!H25="x",'Aug 2027'!H25="X"),1,0))</f>
        <v/>
      </c>
      <c r="U317" s="345">
        <f>IF($A317="","",IF(OR('Aug 2027'!H26=TRUE,'Aug 2027'!H26="x",'Aug 2027'!H26="X"),1,0))</f>
        <v/>
      </c>
      <c r="V317" s="345">
        <f>IF($A317="","",IF(OR('Aug 2027'!H27=TRUE,'Aug 2027'!H27="x",'Aug 2027'!H27="X"),1,0))</f>
        <v/>
      </c>
      <c r="W317" s="345">
        <f>IF($A317="","",IF(OR('Aug 2027'!H28=TRUE,'Aug 2027'!H28="x",'Aug 2027'!H28="X"),1,0))</f>
        <v/>
      </c>
      <c r="X317" s="345">
        <f>IF($A317="","",IF(OR('Aug 2027'!H29=TRUE,'Aug 2027'!H29="x",'Aug 2027'!H29="X"),1,0))</f>
        <v/>
      </c>
      <c r="Y317" s="345">
        <f>IF($A317="","",IF(OR('Aug 2027'!H30=TRUE,'Aug 2027'!H30="x",'Aug 2027'!H30="X"),1,0))</f>
        <v/>
      </c>
      <c r="Z317" s="345">
        <f>IF($A317="","",IF(OR('Aug 2027'!H31=TRUE,'Aug 2027'!H31="x",'Aug 2027'!H31="X"),1,0))</f>
        <v/>
      </c>
      <c r="AA317" s="345">
        <f>IF($A317="","",IF(OR('Aug 2027'!H32=TRUE,'Aug 2027'!H32="x",'Aug 2027'!H32="X"),1,0))</f>
        <v/>
      </c>
      <c r="AB317" s="345">
        <f>IF($A317="","",IF(OR('Aug 2027'!H34=TRUE,'Aug 2027'!H34="x",'Aug 2027'!H34="X"),1,0))</f>
        <v/>
      </c>
      <c r="AC317" s="345">
        <f>IF($A317="","",IF(OR('Aug 2027'!H35=TRUE,'Aug 2027'!H35="x",'Aug 2027'!H35="X"),1,0))</f>
        <v/>
      </c>
      <c r="AD317" s="345">
        <f>IF($A317="","",IF(OR('Aug 2027'!H36=TRUE,'Aug 2027'!H36="x",'Aug 2027'!H36="X"),1,0))</f>
        <v/>
      </c>
      <c r="AE317" s="345">
        <f>IF($A317="","",IF(OR('Aug 2027'!H37=TRUE,'Aug 2027'!H37="x",'Aug 2027'!H37="X"),1,0))</f>
        <v/>
      </c>
      <c r="AF317" s="345">
        <f>IF($A317="","",IF('Aug 2027'!H59="","",'Aug 2027'!H59))</f>
        <v/>
      </c>
      <c r="AG317" s="345">
        <f>IF($A317="","",IF('Aug 2027'!H60="","",'Aug 2027'!H60))</f>
        <v/>
      </c>
      <c r="AH317" s="345">
        <f>IF($A317="","",IF('Aug 2027'!H61="","",'Aug 2027'!H61))</f>
        <v/>
      </c>
      <c r="AI317" s="345">
        <f>IF($A317="","",IF('Aug 2027'!H62="","",'Aug 2027'!H62))</f>
        <v/>
      </c>
      <c r="AJ317" s="345">
        <f>IF($A317="","",IF('Aug 2027'!H63="","",'Aug 2027'!H63))</f>
        <v/>
      </c>
      <c r="AK317" s="345">
        <f>IF($A317="","",IF('Aug 2027'!H64="","",'Aug 2027'!H64))</f>
        <v/>
      </c>
      <c r="AL317" s="345">
        <f>IF($A317="","",IF('Aug 2027'!H65="","",'Aug 2027'!H65))</f>
        <v/>
      </c>
      <c r="AM317" s="345">
        <f>IF($A317="","",IF('Aug 2027'!H66="","",'Aug 2027'!H66))</f>
        <v/>
      </c>
      <c r="AN317" s="345">
        <f>IF($A317="","",IF('Aug 2027'!H67="","",'Aug 2027'!H67))</f>
        <v/>
      </c>
      <c r="AO317" s="345">
        <f>IF($A317="",0,IF(AND($A317&gt;=TrackStart,$A317&lt;=TODAY()),1,0))</f>
        <v/>
      </c>
      <c r="AP317" s="345">
        <f>IF($A317="",0,IF(SUM(F317:AE317)+COUNT(AF317:AN317)&gt;0,1,0))</f>
        <v/>
      </c>
      <c r="AQ317" s="345">
        <f>IF($A317="","",INT(($A317-TrackStart)/7)+1)</f>
        <v/>
      </c>
      <c r="AR317" s="345">
        <f>IF($A317="","",IF(AQ317&lt;=1,Steps1,IF(AQ317=2,Steps2,Steps3)))</f>
        <v/>
      </c>
      <c r="AS317" s="345">
        <f>IF($A317="",0,IF(ISNUMBER(SEARCH(TEXT(D317,"0"),WorkDays&amp;"")),1,0))</f>
        <v/>
      </c>
      <c r="AT317" s="345">
        <f>IF($A317="",0,IF(ISNUMBER(SEARCH(TEXT(D317,"0"),StrDays&amp;"")),1,0))</f>
        <v/>
      </c>
      <c r="AU317" s="345">
        <f>IF($A317="",0,IF(ISNUMBER(AK317),IF(AK317&gt;=SleepMin,1,0),N317))</f>
        <v/>
      </c>
      <c r="AV317" s="345">
        <f>IF($A317="",0,MAX(I317,O317,S317,AC317))</f>
        <v/>
      </c>
      <c r="AW317" s="345">
        <f>IF($A317="",0,IF(ISNUMBER(AH317),IF(AH317&gt;=ProtHit,1,0),0))</f>
        <v/>
      </c>
      <c r="AX317" s="345">
        <f>IF($A317="",0,IF(ISNUMBER(AI317),IF(AI317&gt;=WaterHit,1,0),0))</f>
        <v/>
      </c>
      <c r="AY317" s="345">
        <f>IF($A317="",0,IF(ISNUMBER(AG317),IF(AG317&gt;=AR317,1,0),0))</f>
        <v/>
      </c>
      <c r="AZ317" s="345">
        <f>IF($A317="",0,G317)</f>
        <v/>
      </c>
      <c r="BA317" s="345">
        <f>IF($A317="",0,J317)</f>
        <v/>
      </c>
      <c r="BB317" s="345">
        <f>IF($A317="",0,K317)</f>
        <v/>
      </c>
      <c r="BC317" s="345">
        <f>IF($A317="",0,MAX(L317,AE317))</f>
        <v/>
      </c>
      <c r="BD317" s="344">
        <f>IF($A317="","",(AU317+AV317+AW317+AX317+AY317+AZ317+BB317+BC317+IF(AS317=1,BA317,0))/(8+AS317))</f>
        <v/>
      </c>
      <c r="BE317" s="344">
        <f>IF($A317="","",(IF(ISNUMBER(AI317),IF(AI317&gt;=WaterMVD,1,0),0)+AV317+IF(ISNUMBER(AH317),IF(AH317&gt;=ProtMVD,1,0),0)+MAX(H317,AD317)+AZ317+BB317+AU317)/7)</f>
        <v/>
      </c>
      <c r="BF317" s="344">
        <f>IF(AO317=0,"",IF(E317="S","",IF(AND(AP317=0,$A317=TODAY()),"",IF(E317="M",BE317,BD317))))</f>
        <v/>
      </c>
      <c r="BG317" s="344">
        <f>IF(AO317=0,"",IFERROR(AVERAGEIFS(Data!$BF$4:$BF$375,Data!$A$4:$A$375,"&gt;"&amp;($A317-7),Data!$A$4:$A$375,"&lt;="&amp;$A317),""))</f>
        <v/>
      </c>
      <c r="BH317" s="344">
        <f>IF(AO317=0,"",IFERROR(AVERAGEIFS(Data!$BF$4:$BF$375,Data!$A$4:$A$375,"&gt;"&amp;($A317-30),Data!$A$4:$A$375,"&lt;="&amp;$A317),""))</f>
        <v/>
      </c>
      <c r="BI317" s="359">
        <f>IF($A317="","",IFERROR(AVERAGEIFS(Data!$AF$4:$AF$375,Data!$A$4:$A$375,"&gt;"&amp;($A317-7),Data!$A$4:$A$375,"&lt;="&amp;$A317,Data!$AF$4:$AF$375,"&gt;0"),""))</f>
        <v/>
      </c>
      <c r="BJ317" s="345">
        <f>IF($A317="","",F317+G317+H317+I317+J317+K317+L317+M317+N317-IF(AS317=1,0,J317))</f>
        <v/>
      </c>
      <c r="BK317" s="345">
        <f>IF($A317="","",8+AS317)</f>
        <v/>
      </c>
      <c r="BL317" s="345">
        <f>IF(ISNUMBER(BF317),BF317,NA())</f>
        <v/>
      </c>
      <c r="BM317" s="345">
        <f>IF(ISNUMBER(AF317),AF317,NA())</f>
        <v/>
      </c>
      <c r="BN317" s="345">
        <f>IF(ISNUMBER(BI317),BI317,NA())</f>
        <v/>
      </c>
      <c r="BO317" s="345">
        <f>IF(ISNUMBER(AL317),AL317,NA())</f>
        <v/>
      </c>
      <c r="BP317" s="345">
        <f>IF(ISNUMBER(AM317),AM317,NA())</f>
        <v/>
      </c>
      <c r="BQ317" s="345">
        <f>IF(ISNUMBER(AN317),AN317,NA())</f>
        <v/>
      </c>
    </row>
    <row r="318">
      <c r="A318" s="358">
        <f>IF('Aug 2027'!I7="","",'Aug 2027'!I7)</f>
        <v/>
      </c>
      <c r="B318" s="345" t="n">
        <v>11</v>
      </c>
      <c r="C318" s="345">
        <f>IF($A318="","",5)</f>
        <v/>
      </c>
      <c r="D318" s="345">
        <f>IF($A318="","",WEEKDAY($A318,2))</f>
        <v/>
      </c>
      <c r="E318" s="345">
        <f>IF($A318="","",UPPER(TRIM('Aug 2027'!I8)))</f>
        <v/>
      </c>
      <c r="F318" s="345">
        <f>IF($A318="","",IF(OR('Aug 2027'!I10=TRUE,'Aug 2027'!I10="x",'Aug 2027'!I10="X"),1,0))</f>
        <v/>
      </c>
      <c r="G318" s="345">
        <f>IF($A318="","",IF(OR('Aug 2027'!I11=TRUE,'Aug 2027'!I11="x",'Aug 2027'!I11="X"),1,0))</f>
        <v/>
      </c>
      <c r="H318" s="345">
        <f>IF($A318="","",IF(OR('Aug 2027'!I12=TRUE,'Aug 2027'!I12="x",'Aug 2027'!I12="X"),1,0))</f>
        <v/>
      </c>
      <c r="I318" s="345">
        <f>IF($A318="","",IF(OR('Aug 2027'!I13=TRUE,'Aug 2027'!I13="x",'Aug 2027'!I13="X"),1,0))</f>
        <v/>
      </c>
      <c r="J318" s="345">
        <f>IF($A318="","",IF(OR('Aug 2027'!I14=TRUE,'Aug 2027'!I14="x",'Aug 2027'!I14="X"),1,0))</f>
        <v/>
      </c>
      <c r="K318" s="345">
        <f>IF($A318="","",IF(OR('Aug 2027'!I15=TRUE,'Aug 2027'!I15="x",'Aug 2027'!I15="X"),1,0))</f>
        <v/>
      </c>
      <c r="L318" s="345">
        <f>IF($A318="","",IF(OR('Aug 2027'!I16=TRUE,'Aug 2027'!I16="x",'Aug 2027'!I16="X"),1,0))</f>
        <v/>
      </c>
      <c r="M318" s="345">
        <f>IF($A318="","",IF(OR('Aug 2027'!I17=TRUE,'Aug 2027'!I17="x",'Aug 2027'!I17="X"),1,0))</f>
        <v/>
      </c>
      <c r="N318" s="345">
        <f>IF($A318="","",IF(OR('Aug 2027'!I18=TRUE,'Aug 2027'!I18="x",'Aug 2027'!I18="X"),1,0))</f>
        <v/>
      </c>
      <c r="O318" s="345">
        <f>IF($A318="","",IF(OR('Aug 2027'!I20=TRUE,'Aug 2027'!I20="x",'Aug 2027'!I20="X"),1,0))</f>
        <v/>
      </c>
      <c r="P318" s="345">
        <f>IF($A318="","",IF(OR('Aug 2027'!I21=TRUE,'Aug 2027'!I21="x",'Aug 2027'!I21="X"),1,0))</f>
        <v/>
      </c>
      <c r="Q318" s="345">
        <f>IF($A318="","",IF(OR('Aug 2027'!I22=TRUE,'Aug 2027'!I22="x",'Aug 2027'!I22="X"),1,0))</f>
        <v/>
      </c>
      <c r="R318" s="345">
        <f>IF($A318="","",IF(OR('Aug 2027'!I23=TRUE,'Aug 2027'!I23="x",'Aug 2027'!I23="X"),1,0))</f>
        <v/>
      </c>
      <c r="S318" s="345">
        <f>IF($A318="","",IF(OR('Aug 2027'!I24=TRUE,'Aug 2027'!I24="x",'Aug 2027'!I24="X"),1,0))</f>
        <v/>
      </c>
      <c r="T318" s="345">
        <f>IF($A318="","",IF(OR('Aug 2027'!I25=TRUE,'Aug 2027'!I25="x",'Aug 2027'!I25="X"),1,0))</f>
        <v/>
      </c>
      <c r="U318" s="345">
        <f>IF($A318="","",IF(OR('Aug 2027'!I26=TRUE,'Aug 2027'!I26="x",'Aug 2027'!I26="X"),1,0))</f>
        <v/>
      </c>
      <c r="V318" s="345">
        <f>IF($A318="","",IF(OR('Aug 2027'!I27=TRUE,'Aug 2027'!I27="x",'Aug 2027'!I27="X"),1,0))</f>
        <v/>
      </c>
      <c r="W318" s="345">
        <f>IF($A318="","",IF(OR('Aug 2027'!I28=TRUE,'Aug 2027'!I28="x",'Aug 2027'!I28="X"),1,0))</f>
        <v/>
      </c>
      <c r="X318" s="345">
        <f>IF($A318="","",IF(OR('Aug 2027'!I29=TRUE,'Aug 2027'!I29="x",'Aug 2027'!I29="X"),1,0))</f>
        <v/>
      </c>
      <c r="Y318" s="345">
        <f>IF($A318="","",IF(OR('Aug 2027'!I30=TRUE,'Aug 2027'!I30="x",'Aug 2027'!I30="X"),1,0))</f>
        <v/>
      </c>
      <c r="Z318" s="345">
        <f>IF($A318="","",IF(OR('Aug 2027'!I31=TRUE,'Aug 2027'!I31="x",'Aug 2027'!I31="X"),1,0))</f>
        <v/>
      </c>
      <c r="AA318" s="345">
        <f>IF($A318="","",IF(OR('Aug 2027'!I32=TRUE,'Aug 2027'!I32="x",'Aug 2027'!I32="X"),1,0))</f>
        <v/>
      </c>
      <c r="AB318" s="345">
        <f>IF($A318="","",IF(OR('Aug 2027'!I34=TRUE,'Aug 2027'!I34="x",'Aug 2027'!I34="X"),1,0))</f>
        <v/>
      </c>
      <c r="AC318" s="345">
        <f>IF($A318="","",IF(OR('Aug 2027'!I35=TRUE,'Aug 2027'!I35="x",'Aug 2027'!I35="X"),1,0))</f>
        <v/>
      </c>
      <c r="AD318" s="345">
        <f>IF($A318="","",IF(OR('Aug 2027'!I36=TRUE,'Aug 2027'!I36="x",'Aug 2027'!I36="X"),1,0))</f>
        <v/>
      </c>
      <c r="AE318" s="345">
        <f>IF($A318="","",IF(OR('Aug 2027'!I37=TRUE,'Aug 2027'!I37="x",'Aug 2027'!I37="X"),1,0))</f>
        <v/>
      </c>
      <c r="AF318" s="345">
        <f>IF($A318="","",IF('Aug 2027'!I59="","",'Aug 2027'!I59))</f>
        <v/>
      </c>
      <c r="AG318" s="345">
        <f>IF($A318="","",IF('Aug 2027'!I60="","",'Aug 2027'!I60))</f>
        <v/>
      </c>
      <c r="AH318" s="345">
        <f>IF($A318="","",IF('Aug 2027'!I61="","",'Aug 2027'!I61))</f>
        <v/>
      </c>
      <c r="AI318" s="345">
        <f>IF($A318="","",IF('Aug 2027'!I62="","",'Aug 2027'!I62))</f>
        <v/>
      </c>
      <c r="AJ318" s="345">
        <f>IF($A318="","",IF('Aug 2027'!I63="","",'Aug 2027'!I63))</f>
        <v/>
      </c>
      <c r="AK318" s="345">
        <f>IF($A318="","",IF('Aug 2027'!I64="","",'Aug 2027'!I64))</f>
        <v/>
      </c>
      <c r="AL318" s="345">
        <f>IF($A318="","",IF('Aug 2027'!I65="","",'Aug 2027'!I65))</f>
        <v/>
      </c>
      <c r="AM318" s="345">
        <f>IF($A318="","",IF('Aug 2027'!I66="","",'Aug 2027'!I66))</f>
        <v/>
      </c>
      <c r="AN318" s="345">
        <f>IF($A318="","",IF('Aug 2027'!I67="","",'Aug 2027'!I67))</f>
        <v/>
      </c>
      <c r="AO318" s="345">
        <f>IF($A318="",0,IF(AND($A318&gt;=TrackStart,$A318&lt;=TODAY()),1,0))</f>
        <v/>
      </c>
      <c r="AP318" s="345">
        <f>IF($A318="",0,IF(SUM(F318:AE318)+COUNT(AF318:AN318)&gt;0,1,0))</f>
        <v/>
      </c>
      <c r="AQ318" s="345">
        <f>IF($A318="","",INT(($A318-TrackStart)/7)+1)</f>
        <v/>
      </c>
      <c r="AR318" s="345">
        <f>IF($A318="","",IF(AQ318&lt;=1,Steps1,IF(AQ318=2,Steps2,Steps3)))</f>
        <v/>
      </c>
      <c r="AS318" s="345">
        <f>IF($A318="",0,IF(ISNUMBER(SEARCH(TEXT(D318,"0"),WorkDays&amp;"")),1,0))</f>
        <v/>
      </c>
      <c r="AT318" s="345">
        <f>IF($A318="",0,IF(ISNUMBER(SEARCH(TEXT(D318,"0"),StrDays&amp;"")),1,0))</f>
        <v/>
      </c>
      <c r="AU318" s="345">
        <f>IF($A318="",0,IF(ISNUMBER(AK318),IF(AK318&gt;=SleepMin,1,0),N318))</f>
        <v/>
      </c>
      <c r="AV318" s="345">
        <f>IF($A318="",0,MAX(I318,O318,S318,AC318))</f>
        <v/>
      </c>
      <c r="AW318" s="345">
        <f>IF($A318="",0,IF(ISNUMBER(AH318),IF(AH318&gt;=ProtHit,1,0),0))</f>
        <v/>
      </c>
      <c r="AX318" s="345">
        <f>IF($A318="",0,IF(ISNUMBER(AI318),IF(AI318&gt;=WaterHit,1,0),0))</f>
        <v/>
      </c>
      <c r="AY318" s="345">
        <f>IF($A318="",0,IF(ISNUMBER(AG318),IF(AG318&gt;=AR318,1,0),0))</f>
        <v/>
      </c>
      <c r="AZ318" s="345">
        <f>IF($A318="",0,G318)</f>
        <v/>
      </c>
      <c r="BA318" s="345">
        <f>IF($A318="",0,J318)</f>
        <v/>
      </c>
      <c r="BB318" s="345">
        <f>IF($A318="",0,K318)</f>
        <v/>
      </c>
      <c r="BC318" s="345">
        <f>IF($A318="",0,MAX(L318,AE318))</f>
        <v/>
      </c>
      <c r="BD318" s="344">
        <f>IF($A318="","",(AU318+AV318+AW318+AX318+AY318+AZ318+BB318+BC318+IF(AS318=1,BA318,0))/(8+AS318))</f>
        <v/>
      </c>
      <c r="BE318" s="344">
        <f>IF($A318="","",(IF(ISNUMBER(AI318),IF(AI318&gt;=WaterMVD,1,0),0)+AV318+IF(ISNUMBER(AH318),IF(AH318&gt;=ProtMVD,1,0),0)+MAX(H318,AD318)+AZ318+BB318+AU318)/7)</f>
        <v/>
      </c>
      <c r="BF318" s="344">
        <f>IF(AO318=0,"",IF(E318="S","",IF(AND(AP318=0,$A318=TODAY()),"",IF(E318="M",BE318,BD318))))</f>
        <v/>
      </c>
      <c r="BG318" s="344">
        <f>IF(AO318=0,"",IFERROR(AVERAGEIFS(Data!$BF$4:$BF$375,Data!$A$4:$A$375,"&gt;"&amp;($A318-7),Data!$A$4:$A$375,"&lt;="&amp;$A318),""))</f>
        <v/>
      </c>
      <c r="BH318" s="344">
        <f>IF(AO318=0,"",IFERROR(AVERAGEIFS(Data!$BF$4:$BF$375,Data!$A$4:$A$375,"&gt;"&amp;($A318-30),Data!$A$4:$A$375,"&lt;="&amp;$A318),""))</f>
        <v/>
      </c>
      <c r="BI318" s="359">
        <f>IF($A318="","",IFERROR(AVERAGEIFS(Data!$AF$4:$AF$375,Data!$A$4:$A$375,"&gt;"&amp;($A318-7),Data!$A$4:$A$375,"&lt;="&amp;$A318,Data!$AF$4:$AF$375,"&gt;0"),""))</f>
        <v/>
      </c>
      <c r="BJ318" s="345">
        <f>IF($A318="","",F318+G318+H318+I318+J318+K318+L318+M318+N318-IF(AS318=1,0,J318))</f>
        <v/>
      </c>
      <c r="BK318" s="345">
        <f>IF($A318="","",8+AS318)</f>
        <v/>
      </c>
      <c r="BL318" s="345">
        <f>IF(ISNUMBER(BF318),BF318,NA())</f>
        <v/>
      </c>
      <c r="BM318" s="345">
        <f>IF(ISNUMBER(AF318),AF318,NA())</f>
        <v/>
      </c>
      <c r="BN318" s="345">
        <f>IF(ISNUMBER(BI318),BI318,NA())</f>
        <v/>
      </c>
      <c r="BO318" s="345">
        <f>IF(ISNUMBER(AL318),AL318,NA())</f>
        <v/>
      </c>
      <c r="BP318" s="345">
        <f>IF(ISNUMBER(AM318),AM318,NA())</f>
        <v/>
      </c>
      <c r="BQ318" s="345">
        <f>IF(ISNUMBER(AN318),AN318,NA())</f>
        <v/>
      </c>
    </row>
    <row r="319">
      <c r="A319" s="358">
        <f>IF('Aug 2027'!J7="","",'Aug 2027'!J7)</f>
        <v/>
      </c>
      <c r="B319" s="345" t="n">
        <v>11</v>
      </c>
      <c r="C319" s="345">
        <f>IF($A319="","",6)</f>
        <v/>
      </c>
      <c r="D319" s="345">
        <f>IF($A319="","",WEEKDAY($A319,2))</f>
        <v/>
      </c>
      <c r="E319" s="345">
        <f>IF($A319="","",UPPER(TRIM('Aug 2027'!J8)))</f>
        <v/>
      </c>
      <c r="F319" s="345">
        <f>IF($A319="","",IF(OR('Aug 2027'!J10=TRUE,'Aug 2027'!J10="x",'Aug 2027'!J10="X"),1,0))</f>
        <v/>
      </c>
      <c r="G319" s="345">
        <f>IF($A319="","",IF(OR('Aug 2027'!J11=TRUE,'Aug 2027'!J11="x",'Aug 2027'!J11="X"),1,0))</f>
        <v/>
      </c>
      <c r="H319" s="345">
        <f>IF($A319="","",IF(OR('Aug 2027'!J12=TRUE,'Aug 2027'!J12="x",'Aug 2027'!J12="X"),1,0))</f>
        <v/>
      </c>
      <c r="I319" s="345">
        <f>IF($A319="","",IF(OR('Aug 2027'!J13=TRUE,'Aug 2027'!J13="x",'Aug 2027'!J13="X"),1,0))</f>
        <v/>
      </c>
      <c r="J319" s="345">
        <f>IF($A319="","",IF(OR('Aug 2027'!J14=TRUE,'Aug 2027'!J14="x",'Aug 2027'!J14="X"),1,0))</f>
        <v/>
      </c>
      <c r="K319" s="345">
        <f>IF($A319="","",IF(OR('Aug 2027'!J15=TRUE,'Aug 2027'!J15="x",'Aug 2027'!J15="X"),1,0))</f>
        <v/>
      </c>
      <c r="L319" s="345">
        <f>IF($A319="","",IF(OR('Aug 2027'!J16=TRUE,'Aug 2027'!J16="x",'Aug 2027'!J16="X"),1,0))</f>
        <v/>
      </c>
      <c r="M319" s="345">
        <f>IF($A319="","",IF(OR('Aug 2027'!J17=TRUE,'Aug 2027'!J17="x",'Aug 2027'!J17="X"),1,0))</f>
        <v/>
      </c>
      <c r="N319" s="345">
        <f>IF($A319="","",IF(OR('Aug 2027'!J18=TRUE,'Aug 2027'!J18="x",'Aug 2027'!J18="X"),1,0))</f>
        <v/>
      </c>
      <c r="O319" s="345">
        <f>IF($A319="","",IF(OR('Aug 2027'!J20=TRUE,'Aug 2027'!J20="x",'Aug 2027'!J20="X"),1,0))</f>
        <v/>
      </c>
      <c r="P319" s="345">
        <f>IF($A319="","",IF(OR('Aug 2027'!J21=TRUE,'Aug 2027'!J21="x",'Aug 2027'!J21="X"),1,0))</f>
        <v/>
      </c>
      <c r="Q319" s="345">
        <f>IF($A319="","",IF(OR('Aug 2027'!J22=TRUE,'Aug 2027'!J22="x",'Aug 2027'!J22="X"),1,0))</f>
        <v/>
      </c>
      <c r="R319" s="345">
        <f>IF($A319="","",IF(OR('Aug 2027'!J23=TRUE,'Aug 2027'!J23="x",'Aug 2027'!J23="X"),1,0))</f>
        <v/>
      </c>
      <c r="S319" s="345">
        <f>IF($A319="","",IF(OR('Aug 2027'!J24=TRUE,'Aug 2027'!J24="x",'Aug 2027'!J24="X"),1,0))</f>
        <v/>
      </c>
      <c r="T319" s="345">
        <f>IF($A319="","",IF(OR('Aug 2027'!J25=TRUE,'Aug 2027'!J25="x",'Aug 2027'!J25="X"),1,0))</f>
        <v/>
      </c>
      <c r="U319" s="345">
        <f>IF($A319="","",IF(OR('Aug 2027'!J26=TRUE,'Aug 2027'!J26="x",'Aug 2027'!J26="X"),1,0))</f>
        <v/>
      </c>
      <c r="V319" s="345">
        <f>IF($A319="","",IF(OR('Aug 2027'!J27=TRUE,'Aug 2027'!J27="x",'Aug 2027'!J27="X"),1,0))</f>
        <v/>
      </c>
      <c r="W319" s="345">
        <f>IF($A319="","",IF(OR('Aug 2027'!J28=TRUE,'Aug 2027'!J28="x",'Aug 2027'!J28="X"),1,0))</f>
        <v/>
      </c>
      <c r="X319" s="345">
        <f>IF($A319="","",IF(OR('Aug 2027'!J29=TRUE,'Aug 2027'!J29="x",'Aug 2027'!J29="X"),1,0))</f>
        <v/>
      </c>
      <c r="Y319" s="345">
        <f>IF($A319="","",IF(OR('Aug 2027'!J30=TRUE,'Aug 2027'!J30="x",'Aug 2027'!J30="X"),1,0))</f>
        <v/>
      </c>
      <c r="Z319" s="345">
        <f>IF($A319="","",IF(OR('Aug 2027'!J31=TRUE,'Aug 2027'!J31="x",'Aug 2027'!J31="X"),1,0))</f>
        <v/>
      </c>
      <c r="AA319" s="345">
        <f>IF($A319="","",IF(OR('Aug 2027'!J32=TRUE,'Aug 2027'!J32="x",'Aug 2027'!J32="X"),1,0))</f>
        <v/>
      </c>
      <c r="AB319" s="345">
        <f>IF($A319="","",IF(OR('Aug 2027'!J34=TRUE,'Aug 2027'!J34="x",'Aug 2027'!J34="X"),1,0))</f>
        <v/>
      </c>
      <c r="AC319" s="345">
        <f>IF($A319="","",IF(OR('Aug 2027'!J35=TRUE,'Aug 2027'!J35="x",'Aug 2027'!J35="X"),1,0))</f>
        <v/>
      </c>
      <c r="AD319" s="345">
        <f>IF($A319="","",IF(OR('Aug 2027'!J36=TRUE,'Aug 2027'!J36="x",'Aug 2027'!J36="X"),1,0))</f>
        <v/>
      </c>
      <c r="AE319" s="345">
        <f>IF($A319="","",IF(OR('Aug 2027'!J37=TRUE,'Aug 2027'!J37="x",'Aug 2027'!J37="X"),1,0))</f>
        <v/>
      </c>
      <c r="AF319" s="345">
        <f>IF($A319="","",IF('Aug 2027'!J59="","",'Aug 2027'!J59))</f>
        <v/>
      </c>
      <c r="AG319" s="345">
        <f>IF($A319="","",IF('Aug 2027'!J60="","",'Aug 2027'!J60))</f>
        <v/>
      </c>
      <c r="AH319" s="345">
        <f>IF($A319="","",IF('Aug 2027'!J61="","",'Aug 2027'!J61))</f>
        <v/>
      </c>
      <c r="AI319" s="345">
        <f>IF($A319="","",IF('Aug 2027'!J62="","",'Aug 2027'!J62))</f>
        <v/>
      </c>
      <c r="AJ319" s="345">
        <f>IF($A319="","",IF('Aug 2027'!J63="","",'Aug 2027'!J63))</f>
        <v/>
      </c>
      <c r="AK319" s="345">
        <f>IF($A319="","",IF('Aug 2027'!J64="","",'Aug 2027'!J64))</f>
        <v/>
      </c>
      <c r="AL319" s="345">
        <f>IF($A319="","",IF('Aug 2027'!J65="","",'Aug 2027'!J65))</f>
        <v/>
      </c>
      <c r="AM319" s="345">
        <f>IF($A319="","",IF('Aug 2027'!J66="","",'Aug 2027'!J66))</f>
        <v/>
      </c>
      <c r="AN319" s="345">
        <f>IF($A319="","",IF('Aug 2027'!J67="","",'Aug 2027'!J67))</f>
        <v/>
      </c>
      <c r="AO319" s="345">
        <f>IF($A319="",0,IF(AND($A319&gt;=TrackStart,$A319&lt;=TODAY()),1,0))</f>
        <v/>
      </c>
      <c r="AP319" s="345">
        <f>IF($A319="",0,IF(SUM(F319:AE319)+COUNT(AF319:AN319)&gt;0,1,0))</f>
        <v/>
      </c>
      <c r="AQ319" s="345">
        <f>IF($A319="","",INT(($A319-TrackStart)/7)+1)</f>
        <v/>
      </c>
      <c r="AR319" s="345">
        <f>IF($A319="","",IF(AQ319&lt;=1,Steps1,IF(AQ319=2,Steps2,Steps3)))</f>
        <v/>
      </c>
      <c r="AS319" s="345">
        <f>IF($A319="",0,IF(ISNUMBER(SEARCH(TEXT(D319,"0"),WorkDays&amp;"")),1,0))</f>
        <v/>
      </c>
      <c r="AT319" s="345">
        <f>IF($A319="",0,IF(ISNUMBER(SEARCH(TEXT(D319,"0"),StrDays&amp;"")),1,0))</f>
        <v/>
      </c>
      <c r="AU319" s="345">
        <f>IF($A319="",0,IF(ISNUMBER(AK319),IF(AK319&gt;=SleepMin,1,0),N319))</f>
        <v/>
      </c>
      <c r="AV319" s="345">
        <f>IF($A319="",0,MAX(I319,O319,S319,AC319))</f>
        <v/>
      </c>
      <c r="AW319" s="345">
        <f>IF($A319="",0,IF(ISNUMBER(AH319),IF(AH319&gt;=ProtHit,1,0),0))</f>
        <v/>
      </c>
      <c r="AX319" s="345">
        <f>IF($A319="",0,IF(ISNUMBER(AI319),IF(AI319&gt;=WaterHit,1,0),0))</f>
        <v/>
      </c>
      <c r="AY319" s="345">
        <f>IF($A319="",0,IF(ISNUMBER(AG319),IF(AG319&gt;=AR319,1,0),0))</f>
        <v/>
      </c>
      <c r="AZ319" s="345">
        <f>IF($A319="",0,G319)</f>
        <v/>
      </c>
      <c r="BA319" s="345">
        <f>IF($A319="",0,J319)</f>
        <v/>
      </c>
      <c r="BB319" s="345">
        <f>IF($A319="",0,K319)</f>
        <v/>
      </c>
      <c r="BC319" s="345">
        <f>IF($A319="",0,MAX(L319,AE319))</f>
        <v/>
      </c>
      <c r="BD319" s="344">
        <f>IF($A319="","",(AU319+AV319+AW319+AX319+AY319+AZ319+BB319+BC319+IF(AS319=1,BA319,0))/(8+AS319))</f>
        <v/>
      </c>
      <c r="BE319" s="344">
        <f>IF($A319="","",(IF(ISNUMBER(AI319),IF(AI319&gt;=WaterMVD,1,0),0)+AV319+IF(ISNUMBER(AH319),IF(AH319&gt;=ProtMVD,1,0),0)+MAX(H319,AD319)+AZ319+BB319+AU319)/7)</f>
        <v/>
      </c>
      <c r="BF319" s="344">
        <f>IF(AO319=0,"",IF(E319="S","",IF(AND(AP319=0,$A319=TODAY()),"",IF(E319="M",BE319,BD319))))</f>
        <v/>
      </c>
      <c r="BG319" s="344">
        <f>IF(AO319=0,"",IFERROR(AVERAGEIFS(Data!$BF$4:$BF$375,Data!$A$4:$A$375,"&gt;"&amp;($A319-7),Data!$A$4:$A$375,"&lt;="&amp;$A319),""))</f>
        <v/>
      </c>
      <c r="BH319" s="344">
        <f>IF(AO319=0,"",IFERROR(AVERAGEIFS(Data!$BF$4:$BF$375,Data!$A$4:$A$375,"&gt;"&amp;($A319-30),Data!$A$4:$A$375,"&lt;="&amp;$A319),""))</f>
        <v/>
      </c>
      <c r="BI319" s="359">
        <f>IF($A319="","",IFERROR(AVERAGEIFS(Data!$AF$4:$AF$375,Data!$A$4:$A$375,"&gt;"&amp;($A319-7),Data!$A$4:$A$375,"&lt;="&amp;$A319,Data!$AF$4:$AF$375,"&gt;0"),""))</f>
        <v/>
      </c>
      <c r="BJ319" s="345">
        <f>IF($A319="","",F319+G319+H319+I319+J319+K319+L319+M319+N319-IF(AS319=1,0,J319))</f>
        <v/>
      </c>
      <c r="BK319" s="345">
        <f>IF($A319="","",8+AS319)</f>
        <v/>
      </c>
      <c r="BL319" s="345">
        <f>IF(ISNUMBER(BF319),BF319,NA())</f>
        <v/>
      </c>
      <c r="BM319" s="345">
        <f>IF(ISNUMBER(AF319),AF319,NA())</f>
        <v/>
      </c>
      <c r="BN319" s="345">
        <f>IF(ISNUMBER(BI319),BI319,NA())</f>
        <v/>
      </c>
      <c r="BO319" s="345">
        <f>IF(ISNUMBER(AL319),AL319,NA())</f>
        <v/>
      </c>
      <c r="BP319" s="345">
        <f>IF(ISNUMBER(AM319),AM319,NA())</f>
        <v/>
      </c>
      <c r="BQ319" s="345">
        <f>IF(ISNUMBER(AN319),AN319,NA())</f>
        <v/>
      </c>
    </row>
    <row r="320">
      <c r="A320" s="358">
        <f>IF('Aug 2027'!K7="","",'Aug 2027'!K7)</f>
        <v/>
      </c>
      <c r="B320" s="345" t="n">
        <v>11</v>
      </c>
      <c r="C320" s="345">
        <f>IF($A320="","",7)</f>
        <v/>
      </c>
      <c r="D320" s="345">
        <f>IF($A320="","",WEEKDAY($A320,2))</f>
        <v/>
      </c>
      <c r="E320" s="345">
        <f>IF($A320="","",UPPER(TRIM('Aug 2027'!K8)))</f>
        <v/>
      </c>
      <c r="F320" s="345">
        <f>IF($A320="","",IF(OR('Aug 2027'!K10=TRUE,'Aug 2027'!K10="x",'Aug 2027'!K10="X"),1,0))</f>
        <v/>
      </c>
      <c r="G320" s="345">
        <f>IF($A320="","",IF(OR('Aug 2027'!K11=TRUE,'Aug 2027'!K11="x",'Aug 2027'!K11="X"),1,0))</f>
        <v/>
      </c>
      <c r="H320" s="345">
        <f>IF($A320="","",IF(OR('Aug 2027'!K12=TRUE,'Aug 2027'!K12="x",'Aug 2027'!K12="X"),1,0))</f>
        <v/>
      </c>
      <c r="I320" s="345">
        <f>IF($A320="","",IF(OR('Aug 2027'!K13=TRUE,'Aug 2027'!K13="x",'Aug 2027'!K13="X"),1,0))</f>
        <v/>
      </c>
      <c r="J320" s="345">
        <f>IF($A320="","",IF(OR('Aug 2027'!K14=TRUE,'Aug 2027'!K14="x",'Aug 2027'!K14="X"),1,0))</f>
        <v/>
      </c>
      <c r="K320" s="345">
        <f>IF($A320="","",IF(OR('Aug 2027'!K15=TRUE,'Aug 2027'!K15="x",'Aug 2027'!K15="X"),1,0))</f>
        <v/>
      </c>
      <c r="L320" s="345">
        <f>IF($A320="","",IF(OR('Aug 2027'!K16=TRUE,'Aug 2027'!K16="x",'Aug 2027'!K16="X"),1,0))</f>
        <v/>
      </c>
      <c r="M320" s="345">
        <f>IF($A320="","",IF(OR('Aug 2027'!K17=TRUE,'Aug 2027'!K17="x",'Aug 2027'!K17="X"),1,0))</f>
        <v/>
      </c>
      <c r="N320" s="345">
        <f>IF($A320="","",IF(OR('Aug 2027'!K18=TRUE,'Aug 2027'!K18="x",'Aug 2027'!K18="X"),1,0))</f>
        <v/>
      </c>
      <c r="O320" s="345">
        <f>IF($A320="","",IF(OR('Aug 2027'!K20=TRUE,'Aug 2027'!K20="x",'Aug 2027'!K20="X"),1,0))</f>
        <v/>
      </c>
      <c r="P320" s="345">
        <f>IF($A320="","",IF(OR('Aug 2027'!K21=TRUE,'Aug 2027'!K21="x",'Aug 2027'!K21="X"),1,0))</f>
        <v/>
      </c>
      <c r="Q320" s="345">
        <f>IF($A320="","",IF(OR('Aug 2027'!K22=TRUE,'Aug 2027'!K22="x",'Aug 2027'!K22="X"),1,0))</f>
        <v/>
      </c>
      <c r="R320" s="345">
        <f>IF($A320="","",IF(OR('Aug 2027'!K23=TRUE,'Aug 2027'!K23="x",'Aug 2027'!K23="X"),1,0))</f>
        <v/>
      </c>
      <c r="S320" s="345">
        <f>IF($A320="","",IF(OR('Aug 2027'!K24=TRUE,'Aug 2027'!K24="x",'Aug 2027'!K24="X"),1,0))</f>
        <v/>
      </c>
      <c r="T320" s="345">
        <f>IF($A320="","",IF(OR('Aug 2027'!K25=TRUE,'Aug 2027'!K25="x",'Aug 2027'!K25="X"),1,0))</f>
        <v/>
      </c>
      <c r="U320" s="345">
        <f>IF($A320="","",IF(OR('Aug 2027'!K26=TRUE,'Aug 2027'!K26="x",'Aug 2027'!K26="X"),1,0))</f>
        <v/>
      </c>
      <c r="V320" s="345">
        <f>IF($A320="","",IF(OR('Aug 2027'!K27=TRUE,'Aug 2027'!K27="x",'Aug 2027'!K27="X"),1,0))</f>
        <v/>
      </c>
      <c r="W320" s="345">
        <f>IF($A320="","",IF(OR('Aug 2027'!K28=TRUE,'Aug 2027'!K28="x",'Aug 2027'!K28="X"),1,0))</f>
        <v/>
      </c>
      <c r="X320" s="345">
        <f>IF($A320="","",IF(OR('Aug 2027'!K29=TRUE,'Aug 2027'!K29="x",'Aug 2027'!K29="X"),1,0))</f>
        <v/>
      </c>
      <c r="Y320" s="345">
        <f>IF($A320="","",IF(OR('Aug 2027'!K30=TRUE,'Aug 2027'!K30="x",'Aug 2027'!K30="X"),1,0))</f>
        <v/>
      </c>
      <c r="Z320" s="345">
        <f>IF($A320="","",IF(OR('Aug 2027'!K31=TRUE,'Aug 2027'!K31="x",'Aug 2027'!K31="X"),1,0))</f>
        <v/>
      </c>
      <c r="AA320" s="345">
        <f>IF($A320="","",IF(OR('Aug 2027'!K32=TRUE,'Aug 2027'!K32="x",'Aug 2027'!K32="X"),1,0))</f>
        <v/>
      </c>
      <c r="AB320" s="345">
        <f>IF($A320="","",IF(OR('Aug 2027'!K34=TRUE,'Aug 2027'!K34="x",'Aug 2027'!K34="X"),1,0))</f>
        <v/>
      </c>
      <c r="AC320" s="345">
        <f>IF($A320="","",IF(OR('Aug 2027'!K35=TRUE,'Aug 2027'!K35="x",'Aug 2027'!K35="X"),1,0))</f>
        <v/>
      </c>
      <c r="AD320" s="345">
        <f>IF($A320="","",IF(OR('Aug 2027'!K36=TRUE,'Aug 2027'!K36="x",'Aug 2027'!K36="X"),1,0))</f>
        <v/>
      </c>
      <c r="AE320" s="345">
        <f>IF($A320="","",IF(OR('Aug 2027'!K37=TRUE,'Aug 2027'!K37="x",'Aug 2027'!K37="X"),1,0))</f>
        <v/>
      </c>
      <c r="AF320" s="345">
        <f>IF($A320="","",IF('Aug 2027'!K59="","",'Aug 2027'!K59))</f>
        <v/>
      </c>
      <c r="AG320" s="345">
        <f>IF($A320="","",IF('Aug 2027'!K60="","",'Aug 2027'!K60))</f>
        <v/>
      </c>
      <c r="AH320" s="345">
        <f>IF($A320="","",IF('Aug 2027'!K61="","",'Aug 2027'!K61))</f>
        <v/>
      </c>
      <c r="AI320" s="345">
        <f>IF($A320="","",IF('Aug 2027'!K62="","",'Aug 2027'!K62))</f>
        <v/>
      </c>
      <c r="AJ320" s="345">
        <f>IF($A320="","",IF('Aug 2027'!K63="","",'Aug 2027'!K63))</f>
        <v/>
      </c>
      <c r="AK320" s="345">
        <f>IF($A320="","",IF('Aug 2027'!K64="","",'Aug 2027'!K64))</f>
        <v/>
      </c>
      <c r="AL320" s="345">
        <f>IF($A320="","",IF('Aug 2027'!K65="","",'Aug 2027'!K65))</f>
        <v/>
      </c>
      <c r="AM320" s="345">
        <f>IF($A320="","",IF('Aug 2027'!K66="","",'Aug 2027'!K66))</f>
        <v/>
      </c>
      <c r="AN320" s="345">
        <f>IF($A320="","",IF('Aug 2027'!K67="","",'Aug 2027'!K67))</f>
        <v/>
      </c>
      <c r="AO320" s="345">
        <f>IF($A320="",0,IF(AND($A320&gt;=TrackStart,$A320&lt;=TODAY()),1,0))</f>
        <v/>
      </c>
      <c r="AP320" s="345">
        <f>IF($A320="",0,IF(SUM(F320:AE320)+COUNT(AF320:AN320)&gt;0,1,0))</f>
        <v/>
      </c>
      <c r="AQ320" s="345">
        <f>IF($A320="","",INT(($A320-TrackStart)/7)+1)</f>
        <v/>
      </c>
      <c r="AR320" s="345">
        <f>IF($A320="","",IF(AQ320&lt;=1,Steps1,IF(AQ320=2,Steps2,Steps3)))</f>
        <v/>
      </c>
      <c r="AS320" s="345">
        <f>IF($A320="",0,IF(ISNUMBER(SEARCH(TEXT(D320,"0"),WorkDays&amp;"")),1,0))</f>
        <v/>
      </c>
      <c r="AT320" s="345">
        <f>IF($A320="",0,IF(ISNUMBER(SEARCH(TEXT(D320,"0"),StrDays&amp;"")),1,0))</f>
        <v/>
      </c>
      <c r="AU320" s="345">
        <f>IF($A320="",0,IF(ISNUMBER(AK320),IF(AK320&gt;=SleepMin,1,0),N320))</f>
        <v/>
      </c>
      <c r="AV320" s="345">
        <f>IF($A320="",0,MAX(I320,O320,S320,AC320))</f>
        <v/>
      </c>
      <c r="AW320" s="345">
        <f>IF($A320="",0,IF(ISNUMBER(AH320),IF(AH320&gt;=ProtHit,1,0),0))</f>
        <v/>
      </c>
      <c r="AX320" s="345">
        <f>IF($A320="",0,IF(ISNUMBER(AI320),IF(AI320&gt;=WaterHit,1,0),0))</f>
        <v/>
      </c>
      <c r="AY320" s="345">
        <f>IF($A320="",0,IF(ISNUMBER(AG320),IF(AG320&gt;=AR320,1,0),0))</f>
        <v/>
      </c>
      <c r="AZ320" s="345">
        <f>IF($A320="",0,G320)</f>
        <v/>
      </c>
      <c r="BA320" s="345">
        <f>IF($A320="",0,J320)</f>
        <v/>
      </c>
      <c r="BB320" s="345">
        <f>IF($A320="",0,K320)</f>
        <v/>
      </c>
      <c r="BC320" s="345">
        <f>IF($A320="",0,MAX(L320,AE320))</f>
        <v/>
      </c>
      <c r="BD320" s="344">
        <f>IF($A320="","",(AU320+AV320+AW320+AX320+AY320+AZ320+BB320+BC320+IF(AS320=1,BA320,0))/(8+AS320))</f>
        <v/>
      </c>
      <c r="BE320" s="344">
        <f>IF($A320="","",(IF(ISNUMBER(AI320),IF(AI320&gt;=WaterMVD,1,0),0)+AV320+IF(ISNUMBER(AH320),IF(AH320&gt;=ProtMVD,1,0),0)+MAX(H320,AD320)+AZ320+BB320+AU320)/7)</f>
        <v/>
      </c>
      <c r="BF320" s="344">
        <f>IF(AO320=0,"",IF(E320="S","",IF(AND(AP320=0,$A320=TODAY()),"",IF(E320="M",BE320,BD320))))</f>
        <v/>
      </c>
      <c r="BG320" s="344">
        <f>IF(AO320=0,"",IFERROR(AVERAGEIFS(Data!$BF$4:$BF$375,Data!$A$4:$A$375,"&gt;"&amp;($A320-7),Data!$A$4:$A$375,"&lt;="&amp;$A320),""))</f>
        <v/>
      </c>
      <c r="BH320" s="344">
        <f>IF(AO320=0,"",IFERROR(AVERAGEIFS(Data!$BF$4:$BF$375,Data!$A$4:$A$375,"&gt;"&amp;($A320-30),Data!$A$4:$A$375,"&lt;="&amp;$A320),""))</f>
        <v/>
      </c>
      <c r="BI320" s="359">
        <f>IF($A320="","",IFERROR(AVERAGEIFS(Data!$AF$4:$AF$375,Data!$A$4:$A$375,"&gt;"&amp;($A320-7),Data!$A$4:$A$375,"&lt;="&amp;$A320,Data!$AF$4:$AF$375,"&gt;0"),""))</f>
        <v/>
      </c>
      <c r="BJ320" s="345">
        <f>IF($A320="","",F320+G320+H320+I320+J320+K320+L320+M320+N320-IF(AS320=1,0,J320))</f>
        <v/>
      </c>
      <c r="BK320" s="345">
        <f>IF($A320="","",8+AS320)</f>
        <v/>
      </c>
      <c r="BL320" s="345">
        <f>IF(ISNUMBER(BF320),BF320,NA())</f>
        <v/>
      </c>
      <c r="BM320" s="345">
        <f>IF(ISNUMBER(AF320),AF320,NA())</f>
        <v/>
      </c>
      <c r="BN320" s="345">
        <f>IF(ISNUMBER(BI320),BI320,NA())</f>
        <v/>
      </c>
      <c r="BO320" s="345">
        <f>IF(ISNUMBER(AL320),AL320,NA())</f>
        <v/>
      </c>
      <c r="BP320" s="345">
        <f>IF(ISNUMBER(AM320),AM320,NA())</f>
        <v/>
      </c>
      <c r="BQ320" s="345">
        <f>IF(ISNUMBER(AN320),AN320,NA())</f>
        <v/>
      </c>
    </row>
    <row r="321">
      <c r="A321" s="358">
        <f>IF('Aug 2027'!L7="","",'Aug 2027'!L7)</f>
        <v/>
      </c>
      <c r="B321" s="345" t="n">
        <v>11</v>
      </c>
      <c r="C321" s="345">
        <f>IF($A321="","",8)</f>
        <v/>
      </c>
      <c r="D321" s="345">
        <f>IF($A321="","",WEEKDAY($A321,2))</f>
        <v/>
      </c>
      <c r="E321" s="345">
        <f>IF($A321="","",UPPER(TRIM('Aug 2027'!L8)))</f>
        <v/>
      </c>
      <c r="F321" s="345">
        <f>IF($A321="","",IF(OR('Aug 2027'!L10=TRUE,'Aug 2027'!L10="x",'Aug 2027'!L10="X"),1,0))</f>
        <v/>
      </c>
      <c r="G321" s="345">
        <f>IF($A321="","",IF(OR('Aug 2027'!L11=TRUE,'Aug 2027'!L11="x",'Aug 2027'!L11="X"),1,0))</f>
        <v/>
      </c>
      <c r="H321" s="345">
        <f>IF($A321="","",IF(OR('Aug 2027'!L12=TRUE,'Aug 2027'!L12="x",'Aug 2027'!L12="X"),1,0))</f>
        <v/>
      </c>
      <c r="I321" s="345">
        <f>IF($A321="","",IF(OR('Aug 2027'!L13=TRUE,'Aug 2027'!L13="x",'Aug 2027'!L13="X"),1,0))</f>
        <v/>
      </c>
      <c r="J321" s="345">
        <f>IF($A321="","",IF(OR('Aug 2027'!L14=TRUE,'Aug 2027'!L14="x",'Aug 2027'!L14="X"),1,0))</f>
        <v/>
      </c>
      <c r="K321" s="345">
        <f>IF($A321="","",IF(OR('Aug 2027'!L15=TRUE,'Aug 2027'!L15="x",'Aug 2027'!L15="X"),1,0))</f>
        <v/>
      </c>
      <c r="L321" s="345">
        <f>IF($A321="","",IF(OR('Aug 2027'!L16=TRUE,'Aug 2027'!L16="x",'Aug 2027'!L16="X"),1,0))</f>
        <v/>
      </c>
      <c r="M321" s="345">
        <f>IF($A321="","",IF(OR('Aug 2027'!L17=TRUE,'Aug 2027'!L17="x",'Aug 2027'!L17="X"),1,0))</f>
        <v/>
      </c>
      <c r="N321" s="345">
        <f>IF($A321="","",IF(OR('Aug 2027'!L18=TRUE,'Aug 2027'!L18="x",'Aug 2027'!L18="X"),1,0))</f>
        <v/>
      </c>
      <c r="O321" s="345">
        <f>IF($A321="","",IF(OR('Aug 2027'!L20=TRUE,'Aug 2027'!L20="x",'Aug 2027'!L20="X"),1,0))</f>
        <v/>
      </c>
      <c r="P321" s="345">
        <f>IF($A321="","",IF(OR('Aug 2027'!L21=TRUE,'Aug 2027'!L21="x",'Aug 2027'!L21="X"),1,0))</f>
        <v/>
      </c>
      <c r="Q321" s="345">
        <f>IF($A321="","",IF(OR('Aug 2027'!L22=TRUE,'Aug 2027'!L22="x",'Aug 2027'!L22="X"),1,0))</f>
        <v/>
      </c>
      <c r="R321" s="345">
        <f>IF($A321="","",IF(OR('Aug 2027'!L23=TRUE,'Aug 2027'!L23="x",'Aug 2027'!L23="X"),1,0))</f>
        <v/>
      </c>
      <c r="S321" s="345">
        <f>IF($A321="","",IF(OR('Aug 2027'!L24=TRUE,'Aug 2027'!L24="x",'Aug 2027'!L24="X"),1,0))</f>
        <v/>
      </c>
      <c r="T321" s="345">
        <f>IF($A321="","",IF(OR('Aug 2027'!L25=TRUE,'Aug 2027'!L25="x",'Aug 2027'!L25="X"),1,0))</f>
        <v/>
      </c>
      <c r="U321" s="345">
        <f>IF($A321="","",IF(OR('Aug 2027'!L26=TRUE,'Aug 2027'!L26="x",'Aug 2027'!L26="X"),1,0))</f>
        <v/>
      </c>
      <c r="V321" s="345">
        <f>IF($A321="","",IF(OR('Aug 2027'!L27=TRUE,'Aug 2027'!L27="x",'Aug 2027'!L27="X"),1,0))</f>
        <v/>
      </c>
      <c r="W321" s="345">
        <f>IF($A321="","",IF(OR('Aug 2027'!L28=TRUE,'Aug 2027'!L28="x",'Aug 2027'!L28="X"),1,0))</f>
        <v/>
      </c>
      <c r="X321" s="345">
        <f>IF($A321="","",IF(OR('Aug 2027'!L29=TRUE,'Aug 2027'!L29="x",'Aug 2027'!L29="X"),1,0))</f>
        <v/>
      </c>
      <c r="Y321" s="345">
        <f>IF($A321="","",IF(OR('Aug 2027'!L30=TRUE,'Aug 2027'!L30="x",'Aug 2027'!L30="X"),1,0))</f>
        <v/>
      </c>
      <c r="Z321" s="345">
        <f>IF($A321="","",IF(OR('Aug 2027'!L31=TRUE,'Aug 2027'!L31="x",'Aug 2027'!L31="X"),1,0))</f>
        <v/>
      </c>
      <c r="AA321" s="345">
        <f>IF($A321="","",IF(OR('Aug 2027'!L32=TRUE,'Aug 2027'!L32="x",'Aug 2027'!L32="X"),1,0))</f>
        <v/>
      </c>
      <c r="AB321" s="345">
        <f>IF($A321="","",IF(OR('Aug 2027'!L34=TRUE,'Aug 2027'!L34="x",'Aug 2027'!L34="X"),1,0))</f>
        <v/>
      </c>
      <c r="AC321" s="345">
        <f>IF($A321="","",IF(OR('Aug 2027'!L35=TRUE,'Aug 2027'!L35="x",'Aug 2027'!L35="X"),1,0))</f>
        <v/>
      </c>
      <c r="AD321" s="345">
        <f>IF($A321="","",IF(OR('Aug 2027'!L36=TRUE,'Aug 2027'!L36="x",'Aug 2027'!L36="X"),1,0))</f>
        <v/>
      </c>
      <c r="AE321" s="345">
        <f>IF($A321="","",IF(OR('Aug 2027'!L37=TRUE,'Aug 2027'!L37="x",'Aug 2027'!L37="X"),1,0))</f>
        <v/>
      </c>
      <c r="AF321" s="345">
        <f>IF($A321="","",IF('Aug 2027'!L59="","",'Aug 2027'!L59))</f>
        <v/>
      </c>
      <c r="AG321" s="345">
        <f>IF($A321="","",IF('Aug 2027'!L60="","",'Aug 2027'!L60))</f>
        <v/>
      </c>
      <c r="AH321" s="345">
        <f>IF($A321="","",IF('Aug 2027'!L61="","",'Aug 2027'!L61))</f>
        <v/>
      </c>
      <c r="AI321" s="345">
        <f>IF($A321="","",IF('Aug 2027'!L62="","",'Aug 2027'!L62))</f>
        <v/>
      </c>
      <c r="AJ321" s="345">
        <f>IF($A321="","",IF('Aug 2027'!L63="","",'Aug 2027'!L63))</f>
        <v/>
      </c>
      <c r="AK321" s="345">
        <f>IF($A321="","",IF('Aug 2027'!L64="","",'Aug 2027'!L64))</f>
        <v/>
      </c>
      <c r="AL321" s="345">
        <f>IF($A321="","",IF('Aug 2027'!L65="","",'Aug 2027'!L65))</f>
        <v/>
      </c>
      <c r="AM321" s="345">
        <f>IF($A321="","",IF('Aug 2027'!L66="","",'Aug 2027'!L66))</f>
        <v/>
      </c>
      <c r="AN321" s="345">
        <f>IF($A321="","",IF('Aug 2027'!L67="","",'Aug 2027'!L67))</f>
        <v/>
      </c>
      <c r="AO321" s="345">
        <f>IF($A321="",0,IF(AND($A321&gt;=TrackStart,$A321&lt;=TODAY()),1,0))</f>
        <v/>
      </c>
      <c r="AP321" s="345">
        <f>IF($A321="",0,IF(SUM(F321:AE321)+COUNT(AF321:AN321)&gt;0,1,0))</f>
        <v/>
      </c>
      <c r="AQ321" s="345">
        <f>IF($A321="","",INT(($A321-TrackStart)/7)+1)</f>
        <v/>
      </c>
      <c r="AR321" s="345">
        <f>IF($A321="","",IF(AQ321&lt;=1,Steps1,IF(AQ321=2,Steps2,Steps3)))</f>
        <v/>
      </c>
      <c r="AS321" s="345">
        <f>IF($A321="",0,IF(ISNUMBER(SEARCH(TEXT(D321,"0"),WorkDays&amp;"")),1,0))</f>
        <v/>
      </c>
      <c r="AT321" s="345">
        <f>IF($A321="",0,IF(ISNUMBER(SEARCH(TEXT(D321,"0"),StrDays&amp;"")),1,0))</f>
        <v/>
      </c>
      <c r="AU321" s="345">
        <f>IF($A321="",0,IF(ISNUMBER(AK321),IF(AK321&gt;=SleepMin,1,0),N321))</f>
        <v/>
      </c>
      <c r="AV321" s="345">
        <f>IF($A321="",0,MAX(I321,O321,S321,AC321))</f>
        <v/>
      </c>
      <c r="AW321" s="345">
        <f>IF($A321="",0,IF(ISNUMBER(AH321),IF(AH321&gt;=ProtHit,1,0),0))</f>
        <v/>
      </c>
      <c r="AX321" s="345">
        <f>IF($A321="",0,IF(ISNUMBER(AI321),IF(AI321&gt;=WaterHit,1,0),0))</f>
        <v/>
      </c>
      <c r="AY321" s="345">
        <f>IF($A321="",0,IF(ISNUMBER(AG321),IF(AG321&gt;=AR321,1,0),0))</f>
        <v/>
      </c>
      <c r="AZ321" s="345">
        <f>IF($A321="",0,G321)</f>
        <v/>
      </c>
      <c r="BA321" s="345">
        <f>IF($A321="",0,J321)</f>
        <v/>
      </c>
      <c r="BB321" s="345">
        <f>IF($A321="",0,K321)</f>
        <v/>
      </c>
      <c r="BC321" s="345">
        <f>IF($A321="",0,MAX(L321,AE321))</f>
        <v/>
      </c>
      <c r="BD321" s="344">
        <f>IF($A321="","",(AU321+AV321+AW321+AX321+AY321+AZ321+BB321+BC321+IF(AS321=1,BA321,0))/(8+AS321))</f>
        <v/>
      </c>
      <c r="BE321" s="344">
        <f>IF($A321="","",(IF(ISNUMBER(AI321),IF(AI321&gt;=WaterMVD,1,0),0)+AV321+IF(ISNUMBER(AH321),IF(AH321&gt;=ProtMVD,1,0),0)+MAX(H321,AD321)+AZ321+BB321+AU321)/7)</f>
        <v/>
      </c>
      <c r="BF321" s="344">
        <f>IF(AO321=0,"",IF(E321="S","",IF(AND(AP321=0,$A321=TODAY()),"",IF(E321="M",BE321,BD321))))</f>
        <v/>
      </c>
      <c r="BG321" s="344">
        <f>IF(AO321=0,"",IFERROR(AVERAGEIFS(Data!$BF$4:$BF$375,Data!$A$4:$A$375,"&gt;"&amp;($A321-7),Data!$A$4:$A$375,"&lt;="&amp;$A321),""))</f>
        <v/>
      </c>
      <c r="BH321" s="344">
        <f>IF(AO321=0,"",IFERROR(AVERAGEIFS(Data!$BF$4:$BF$375,Data!$A$4:$A$375,"&gt;"&amp;($A321-30),Data!$A$4:$A$375,"&lt;="&amp;$A321),""))</f>
        <v/>
      </c>
      <c r="BI321" s="359">
        <f>IF($A321="","",IFERROR(AVERAGEIFS(Data!$AF$4:$AF$375,Data!$A$4:$A$375,"&gt;"&amp;($A321-7),Data!$A$4:$A$375,"&lt;="&amp;$A321,Data!$AF$4:$AF$375,"&gt;0"),""))</f>
        <v/>
      </c>
      <c r="BJ321" s="345">
        <f>IF($A321="","",F321+G321+H321+I321+J321+K321+L321+M321+N321-IF(AS321=1,0,J321))</f>
        <v/>
      </c>
      <c r="BK321" s="345">
        <f>IF($A321="","",8+AS321)</f>
        <v/>
      </c>
      <c r="BL321" s="345">
        <f>IF(ISNUMBER(BF321),BF321,NA())</f>
        <v/>
      </c>
      <c r="BM321" s="345">
        <f>IF(ISNUMBER(AF321),AF321,NA())</f>
        <v/>
      </c>
      <c r="BN321" s="345">
        <f>IF(ISNUMBER(BI321),BI321,NA())</f>
        <v/>
      </c>
      <c r="BO321" s="345">
        <f>IF(ISNUMBER(AL321),AL321,NA())</f>
        <v/>
      </c>
      <c r="BP321" s="345">
        <f>IF(ISNUMBER(AM321),AM321,NA())</f>
        <v/>
      </c>
      <c r="BQ321" s="345">
        <f>IF(ISNUMBER(AN321),AN321,NA())</f>
        <v/>
      </c>
    </row>
    <row r="322">
      <c r="A322" s="358">
        <f>IF('Aug 2027'!M7="","",'Aug 2027'!M7)</f>
        <v/>
      </c>
      <c r="B322" s="345" t="n">
        <v>11</v>
      </c>
      <c r="C322" s="345">
        <f>IF($A322="","",9)</f>
        <v/>
      </c>
      <c r="D322" s="345">
        <f>IF($A322="","",WEEKDAY($A322,2))</f>
        <v/>
      </c>
      <c r="E322" s="345">
        <f>IF($A322="","",UPPER(TRIM('Aug 2027'!M8)))</f>
        <v/>
      </c>
      <c r="F322" s="345">
        <f>IF($A322="","",IF(OR('Aug 2027'!M10=TRUE,'Aug 2027'!M10="x",'Aug 2027'!M10="X"),1,0))</f>
        <v/>
      </c>
      <c r="G322" s="345">
        <f>IF($A322="","",IF(OR('Aug 2027'!M11=TRUE,'Aug 2027'!M11="x",'Aug 2027'!M11="X"),1,0))</f>
        <v/>
      </c>
      <c r="H322" s="345">
        <f>IF($A322="","",IF(OR('Aug 2027'!M12=TRUE,'Aug 2027'!M12="x",'Aug 2027'!M12="X"),1,0))</f>
        <v/>
      </c>
      <c r="I322" s="345">
        <f>IF($A322="","",IF(OR('Aug 2027'!M13=TRUE,'Aug 2027'!M13="x",'Aug 2027'!M13="X"),1,0))</f>
        <v/>
      </c>
      <c r="J322" s="345">
        <f>IF($A322="","",IF(OR('Aug 2027'!M14=TRUE,'Aug 2027'!M14="x",'Aug 2027'!M14="X"),1,0))</f>
        <v/>
      </c>
      <c r="K322" s="345">
        <f>IF($A322="","",IF(OR('Aug 2027'!M15=TRUE,'Aug 2027'!M15="x",'Aug 2027'!M15="X"),1,0))</f>
        <v/>
      </c>
      <c r="L322" s="345">
        <f>IF($A322="","",IF(OR('Aug 2027'!M16=TRUE,'Aug 2027'!M16="x",'Aug 2027'!M16="X"),1,0))</f>
        <v/>
      </c>
      <c r="M322" s="345">
        <f>IF($A322="","",IF(OR('Aug 2027'!M17=TRUE,'Aug 2027'!M17="x",'Aug 2027'!M17="X"),1,0))</f>
        <v/>
      </c>
      <c r="N322" s="345">
        <f>IF($A322="","",IF(OR('Aug 2027'!M18=TRUE,'Aug 2027'!M18="x",'Aug 2027'!M18="X"),1,0))</f>
        <v/>
      </c>
      <c r="O322" s="345">
        <f>IF($A322="","",IF(OR('Aug 2027'!M20=TRUE,'Aug 2027'!M20="x",'Aug 2027'!M20="X"),1,0))</f>
        <v/>
      </c>
      <c r="P322" s="345">
        <f>IF($A322="","",IF(OR('Aug 2027'!M21=TRUE,'Aug 2027'!M21="x",'Aug 2027'!M21="X"),1,0))</f>
        <v/>
      </c>
      <c r="Q322" s="345">
        <f>IF($A322="","",IF(OR('Aug 2027'!M22=TRUE,'Aug 2027'!M22="x",'Aug 2027'!M22="X"),1,0))</f>
        <v/>
      </c>
      <c r="R322" s="345">
        <f>IF($A322="","",IF(OR('Aug 2027'!M23=TRUE,'Aug 2027'!M23="x",'Aug 2027'!M23="X"),1,0))</f>
        <v/>
      </c>
      <c r="S322" s="345">
        <f>IF($A322="","",IF(OR('Aug 2027'!M24=TRUE,'Aug 2027'!M24="x",'Aug 2027'!M24="X"),1,0))</f>
        <v/>
      </c>
      <c r="T322" s="345">
        <f>IF($A322="","",IF(OR('Aug 2027'!M25=TRUE,'Aug 2027'!M25="x",'Aug 2027'!M25="X"),1,0))</f>
        <v/>
      </c>
      <c r="U322" s="345">
        <f>IF($A322="","",IF(OR('Aug 2027'!M26=TRUE,'Aug 2027'!M26="x",'Aug 2027'!M26="X"),1,0))</f>
        <v/>
      </c>
      <c r="V322" s="345">
        <f>IF($A322="","",IF(OR('Aug 2027'!M27=TRUE,'Aug 2027'!M27="x",'Aug 2027'!M27="X"),1,0))</f>
        <v/>
      </c>
      <c r="W322" s="345">
        <f>IF($A322="","",IF(OR('Aug 2027'!M28=TRUE,'Aug 2027'!M28="x",'Aug 2027'!M28="X"),1,0))</f>
        <v/>
      </c>
      <c r="X322" s="345">
        <f>IF($A322="","",IF(OR('Aug 2027'!M29=TRUE,'Aug 2027'!M29="x",'Aug 2027'!M29="X"),1,0))</f>
        <v/>
      </c>
      <c r="Y322" s="345">
        <f>IF($A322="","",IF(OR('Aug 2027'!M30=TRUE,'Aug 2027'!M30="x",'Aug 2027'!M30="X"),1,0))</f>
        <v/>
      </c>
      <c r="Z322" s="345">
        <f>IF($A322="","",IF(OR('Aug 2027'!M31=TRUE,'Aug 2027'!M31="x",'Aug 2027'!M31="X"),1,0))</f>
        <v/>
      </c>
      <c r="AA322" s="345">
        <f>IF($A322="","",IF(OR('Aug 2027'!M32=TRUE,'Aug 2027'!M32="x",'Aug 2027'!M32="X"),1,0))</f>
        <v/>
      </c>
      <c r="AB322" s="345">
        <f>IF($A322="","",IF(OR('Aug 2027'!M34=TRUE,'Aug 2027'!M34="x",'Aug 2027'!M34="X"),1,0))</f>
        <v/>
      </c>
      <c r="AC322" s="345">
        <f>IF($A322="","",IF(OR('Aug 2027'!M35=TRUE,'Aug 2027'!M35="x",'Aug 2027'!M35="X"),1,0))</f>
        <v/>
      </c>
      <c r="AD322" s="345">
        <f>IF($A322="","",IF(OR('Aug 2027'!M36=TRUE,'Aug 2027'!M36="x",'Aug 2027'!M36="X"),1,0))</f>
        <v/>
      </c>
      <c r="AE322" s="345">
        <f>IF($A322="","",IF(OR('Aug 2027'!M37=TRUE,'Aug 2027'!M37="x",'Aug 2027'!M37="X"),1,0))</f>
        <v/>
      </c>
      <c r="AF322" s="345">
        <f>IF($A322="","",IF('Aug 2027'!M59="","",'Aug 2027'!M59))</f>
        <v/>
      </c>
      <c r="AG322" s="345">
        <f>IF($A322="","",IF('Aug 2027'!M60="","",'Aug 2027'!M60))</f>
        <v/>
      </c>
      <c r="AH322" s="345">
        <f>IF($A322="","",IF('Aug 2027'!M61="","",'Aug 2027'!M61))</f>
        <v/>
      </c>
      <c r="AI322" s="345">
        <f>IF($A322="","",IF('Aug 2027'!M62="","",'Aug 2027'!M62))</f>
        <v/>
      </c>
      <c r="AJ322" s="345">
        <f>IF($A322="","",IF('Aug 2027'!M63="","",'Aug 2027'!M63))</f>
        <v/>
      </c>
      <c r="AK322" s="345">
        <f>IF($A322="","",IF('Aug 2027'!M64="","",'Aug 2027'!M64))</f>
        <v/>
      </c>
      <c r="AL322" s="345">
        <f>IF($A322="","",IF('Aug 2027'!M65="","",'Aug 2027'!M65))</f>
        <v/>
      </c>
      <c r="AM322" s="345">
        <f>IF($A322="","",IF('Aug 2027'!M66="","",'Aug 2027'!M66))</f>
        <v/>
      </c>
      <c r="AN322" s="345">
        <f>IF($A322="","",IF('Aug 2027'!M67="","",'Aug 2027'!M67))</f>
        <v/>
      </c>
      <c r="AO322" s="345">
        <f>IF($A322="",0,IF(AND($A322&gt;=TrackStart,$A322&lt;=TODAY()),1,0))</f>
        <v/>
      </c>
      <c r="AP322" s="345">
        <f>IF($A322="",0,IF(SUM(F322:AE322)+COUNT(AF322:AN322)&gt;0,1,0))</f>
        <v/>
      </c>
      <c r="AQ322" s="345">
        <f>IF($A322="","",INT(($A322-TrackStart)/7)+1)</f>
        <v/>
      </c>
      <c r="AR322" s="345">
        <f>IF($A322="","",IF(AQ322&lt;=1,Steps1,IF(AQ322=2,Steps2,Steps3)))</f>
        <v/>
      </c>
      <c r="AS322" s="345">
        <f>IF($A322="",0,IF(ISNUMBER(SEARCH(TEXT(D322,"0"),WorkDays&amp;"")),1,0))</f>
        <v/>
      </c>
      <c r="AT322" s="345">
        <f>IF($A322="",0,IF(ISNUMBER(SEARCH(TEXT(D322,"0"),StrDays&amp;"")),1,0))</f>
        <v/>
      </c>
      <c r="AU322" s="345">
        <f>IF($A322="",0,IF(ISNUMBER(AK322),IF(AK322&gt;=SleepMin,1,0),N322))</f>
        <v/>
      </c>
      <c r="AV322" s="345">
        <f>IF($A322="",0,MAX(I322,O322,S322,AC322))</f>
        <v/>
      </c>
      <c r="AW322" s="345">
        <f>IF($A322="",0,IF(ISNUMBER(AH322),IF(AH322&gt;=ProtHit,1,0),0))</f>
        <v/>
      </c>
      <c r="AX322" s="345">
        <f>IF($A322="",0,IF(ISNUMBER(AI322),IF(AI322&gt;=WaterHit,1,0),0))</f>
        <v/>
      </c>
      <c r="AY322" s="345">
        <f>IF($A322="",0,IF(ISNUMBER(AG322),IF(AG322&gt;=AR322,1,0),0))</f>
        <v/>
      </c>
      <c r="AZ322" s="345">
        <f>IF($A322="",0,G322)</f>
        <v/>
      </c>
      <c r="BA322" s="345">
        <f>IF($A322="",0,J322)</f>
        <v/>
      </c>
      <c r="BB322" s="345">
        <f>IF($A322="",0,K322)</f>
        <v/>
      </c>
      <c r="BC322" s="345">
        <f>IF($A322="",0,MAX(L322,AE322))</f>
        <v/>
      </c>
      <c r="BD322" s="344">
        <f>IF($A322="","",(AU322+AV322+AW322+AX322+AY322+AZ322+BB322+BC322+IF(AS322=1,BA322,0))/(8+AS322))</f>
        <v/>
      </c>
      <c r="BE322" s="344">
        <f>IF($A322="","",(IF(ISNUMBER(AI322),IF(AI322&gt;=WaterMVD,1,0),0)+AV322+IF(ISNUMBER(AH322),IF(AH322&gt;=ProtMVD,1,0),0)+MAX(H322,AD322)+AZ322+BB322+AU322)/7)</f>
        <v/>
      </c>
      <c r="BF322" s="344">
        <f>IF(AO322=0,"",IF(E322="S","",IF(AND(AP322=0,$A322=TODAY()),"",IF(E322="M",BE322,BD322))))</f>
        <v/>
      </c>
      <c r="BG322" s="344">
        <f>IF(AO322=0,"",IFERROR(AVERAGEIFS(Data!$BF$4:$BF$375,Data!$A$4:$A$375,"&gt;"&amp;($A322-7),Data!$A$4:$A$375,"&lt;="&amp;$A322),""))</f>
        <v/>
      </c>
      <c r="BH322" s="344">
        <f>IF(AO322=0,"",IFERROR(AVERAGEIFS(Data!$BF$4:$BF$375,Data!$A$4:$A$375,"&gt;"&amp;($A322-30),Data!$A$4:$A$375,"&lt;="&amp;$A322),""))</f>
        <v/>
      </c>
      <c r="BI322" s="359">
        <f>IF($A322="","",IFERROR(AVERAGEIFS(Data!$AF$4:$AF$375,Data!$A$4:$A$375,"&gt;"&amp;($A322-7),Data!$A$4:$A$375,"&lt;="&amp;$A322,Data!$AF$4:$AF$375,"&gt;0"),""))</f>
        <v/>
      </c>
      <c r="BJ322" s="345">
        <f>IF($A322="","",F322+G322+H322+I322+J322+K322+L322+M322+N322-IF(AS322=1,0,J322))</f>
        <v/>
      </c>
      <c r="BK322" s="345">
        <f>IF($A322="","",8+AS322)</f>
        <v/>
      </c>
      <c r="BL322" s="345">
        <f>IF(ISNUMBER(BF322),BF322,NA())</f>
        <v/>
      </c>
      <c r="BM322" s="345">
        <f>IF(ISNUMBER(AF322),AF322,NA())</f>
        <v/>
      </c>
      <c r="BN322" s="345">
        <f>IF(ISNUMBER(BI322),BI322,NA())</f>
        <v/>
      </c>
      <c r="BO322" s="345">
        <f>IF(ISNUMBER(AL322),AL322,NA())</f>
        <v/>
      </c>
      <c r="BP322" s="345">
        <f>IF(ISNUMBER(AM322),AM322,NA())</f>
        <v/>
      </c>
      <c r="BQ322" s="345">
        <f>IF(ISNUMBER(AN322),AN322,NA())</f>
        <v/>
      </c>
    </row>
    <row r="323">
      <c r="A323" s="358">
        <f>IF('Aug 2027'!N7="","",'Aug 2027'!N7)</f>
        <v/>
      </c>
      <c r="B323" s="345" t="n">
        <v>11</v>
      </c>
      <c r="C323" s="345">
        <f>IF($A323="","",10)</f>
        <v/>
      </c>
      <c r="D323" s="345">
        <f>IF($A323="","",WEEKDAY($A323,2))</f>
        <v/>
      </c>
      <c r="E323" s="345">
        <f>IF($A323="","",UPPER(TRIM('Aug 2027'!N8)))</f>
        <v/>
      </c>
      <c r="F323" s="345">
        <f>IF($A323="","",IF(OR('Aug 2027'!N10=TRUE,'Aug 2027'!N10="x",'Aug 2027'!N10="X"),1,0))</f>
        <v/>
      </c>
      <c r="G323" s="345">
        <f>IF($A323="","",IF(OR('Aug 2027'!N11=TRUE,'Aug 2027'!N11="x",'Aug 2027'!N11="X"),1,0))</f>
        <v/>
      </c>
      <c r="H323" s="345">
        <f>IF($A323="","",IF(OR('Aug 2027'!N12=TRUE,'Aug 2027'!N12="x",'Aug 2027'!N12="X"),1,0))</f>
        <v/>
      </c>
      <c r="I323" s="345">
        <f>IF($A323="","",IF(OR('Aug 2027'!N13=TRUE,'Aug 2027'!N13="x",'Aug 2027'!N13="X"),1,0))</f>
        <v/>
      </c>
      <c r="J323" s="345">
        <f>IF($A323="","",IF(OR('Aug 2027'!N14=TRUE,'Aug 2027'!N14="x",'Aug 2027'!N14="X"),1,0))</f>
        <v/>
      </c>
      <c r="K323" s="345">
        <f>IF($A323="","",IF(OR('Aug 2027'!N15=TRUE,'Aug 2027'!N15="x",'Aug 2027'!N15="X"),1,0))</f>
        <v/>
      </c>
      <c r="L323" s="345">
        <f>IF($A323="","",IF(OR('Aug 2027'!N16=TRUE,'Aug 2027'!N16="x",'Aug 2027'!N16="X"),1,0))</f>
        <v/>
      </c>
      <c r="M323" s="345">
        <f>IF($A323="","",IF(OR('Aug 2027'!N17=TRUE,'Aug 2027'!N17="x",'Aug 2027'!N17="X"),1,0))</f>
        <v/>
      </c>
      <c r="N323" s="345">
        <f>IF($A323="","",IF(OR('Aug 2027'!N18=TRUE,'Aug 2027'!N18="x",'Aug 2027'!N18="X"),1,0))</f>
        <v/>
      </c>
      <c r="O323" s="345">
        <f>IF($A323="","",IF(OR('Aug 2027'!N20=TRUE,'Aug 2027'!N20="x",'Aug 2027'!N20="X"),1,0))</f>
        <v/>
      </c>
      <c r="P323" s="345">
        <f>IF($A323="","",IF(OR('Aug 2027'!N21=TRUE,'Aug 2027'!N21="x",'Aug 2027'!N21="X"),1,0))</f>
        <v/>
      </c>
      <c r="Q323" s="345">
        <f>IF($A323="","",IF(OR('Aug 2027'!N22=TRUE,'Aug 2027'!N22="x",'Aug 2027'!N22="X"),1,0))</f>
        <v/>
      </c>
      <c r="R323" s="345">
        <f>IF($A323="","",IF(OR('Aug 2027'!N23=TRUE,'Aug 2027'!N23="x",'Aug 2027'!N23="X"),1,0))</f>
        <v/>
      </c>
      <c r="S323" s="345">
        <f>IF($A323="","",IF(OR('Aug 2027'!N24=TRUE,'Aug 2027'!N24="x",'Aug 2027'!N24="X"),1,0))</f>
        <v/>
      </c>
      <c r="T323" s="345">
        <f>IF($A323="","",IF(OR('Aug 2027'!N25=TRUE,'Aug 2027'!N25="x",'Aug 2027'!N25="X"),1,0))</f>
        <v/>
      </c>
      <c r="U323" s="345">
        <f>IF($A323="","",IF(OR('Aug 2027'!N26=TRUE,'Aug 2027'!N26="x",'Aug 2027'!N26="X"),1,0))</f>
        <v/>
      </c>
      <c r="V323" s="345">
        <f>IF($A323="","",IF(OR('Aug 2027'!N27=TRUE,'Aug 2027'!N27="x",'Aug 2027'!N27="X"),1,0))</f>
        <v/>
      </c>
      <c r="W323" s="345">
        <f>IF($A323="","",IF(OR('Aug 2027'!N28=TRUE,'Aug 2027'!N28="x",'Aug 2027'!N28="X"),1,0))</f>
        <v/>
      </c>
      <c r="X323" s="345">
        <f>IF($A323="","",IF(OR('Aug 2027'!N29=TRUE,'Aug 2027'!N29="x",'Aug 2027'!N29="X"),1,0))</f>
        <v/>
      </c>
      <c r="Y323" s="345">
        <f>IF($A323="","",IF(OR('Aug 2027'!N30=TRUE,'Aug 2027'!N30="x",'Aug 2027'!N30="X"),1,0))</f>
        <v/>
      </c>
      <c r="Z323" s="345">
        <f>IF($A323="","",IF(OR('Aug 2027'!N31=TRUE,'Aug 2027'!N31="x",'Aug 2027'!N31="X"),1,0))</f>
        <v/>
      </c>
      <c r="AA323" s="345">
        <f>IF($A323="","",IF(OR('Aug 2027'!N32=TRUE,'Aug 2027'!N32="x",'Aug 2027'!N32="X"),1,0))</f>
        <v/>
      </c>
      <c r="AB323" s="345">
        <f>IF($A323="","",IF(OR('Aug 2027'!N34=TRUE,'Aug 2027'!N34="x",'Aug 2027'!N34="X"),1,0))</f>
        <v/>
      </c>
      <c r="AC323" s="345">
        <f>IF($A323="","",IF(OR('Aug 2027'!N35=TRUE,'Aug 2027'!N35="x",'Aug 2027'!N35="X"),1,0))</f>
        <v/>
      </c>
      <c r="AD323" s="345">
        <f>IF($A323="","",IF(OR('Aug 2027'!N36=TRUE,'Aug 2027'!N36="x",'Aug 2027'!N36="X"),1,0))</f>
        <v/>
      </c>
      <c r="AE323" s="345">
        <f>IF($A323="","",IF(OR('Aug 2027'!N37=TRUE,'Aug 2027'!N37="x",'Aug 2027'!N37="X"),1,0))</f>
        <v/>
      </c>
      <c r="AF323" s="345">
        <f>IF($A323="","",IF('Aug 2027'!N59="","",'Aug 2027'!N59))</f>
        <v/>
      </c>
      <c r="AG323" s="345">
        <f>IF($A323="","",IF('Aug 2027'!N60="","",'Aug 2027'!N60))</f>
        <v/>
      </c>
      <c r="AH323" s="345">
        <f>IF($A323="","",IF('Aug 2027'!N61="","",'Aug 2027'!N61))</f>
        <v/>
      </c>
      <c r="AI323" s="345">
        <f>IF($A323="","",IF('Aug 2027'!N62="","",'Aug 2027'!N62))</f>
        <v/>
      </c>
      <c r="AJ323" s="345">
        <f>IF($A323="","",IF('Aug 2027'!N63="","",'Aug 2027'!N63))</f>
        <v/>
      </c>
      <c r="AK323" s="345">
        <f>IF($A323="","",IF('Aug 2027'!N64="","",'Aug 2027'!N64))</f>
        <v/>
      </c>
      <c r="AL323" s="345">
        <f>IF($A323="","",IF('Aug 2027'!N65="","",'Aug 2027'!N65))</f>
        <v/>
      </c>
      <c r="AM323" s="345">
        <f>IF($A323="","",IF('Aug 2027'!N66="","",'Aug 2027'!N66))</f>
        <v/>
      </c>
      <c r="AN323" s="345">
        <f>IF($A323="","",IF('Aug 2027'!N67="","",'Aug 2027'!N67))</f>
        <v/>
      </c>
      <c r="AO323" s="345">
        <f>IF($A323="",0,IF(AND($A323&gt;=TrackStart,$A323&lt;=TODAY()),1,0))</f>
        <v/>
      </c>
      <c r="AP323" s="345">
        <f>IF($A323="",0,IF(SUM(F323:AE323)+COUNT(AF323:AN323)&gt;0,1,0))</f>
        <v/>
      </c>
      <c r="AQ323" s="345">
        <f>IF($A323="","",INT(($A323-TrackStart)/7)+1)</f>
        <v/>
      </c>
      <c r="AR323" s="345">
        <f>IF($A323="","",IF(AQ323&lt;=1,Steps1,IF(AQ323=2,Steps2,Steps3)))</f>
        <v/>
      </c>
      <c r="AS323" s="345">
        <f>IF($A323="",0,IF(ISNUMBER(SEARCH(TEXT(D323,"0"),WorkDays&amp;"")),1,0))</f>
        <v/>
      </c>
      <c r="AT323" s="345">
        <f>IF($A323="",0,IF(ISNUMBER(SEARCH(TEXT(D323,"0"),StrDays&amp;"")),1,0))</f>
        <v/>
      </c>
      <c r="AU323" s="345">
        <f>IF($A323="",0,IF(ISNUMBER(AK323),IF(AK323&gt;=SleepMin,1,0),N323))</f>
        <v/>
      </c>
      <c r="AV323" s="345">
        <f>IF($A323="",0,MAX(I323,O323,S323,AC323))</f>
        <v/>
      </c>
      <c r="AW323" s="345">
        <f>IF($A323="",0,IF(ISNUMBER(AH323),IF(AH323&gt;=ProtHit,1,0),0))</f>
        <v/>
      </c>
      <c r="AX323" s="345">
        <f>IF($A323="",0,IF(ISNUMBER(AI323),IF(AI323&gt;=WaterHit,1,0),0))</f>
        <v/>
      </c>
      <c r="AY323" s="345">
        <f>IF($A323="",0,IF(ISNUMBER(AG323),IF(AG323&gt;=AR323,1,0),0))</f>
        <v/>
      </c>
      <c r="AZ323" s="345">
        <f>IF($A323="",0,G323)</f>
        <v/>
      </c>
      <c r="BA323" s="345">
        <f>IF($A323="",0,J323)</f>
        <v/>
      </c>
      <c r="BB323" s="345">
        <f>IF($A323="",0,K323)</f>
        <v/>
      </c>
      <c r="BC323" s="345">
        <f>IF($A323="",0,MAX(L323,AE323))</f>
        <v/>
      </c>
      <c r="BD323" s="344">
        <f>IF($A323="","",(AU323+AV323+AW323+AX323+AY323+AZ323+BB323+BC323+IF(AS323=1,BA323,0))/(8+AS323))</f>
        <v/>
      </c>
      <c r="BE323" s="344">
        <f>IF($A323="","",(IF(ISNUMBER(AI323),IF(AI323&gt;=WaterMVD,1,0),0)+AV323+IF(ISNUMBER(AH323),IF(AH323&gt;=ProtMVD,1,0),0)+MAX(H323,AD323)+AZ323+BB323+AU323)/7)</f>
        <v/>
      </c>
      <c r="BF323" s="344">
        <f>IF(AO323=0,"",IF(E323="S","",IF(AND(AP323=0,$A323=TODAY()),"",IF(E323="M",BE323,BD323))))</f>
        <v/>
      </c>
      <c r="BG323" s="344">
        <f>IF(AO323=0,"",IFERROR(AVERAGEIFS(Data!$BF$4:$BF$375,Data!$A$4:$A$375,"&gt;"&amp;($A323-7),Data!$A$4:$A$375,"&lt;="&amp;$A323),""))</f>
        <v/>
      </c>
      <c r="BH323" s="344">
        <f>IF(AO323=0,"",IFERROR(AVERAGEIFS(Data!$BF$4:$BF$375,Data!$A$4:$A$375,"&gt;"&amp;($A323-30),Data!$A$4:$A$375,"&lt;="&amp;$A323),""))</f>
        <v/>
      </c>
      <c r="BI323" s="359">
        <f>IF($A323="","",IFERROR(AVERAGEIFS(Data!$AF$4:$AF$375,Data!$A$4:$A$375,"&gt;"&amp;($A323-7),Data!$A$4:$A$375,"&lt;="&amp;$A323,Data!$AF$4:$AF$375,"&gt;0"),""))</f>
        <v/>
      </c>
      <c r="BJ323" s="345">
        <f>IF($A323="","",F323+G323+H323+I323+J323+K323+L323+M323+N323-IF(AS323=1,0,J323))</f>
        <v/>
      </c>
      <c r="BK323" s="345">
        <f>IF($A323="","",8+AS323)</f>
        <v/>
      </c>
      <c r="BL323" s="345">
        <f>IF(ISNUMBER(BF323),BF323,NA())</f>
        <v/>
      </c>
      <c r="BM323" s="345">
        <f>IF(ISNUMBER(AF323),AF323,NA())</f>
        <v/>
      </c>
      <c r="BN323" s="345">
        <f>IF(ISNUMBER(BI323),BI323,NA())</f>
        <v/>
      </c>
      <c r="BO323" s="345">
        <f>IF(ISNUMBER(AL323),AL323,NA())</f>
        <v/>
      </c>
      <c r="BP323" s="345">
        <f>IF(ISNUMBER(AM323),AM323,NA())</f>
        <v/>
      </c>
      <c r="BQ323" s="345">
        <f>IF(ISNUMBER(AN323),AN323,NA())</f>
        <v/>
      </c>
    </row>
    <row r="324">
      <c r="A324" s="358">
        <f>IF('Aug 2027'!O7="","",'Aug 2027'!O7)</f>
        <v/>
      </c>
      <c r="B324" s="345" t="n">
        <v>11</v>
      </c>
      <c r="C324" s="345">
        <f>IF($A324="","",11)</f>
        <v/>
      </c>
      <c r="D324" s="345">
        <f>IF($A324="","",WEEKDAY($A324,2))</f>
        <v/>
      </c>
      <c r="E324" s="345">
        <f>IF($A324="","",UPPER(TRIM('Aug 2027'!O8)))</f>
        <v/>
      </c>
      <c r="F324" s="345">
        <f>IF($A324="","",IF(OR('Aug 2027'!O10=TRUE,'Aug 2027'!O10="x",'Aug 2027'!O10="X"),1,0))</f>
        <v/>
      </c>
      <c r="G324" s="345">
        <f>IF($A324="","",IF(OR('Aug 2027'!O11=TRUE,'Aug 2027'!O11="x",'Aug 2027'!O11="X"),1,0))</f>
        <v/>
      </c>
      <c r="H324" s="345">
        <f>IF($A324="","",IF(OR('Aug 2027'!O12=TRUE,'Aug 2027'!O12="x",'Aug 2027'!O12="X"),1,0))</f>
        <v/>
      </c>
      <c r="I324" s="345">
        <f>IF($A324="","",IF(OR('Aug 2027'!O13=TRUE,'Aug 2027'!O13="x",'Aug 2027'!O13="X"),1,0))</f>
        <v/>
      </c>
      <c r="J324" s="345">
        <f>IF($A324="","",IF(OR('Aug 2027'!O14=TRUE,'Aug 2027'!O14="x",'Aug 2027'!O14="X"),1,0))</f>
        <v/>
      </c>
      <c r="K324" s="345">
        <f>IF($A324="","",IF(OR('Aug 2027'!O15=TRUE,'Aug 2027'!O15="x",'Aug 2027'!O15="X"),1,0))</f>
        <v/>
      </c>
      <c r="L324" s="345">
        <f>IF($A324="","",IF(OR('Aug 2027'!O16=TRUE,'Aug 2027'!O16="x",'Aug 2027'!O16="X"),1,0))</f>
        <v/>
      </c>
      <c r="M324" s="345">
        <f>IF($A324="","",IF(OR('Aug 2027'!O17=TRUE,'Aug 2027'!O17="x",'Aug 2027'!O17="X"),1,0))</f>
        <v/>
      </c>
      <c r="N324" s="345">
        <f>IF($A324="","",IF(OR('Aug 2027'!O18=TRUE,'Aug 2027'!O18="x",'Aug 2027'!O18="X"),1,0))</f>
        <v/>
      </c>
      <c r="O324" s="345">
        <f>IF($A324="","",IF(OR('Aug 2027'!O20=TRUE,'Aug 2027'!O20="x",'Aug 2027'!O20="X"),1,0))</f>
        <v/>
      </c>
      <c r="P324" s="345">
        <f>IF($A324="","",IF(OR('Aug 2027'!O21=TRUE,'Aug 2027'!O21="x",'Aug 2027'!O21="X"),1,0))</f>
        <v/>
      </c>
      <c r="Q324" s="345">
        <f>IF($A324="","",IF(OR('Aug 2027'!O22=TRUE,'Aug 2027'!O22="x",'Aug 2027'!O22="X"),1,0))</f>
        <v/>
      </c>
      <c r="R324" s="345">
        <f>IF($A324="","",IF(OR('Aug 2027'!O23=TRUE,'Aug 2027'!O23="x",'Aug 2027'!O23="X"),1,0))</f>
        <v/>
      </c>
      <c r="S324" s="345">
        <f>IF($A324="","",IF(OR('Aug 2027'!O24=TRUE,'Aug 2027'!O24="x",'Aug 2027'!O24="X"),1,0))</f>
        <v/>
      </c>
      <c r="T324" s="345">
        <f>IF($A324="","",IF(OR('Aug 2027'!O25=TRUE,'Aug 2027'!O25="x",'Aug 2027'!O25="X"),1,0))</f>
        <v/>
      </c>
      <c r="U324" s="345">
        <f>IF($A324="","",IF(OR('Aug 2027'!O26=TRUE,'Aug 2027'!O26="x",'Aug 2027'!O26="X"),1,0))</f>
        <v/>
      </c>
      <c r="V324" s="345">
        <f>IF($A324="","",IF(OR('Aug 2027'!O27=TRUE,'Aug 2027'!O27="x",'Aug 2027'!O27="X"),1,0))</f>
        <v/>
      </c>
      <c r="W324" s="345">
        <f>IF($A324="","",IF(OR('Aug 2027'!O28=TRUE,'Aug 2027'!O28="x",'Aug 2027'!O28="X"),1,0))</f>
        <v/>
      </c>
      <c r="X324" s="345">
        <f>IF($A324="","",IF(OR('Aug 2027'!O29=TRUE,'Aug 2027'!O29="x",'Aug 2027'!O29="X"),1,0))</f>
        <v/>
      </c>
      <c r="Y324" s="345">
        <f>IF($A324="","",IF(OR('Aug 2027'!O30=TRUE,'Aug 2027'!O30="x",'Aug 2027'!O30="X"),1,0))</f>
        <v/>
      </c>
      <c r="Z324" s="345">
        <f>IF($A324="","",IF(OR('Aug 2027'!O31=TRUE,'Aug 2027'!O31="x",'Aug 2027'!O31="X"),1,0))</f>
        <v/>
      </c>
      <c r="AA324" s="345">
        <f>IF($A324="","",IF(OR('Aug 2027'!O32=TRUE,'Aug 2027'!O32="x",'Aug 2027'!O32="X"),1,0))</f>
        <v/>
      </c>
      <c r="AB324" s="345">
        <f>IF($A324="","",IF(OR('Aug 2027'!O34=TRUE,'Aug 2027'!O34="x",'Aug 2027'!O34="X"),1,0))</f>
        <v/>
      </c>
      <c r="AC324" s="345">
        <f>IF($A324="","",IF(OR('Aug 2027'!O35=TRUE,'Aug 2027'!O35="x",'Aug 2027'!O35="X"),1,0))</f>
        <v/>
      </c>
      <c r="AD324" s="345">
        <f>IF($A324="","",IF(OR('Aug 2027'!O36=TRUE,'Aug 2027'!O36="x",'Aug 2027'!O36="X"),1,0))</f>
        <v/>
      </c>
      <c r="AE324" s="345">
        <f>IF($A324="","",IF(OR('Aug 2027'!O37=TRUE,'Aug 2027'!O37="x",'Aug 2027'!O37="X"),1,0))</f>
        <v/>
      </c>
      <c r="AF324" s="345">
        <f>IF($A324="","",IF('Aug 2027'!O59="","",'Aug 2027'!O59))</f>
        <v/>
      </c>
      <c r="AG324" s="345">
        <f>IF($A324="","",IF('Aug 2027'!O60="","",'Aug 2027'!O60))</f>
        <v/>
      </c>
      <c r="AH324" s="345">
        <f>IF($A324="","",IF('Aug 2027'!O61="","",'Aug 2027'!O61))</f>
        <v/>
      </c>
      <c r="AI324" s="345">
        <f>IF($A324="","",IF('Aug 2027'!O62="","",'Aug 2027'!O62))</f>
        <v/>
      </c>
      <c r="AJ324" s="345">
        <f>IF($A324="","",IF('Aug 2027'!O63="","",'Aug 2027'!O63))</f>
        <v/>
      </c>
      <c r="AK324" s="345">
        <f>IF($A324="","",IF('Aug 2027'!O64="","",'Aug 2027'!O64))</f>
        <v/>
      </c>
      <c r="AL324" s="345">
        <f>IF($A324="","",IF('Aug 2027'!O65="","",'Aug 2027'!O65))</f>
        <v/>
      </c>
      <c r="AM324" s="345">
        <f>IF($A324="","",IF('Aug 2027'!O66="","",'Aug 2027'!O66))</f>
        <v/>
      </c>
      <c r="AN324" s="345">
        <f>IF($A324="","",IF('Aug 2027'!O67="","",'Aug 2027'!O67))</f>
        <v/>
      </c>
      <c r="AO324" s="345">
        <f>IF($A324="",0,IF(AND($A324&gt;=TrackStart,$A324&lt;=TODAY()),1,0))</f>
        <v/>
      </c>
      <c r="AP324" s="345">
        <f>IF($A324="",0,IF(SUM(F324:AE324)+COUNT(AF324:AN324)&gt;0,1,0))</f>
        <v/>
      </c>
      <c r="AQ324" s="345">
        <f>IF($A324="","",INT(($A324-TrackStart)/7)+1)</f>
        <v/>
      </c>
      <c r="AR324" s="345">
        <f>IF($A324="","",IF(AQ324&lt;=1,Steps1,IF(AQ324=2,Steps2,Steps3)))</f>
        <v/>
      </c>
      <c r="AS324" s="345">
        <f>IF($A324="",0,IF(ISNUMBER(SEARCH(TEXT(D324,"0"),WorkDays&amp;"")),1,0))</f>
        <v/>
      </c>
      <c r="AT324" s="345">
        <f>IF($A324="",0,IF(ISNUMBER(SEARCH(TEXT(D324,"0"),StrDays&amp;"")),1,0))</f>
        <v/>
      </c>
      <c r="AU324" s="345">
        <f>IF($A324="",0,IF(ISNUMBER(AK324),IF(AK324&gt;=SleepMin,1,0),N324))</f>
        <v/>
      </c>
      <c r="AV324" s="345">
        <f>IF($A324="",0,MAX(I324,O324,S324,AC324))</f>
        <v/>
      </c>
      <c r="AW324" s="345">
        <f>IF($A324="",0,IF(ISNUMBER(AH324),IF(AH324&gt;=ProtHit,1,0),0))</f>
        <v/>
      </c>
      <c r="AX324" s="345">
        <f>IF($A324="",0,IF(ISNUMBER(AI324),IF(AI324&gt;=WaterHit,1,0),0))</f>
        <v/>
      </c>
      <c r="AY324" s="345">
        <f>IF($A324="",0,IF(ISNUMBER(AG324),IF(AG324&gt;=AR324,1,0),0))</f>
        <v/>
      </c>
      <c r="AZ324" s="345">
        <f>IF($A324="",0,G324)</f>
        <v/>
      </c>
      <c r="BA324" s="345">
        <f>IF($A324="",0,J324)</f>
        <v/>
      </c>
      <c r="BB324" s="345">
        <f>IF($A324="",0,K324)</f>
        <v/>
      </c>
      <c r="BC324" s="345">
        <f>IF($A324="",0,MAX(L324,AE324))</f>
        <v/>
      </c>
      <c r="BD324" s="344">
        <f>IF($A324="","",(AU324+AV324+AW324+AX324+AY324+AZ324+BB324+BC324+IF(AS324=1,BA324,0))/(8+AS324))</f>
        <v/>
      </c>
      <c r="BE324" s="344">
        <f>IF($A324="","",(IF(ISNUMBER(AI324),IF(AI324&gt;=WaterMVD,1,0),0)+AV324+IF(ISNUMBER(AH324),IF(AH324&gt;=ProtMVD,1,0),0)+MAX(H324,AD324)+AZ324+BB324+AU324)/7)</f>
        <v/>
      </c>
      <c r="BF324" s="344">
        <f>IF(AO324=0,"",IF(E324="S","",IF(AND(AP324=0,$A324=TODAY()),"",IF(E324="M",BE324,BD324))))</f>
        <v/>
      </c>
      <c r="BG324" s="344">
        <f>IF(AO324=0,"",IFERROR(AVERAGEIFS(Data!$BF$4:$BF$375,Data!$A$4:$A$375,"&gt;"&amp;($A324-7),Data!$A$4:$A$375,"&lt;="&amp;$A324),""))</f>
        <v/>
      </c>
      <c r="BH324" s="344">
        <f>IF(AO324=0,"",IFERROR(AVERAGEIFS(Data!$BF$4:$BF$375,Data!$A$4:$A$375,"&gt;"&amp;($A324-30),Data!$A$4:$A$375,"&lt;="&amp;$A324),""))</f>
        <v/>
      </c>
      <c r="BI324" s="359">
        <f>IF($A324="","",IFERROR(AVERAGEIFS(Data!$AF$4:$AF$375,Data!$A$4:$A$375,"&gt;"&amp;($A324-7),Data!$A$4:$A$375,"&lt;="&amp;$A324,Data!$AF$4:$AF$375,"&gt;0"),""))</f>
        <v/>
      </c>
      <c r="BJ324" s="345">
        <f>IF($A324="","",F324+G324+H324+I324+J324+K324+L324+M324+N324-IF(AS324=1,0,J324))</f>
        <v/>
      </c>
      <c r="BK324" s="345">
        <f>IF($A324="","",8+AS324)</f>
        <v/>
      </c>
      <c r="BL324" s="345">
        <f>IF(ISNUMBER(BF324),BF324,NA())</f>
        <v/>
      </c>
      <c r="BM324" s="345">
        <f>IF(ISNUMBER(AF324),AF324,NA())</f>
        <v/>
      </c>
      <c r="BN324" s="345">
        <f>IF(ISNUMBER(BI324),BI324,NA())</f>
        <v/>
      </c>
      <c r="BO324" s="345">
        <f>IF(ISNUMBER(AL324),AL324,NA())</f>
        <v/>
      </c>
      <c r="BP324" s="345">
        <f>IF(ISNUMBER(AM324),AM324,NA())</f>
        <v/>
      </c>
      <c r="BQ324" s="345">
        <f>IF(ISNUMBER(AN324),AN324,NA())</f>
        <v/>
      </c>
    </row>
    <row r="325">
      <c r="A325" s="358">
        <f>IF('Aug 2027'!P7="","",'Aug 2027'!P7)</f>
        <v/>
      </c>
      <c r="B325" s="345" t="n">
        <v>11</v>
      </c>
      <c r="C325" s="345">
        <f>IF($A325="","",12)</f>
        <v/>
      </c>
      <c r="D325" s="345">
        <f>IF($A325="","",WEEKDAY($A325,2))</f>
        <v/>
      </c>
      <c r="E325" s="345">
        <f>IF($A325="","",UPPER(TRIM('Aug 2027'!P8)))</f>
        <v/>
      </c>
      <c r="F325" s="345">
        <f>IF($A325="","",IF(OR('Aug 2027'!P10=TRUE,'Aug 2027'!P10="x",'Aug 2027'!P10="X"),1,0))</f>
        <v/>
      </c>
      <c r="G325" s="345">
        <f>IF($A325="","",IF(OR('Aug 2027'!P11=TRUE,'Aug 2027'!P11="x",'Aug 2027'!P11="X"),1,0))</f>
        <v/>
      </c>
      <c r="H325" s="345">
        <f>IF($A325="","",IF(OR('Aug 2027'!P12=TRUE,'Aug 2027'!P12="x",'Aug 2027'!P12="X"),1,0))</f>
        <v/>
      </c>
      <c r="I325" s="345">
        <f>IF($A325="","",IF(OR('Aug 2027'!P13=TRUE,'Aug 2027'!P13="x",'Aug 2027'!P13="X"),1,0))</f>
        <v/>
      </c>
      <c r="J325" s="345">
        <f>IF($A325="","",IF(OR('Aug 2027'!P14=TRUE,'Aug 2027'!P14="x",'Aug 2027'!P14="X"),1,0))</f>
        <v/>
      </c>
      <c r="K325" s="345">
        <f>IF($A325="","",IF(OR('Aug 2027'!P15=TRUE,'Aug 2027'!P15="x",'Aug 2027'!P15="X"),1,0))</f>
        <v/>
      </c>
      <c r="L325" s="345">
        <f>IF($A325="","",IF(OR('Aug 2027'!P16=TRUE,'Aug 2027'!P16="x",'Aug 2027'!P16="X"),1,0))</f>
        <v/>
      </c>
      <c r="M325" s="345">
        <f>IF($A325="","",IF(OR('Aug 2027'!P17=TRUE,'Aug 2027'!P17="x",'Aug 2027'!P17="X"),1,0))</f>
        <v/>
      </c>
      <c r="N325" s="345">
        <f>IF($A325="","",IF(OR('Aug 2027'!P18=TRUE,'Aug 2027'!P18="x",'Aug 2027'!P18="X"),1,0))</f>
        <v/>
      </c>
      <c r="O325" s="345">
        <f>IF($A325="","",IF(OR('Aug 2027'!P20=TRUE,'Aug 2027'!P20="x",'Aug 2027'!P20="X"),1,0))</f>
        <v/>
      </c>
      <c r="P325" s="345">
        <f>IF($A325="","",IF(OR('Aug 2027'!P21=TRUE,'Aug 2027'!P21="x",'Aug 2027'!P21="X"),1,0))</f>
        <v/>
      </c>
      <c r="Q325" s="345">
        <f>IF($A325="","",IF(OR('Aug 2027'!P22=TRUE,'Aug 2027'!P22="x",'Aug 2027'!P22="X"),1,0))</f>
        <v/>
      </c>
      <c r="R325" s="345">
        <f>IF($A325="","",IF(OR('Aug 2027'!P23=TRUE,'Aug 2027'!P23="x",'Aug 2027'!P23="X"),1,0))</f>
        <v/>
      </c>
      <c r="S325" s="345">
        <f>IF($A325="","",IF(OR('Aug 2027'!P24=TRUE,'Aug 2027'!P24="x",'Aug 2027'!P24="X"),1,0))</f>
        <v/>
      </c>
      <c r="T325" s="345">
        <f>IF($A325="","",IF(OR('Aug 2027'!P25=TRUE,'Aug 2027'!P25="x",'Aug 2027'!P25="X"),1,0))</f>
        <v/>
      </c>
      <c r="U325" s="345">
        <f>IF($A325="","",IF(OR('Aug 2027'!P26=TRUE,'Aug 2027'!P26="x",'Aug 2027'!P26="X"),1,0))</f>
        <v/>
      </c>
      <c r="V325" s="345">
        <f>IF($A325="","",IF(OR('Aug 2027'!P27=TRUE,'Aug 2027'!P27="x",'Aug 2027'!P27="X"),1,0))</f>
        <v/>
      </c>
      <c r="W325" s="345">
        <f>IF($A325="","",IF(OR('Aug 2027'!P28=TRUE,'Aug 2027'!P28="x",'Aug 2027'!P28="X"),1,0))</f>
        <v/>
      </c>
      <c r="X325" s="345">
        <f>IF($A325="","",IF(OR('Aug 2027'!P29=TRUE,'Aug 2027'!P29="x",'Aug 2027'!P29="X"),1,0))</f>
        <v/>
      </c>
      <c r="Y325" s="345">
        <f>IF($A325="","",IF(OR('Aug 2027'!P30=TRUE,'Aug 2027'!P30="x",'Aug 2027'!P30="X"),1,0))</f>
        <v/>
      </c>
      <c r="Z325" s="345">
        <f>IF($A325="","",IF(OR('Aug 2027'!P31=TRUE,'Aug 2027'!P31="x",'Aug 2027'!P31="X"),1,0))</f>
        <v/>
      </c>
      <c r="AA325" s="345">
        <f>IF($A325="","",IF(OR('Aug 2027'!P32=TRUE,'Aug 2027'!P32="x",'Aug 2027'!P32="X"),1,0))</f>
        <v/>
      </c>
      <c r="AB325" s="345">
        <f>IF($A325="","",IF(OR('Aug 2027'!P34=TRUE,'Aug 2027'!P34="x",'Aug 2027'!P34="X"),1,0))</f>
        <v/>
      </c>
      <c r="AC325" s="345">
        <f>IF($A325="","",IF(OR('Aug 2027'!P35=TRUE,'Aug 2027'!P35="x",'Aug 2027'!P35="X"),1,0))</f>
        <v/>
      </c>
      <c r="AD325" s="345">
        <f>IF($A325="","",IF(OR('Aug 2027'!P36=TRUE,'Aug 2027'!P36="x",'Aug 2027'!P36="X"),1,0))</f>
        <v/>
      </c>
      <c r="AE325" s="345">
        <f>IF($A325="","",IF(OR('Aug 2027'!P37=TRUE,'Aug 2027'!P37="x",'Aug 2027'!P37="X"),1,0))</f>
        <v/>
      </c>
      <c r="AF325" s="345">
        <f>IF($A325="","",IF('Aug 2027'!P59="","",'Aug 2027'!P59))</f>
        <v/>
      </c>
      <c r="AG325" s="345">
        <f>IF($A325="","",IF('Aug 2027'!P60="","",'Aug 2027'!P60))</f>
        <v/>
      </c>
      <c r="AH325" s="345">
        <f>IF($A325="","",IF('Aug 2027'!P61="","",'Aug 2027'!P61))</f>
        <v/>
      </c>
      <c r="AI325" s="345">
        <f>IF($A325="","",IF('Aug 2027'!P62="","",'Aug 2027'!P62))</f>
        <v/>
      </c>
      <c r="AJ325" s="345">
        <f>IF($A325="","",IF('Aug 2027'!P63="","",'Aug 2027'!P63))</f>
        <v/>
      </c>
      <c r="AK325" s="345">
        <f>IF($A325="","",IF('Aug 2027'!P64="","",'Aug 2027'!P64))</f>
        <v/>
      </c>
      <c r="AL325" s="345">
        <f>IF($A325="","",IF('Aug 2027'!P65="","",'Aug 2027'!P65))</f>
        <v/>
      </c>
      <c r="AM325" s="345">
        <f>IF($A325="","",IF('Aug 2027'!P66="","",'Aug 2027'!P66))</f>
        <v/>
      </c>
      <c r="AN325" s="345">
        <f>IF($A325="","",IF('Aug 2027'!P67="","",'Aug 2027'!P67))</f>
        <v/>
      </c>
      <c r="AO325" s="345">
        <f>IF($A325="",0,IF(AND($A325&gt;=TrackStart,$A325&lt;=TODAY()),1,0))</f>
        <v/>
      </c>
      <c r="AP325" s="345">
        <f>IF($A325="",0,IF(SUM(F325:AE325)+COUNT(AF325:AN325)&gt;0,1,0))</f>
        <v/>
      </c>
      <c r="AQ325" s="345">
        <f>IF($A325="","",INT(($A325-TrackStart)/7)+1)</f>
        <v/>
      </c>
      <c r="AR325" s="345">
        <f>IF($A325="","",IF(AQ325&lt;=1,Steps1,IF(AQ325=2,Steps2,Steps3)))</f>
        <v/>
      </c>
      <c r="AS325" s="345">
        <f>IF($A325="",0,IF(ISNUMBER(SEARCH(TEXT(D325,"0"),WorkDays&amp;"")),1,0))</f>
        <v/>
      </c>
      <c r="AT325" s="345">
        <f>IF($A325="",0,IF(ISNUMBER(SEARCH(TEXT(D325,"0"),StrDays&amp;"")),1,0))</f>
        <v/>
      </c>
      <c r="AU325" s="345">
        <f>IF($A325="",0,IF(ISNUMBER(AK325),IF(AK325&gt;=SleepMin,1,0),N325))</f>
        <v/>
      </c>
      <c r="AV325" s="345">
        <f>IF($A325="",0,MAX(I325,O325,S325,AC325))</f>
        <v/>
      </c>
      <c r="AW325" s="345">
        <f>IF($A325="",0,IF(ISNUMBER(AH325),IF(AH325&gt;=ProtHit,1,0),0))</f>
        <v/>
      </c>
      <c r="AX325" s="345">
        <f>IF($A325="",0,IF(ISNUMBER(AI325),IF(AI325&gt;=WaterHit,1,0),0))</f>
        <v/>
      </c>
      <c r="AY325" s="345">
        <f>IF($A325="",0,IF(ISNUMBER(AG325),IF(AG325&gt;=AR325,1,0),0))</f>
        <v/>
      </c>
      <c r="AZ325" s="345">
        <f>IF($A325="",0,G325)</f>
        <v/>
      </c>
      <c r="BA325" s="345">
        <f>IF($A325="",0,J325)</f>
        <v/>
      </c>
      <c r="BB325" s="345">
        <f>IF($A325="",0,K325)</f>
        <v/>
      </c>
      <c r="BC325" s="345">
        <f>IF($A325="",0,MAX(L325,AE325))</f>
        <v/>
      </c>
      <c r="BD325" s="344">
        <f>IF($A325="","",(AU325+AV325+AW325+AX325+AY325+AZ325+BB325+BC325+IF(AS325=1,BA325,0))/(8+AS325))</f>
        <v/>
      </c>
      <c r="BE325" s="344">
        <f>IF($A325="","",(IF(ISNUMBER(AI325),IF(AI325&gt;=WaterMVD,1,0),0)+AV325+IF(ISNUMBER(AH325),IF(AH325&gt;=ProtMVD,1,0),0)+MAX(H325,AD325)+AZ325+BB325+AU325)/7)</f>
        <v/>
      </c>
      <c r="BF325" s="344">
        <f>IF(AO325=0,"",IF(E325="S","",IF(AND(AP325=0,$A325=TODAY()),"",IF(E325="M",BE325,BD325))))</f>
        <v/>
      </c>
      <c r="BG325" s="344">
        <f>IF(AO325=0,"",IFERROR(AVERAGEIFS(Data!$BF$4:$BF$375,Data!$A$4:$A$375,"&gt;"&amp;($A325-7),Data!$A$4:$A$375,"&lt;="&amp;$A325),""))</f>
        <v/>
      </c>
      <c r="BH325" s="344">
        <f>IF(AO325=0,"",IFERROR(AVERAGEIFS(Data!$BF$4:$BF$375,Data!$A$4:$A$375,"&gt;"&amp;($A325-30),Data!$A$4:$A$375,"&lt;="&amp;$A325),""))</f>
        <v/>
      </c>
      <c r="BI325" s="359">
        <f>IF($A325="","",IFERROR(AVERAGEIFS(Data!$AF$4:$AF$375,Data!$A$4:$A$375,"&gt;"&amp;($A325-7),Data!$A$4:$A$375,"&lt;="&amp;$A325,Data!$AF$4:$AF$375,"&gt;0"),""))</f>
        <v/>
      </c>
      <c r="BJ325" s="345">
        <f>IF($A325="","",F325+G325+H325+I325+J325+K325+L325+M325+N325-IF(AS325=1,0,J325))</f>
        <v/>
      </c>
      <c r="BK325" s="345">
        <f>IF($A325="","",8+AS325)</f>
        <v/>
      </c>
      <c r="BL325" s="345">
        <f>IF(ISNUMBER(BF325),BF325,NA())</f>
        <v/>
      </c>
      <c r="BM325" s="345">
        <f>IF(ISNUMBER(AF325),AF325,NA())</f>
        <v/>
      </c>
      <c r="BN325" s="345">
        <f>IF(ISNUMBER(BI325),BI325,NA())</f>
        <v/>
      </c>
      <c r="BO325" s="345">
        <f>IF(ISNUMBER(AL325),AL325,NA())</f>
        <v/>
      </c>
      <c r="BP325" s="345">
        <f>IF(ISNUMBER(AM325),AM325,NA())</f>
        <v/>
      </c>
      <c r="BQ325" s="345">
        <f>IF(ISNUMBER(AN325),AN325,NA())</f>
        <v/>
      </c>
    </row>
    <row r="326">
      <c r="A326" s="358">
        <f>IF('Aug 2027'!Q7="","",'Aug 2027'!Q7)</f>
        <v/>
      </c>
      <c r="B326" s="345" t="n">
        <v>11</v>
      </c>
      <c r="C326" s="345">
        <f>IF($A326="","",13)</f>
        <v/>
      </c>
      <c r="D326" s="345">
        <f>IF($A326="","",WEEKDAY($A326,2))</f>
        <v/>
      </c>
      <c r="E326" s="345">
        <f>IF($A326="","",UPPER(TRIM('Aug 2027'!Q8)))</f>
        <v/>
      </c>
      <c r="F326" s="345">
        <f>IF($A326="","",IF(OR('Aug 2027'!Q10=TRUE,'Aug 2027'!Q10="x",'Aug 2027'!Q10="X"),1,0))</f>
        <v/>
      </c>
      <c r="G326" s="345">
        <f>IF($A326="","",IF(OR('Aug 2027'!Q11=TRUE,'Aug 2027'!Q11="x",'Aug 2027'!Q11="X"),1,0))</f>
        <v/>
      </c>
      <c r="H326" s="345">
        <f>IF($A326="","",IF(OR('Aug 2027'!Q12=TRUE,'Aug 2027'!Q12="x",'Aug 2027'!Q12="X"),1,0))</f>
        <v/>
      </c>
      <c r="I326" s="345">
        <f>IF($A326="","",IF(OR('Aug 2027'!Q13=TRUE,'Aug 2027'!Q13="x",'Aug 2027'!Q13="X"),1,0))</f>
        <v/>
      </c>
      <c r="J326" s="345">
        <f>IF($A326="","",IF(OR('Aug 2027'!Q14=TRUE,'Aug 2027'!Q14="x",'Aug 2027'!Q14="X"),1,0))</f>
        <v/>
      </c>
      <c r="K326" s="345">
        <f>IF($A326="","",IF(OR('Aug 2027'!Q15=TRUE,'Aug 2027'!Q15="x",'Aug 2027'!Q15="X"),1,0))</f>
        <v/>
      </c>
      <c r="L326" s="345">
        <f>IF($A326="","",IF(OR('Aug 2027'!Q16=TRUE,'Aug 2027'!Q16="x",'Aug 2027'!Q16="X"),1,0))</f>
        <v/>
      </c>
      <c r="M326" s="345">
        <f>IF($A326="","",IF(OR('Aug 2027'!Q17=TRUE,'Aug 2027'!Q17="x",'Aug 2027'!Q17="X"),1,0))</f>
        <v/>
      </c>
      <c r="N326" s="345">
        <f>IF($A326="","",IF(OR('Aug 2027'!Q18=TRUE,'Aug 2027'!Q18="x",'Aug 2027'!Q18="X"),1,0))</f>
        <v/>
      </c>
      <c r="O326" s="345">
        <f>IF($A326="","",IF(OR('Aug 2027'!Q20=TRUE,'Aug 2027'!Q20="x",'Aug 2027'!Q20="X"),1,0))</f>
        <v/>
      </c>
      <c r="P326" s="345">
        <f>IF($A326="","",IF(OR('Aug 2027'!Q21=TRUE,'Aug 2027'!Q21="x",'Aug 2027'!Q21="X"),1,0))</f>
        <v/>
      </c>
      <c r="Q326" s="345">
        <f>IF($A326="","",IF(OR('Aug 2027'!Q22=TRUE,'Aug 2027'!Q22="x",'Aug 2027'!Q22="X"),1,0))</f>
        <v/>
      </c>
      <c r="R326" s="345">
        <f>IF($A326="","",IF(OR('Aug 2027'!Q23=TRUE,'Aug 2027'!Q23="x",'Aug 2027'!Q23="X"),1,0))</f>
        <v/>
      </c>
      <c r="S326" s="345">
        <f>IF($A326="","",IF(OR('Aug 2027'!Q24=TRUE,'Aug 2027'!Q24="x",'Aug 2027'!Q24="X"),1,0))</f>
        <v/>
      </c>
      <c r="T326" s="345">
        <f>IF($A326="","",IF(OR('Aug 2027'!Q25=TRUE,'Aug 2027'!Q25="x",'Aug 2027'!Q25="X"),1,0))</f>
        <v/>
      </c>
      <c r="U326" s="345">
        <f>IF($A326="","",IF(OR('Aug 2027'!Q26=TRUE,'Aug 2027'!Q26="x",'Aug 2027'!Q26="X"),1,0))</f>
        <v/>
      </c>
      <c r="V326" s="345">
        <f>IF($A326="","",IF(OR('Aug 2027'!Q27=TRUE,'Aug 2027'!Q27="x",'Aug 2027'!Q27="X"),1,0))</f>
        <v/>
      </c>
      <c r="W326" s="345">
        <f>IF($A326="","",IF(OR('Aug 2027'!Q28=TRUE,'Aug 2027'!Q28="x",'Aug 2027'!Q28="X"),1,0))</f>
        <v/>
      </c>
      <c r="X326" s="345">
        <f>IF($A326="","",IF(OR('Aug 2027'!Q29=TRUE,'Aug 2027'!Q29="x",'Aug 2027'!Q29="X"),1,0))</f>
        <v/>
      </c>
      <c r="Y326" s="345">
        <f>IF($A326="","",IF(OR('Aug 2027'!Q30=TRUE,'Aug 2027'!Q30="x",'Aug 2027'!Q30="X"),1,0))</f>
        <v/>
      </c>
      <c r="Z326" s="345">
        <f>IF($A326="","",IF(OR('Aug 2027'!Q31=TRUE,'Aug 2027'!Q31="x",'Aug 2027'!Q31="X"),1,0))</f>
        <v/>
      </c>
      <c r="AA326" s="345">
        <f>IF($A326="","",IF(OR('Aug 2027'!Q32=TRUE,'Aug 2027'!Q32="x",'Aug 2027'!Q32="X"),1,0))</f>
        <v/>
      </c>
      <c r="AB326" s="345">
        <f>IF($A326="","",IF(OR('Aug 2027'!Q34=TRUE,'Aug 2027'!Q34="x",'Aug 2027'!Q34="X"),1,0))</f>
        <v/>
      </c>
      <c r="AC326" s="345">
        <f>IF($A326="","",IF(OR('Aug 2027'!Q35=TRUE,'Aug 2027'!Q35="x",'Aug 2027'!Q35="X"),1,0))</f>
        <v/>
      </c>
      <c r="AD326" s="345">
        <f>IF($A326="","",IF(OR('Aug 2027'!Q36=TRUE,'Aug 2027'!Q36="x",'Aug 2027'!Q36="X"),1,0))</f>
        <v/>
      </c>
      <c r="AE326" s="345">
        <f>IF($A326="","",IF(OR('Aug 2027'!Q37=TRUE,'Aug 2027'!Q37="x",'Aug 2027'!Q37="X"),1,0))</f>
        <v/>
      </c>
      <c r="AF326" s="345">
        <f>IF($A326="","",IF('Aug 2027'!Q59="","",'Aug 2027'!Q59))</f>
        <v/>
      </c>
      <c r="AG326" s="345">
        <f>IF($A326="","",IF('Aug 2027'!Q60="","",'Aug 2027'!Q60))</f>
        <v/>
      </c>
      <c r="AH326" s="345">
        <f>IF($A326="","",IF('Aug 2027'!Q61="","",'Aug 2027'!Q61))</f>
        <v/>
      </c>
      <c r="AI326" s="345">
        <f>IF($A326="","",IF('Aug 2027'!Q62="","",'Aug 2027'!Q62))</f>
        <v/>
      </c>
      <c r="AJ326" s="345">
        <f>IF($A326="","",IF('Aug 2027'!Q63="","",'Aug 2027'!Q63))</f>
        <v/>
      </c>
      <c r="AK326" s="345">
        <f>IF($A326="","",IF('Aug 2027'!Q64="","",'Aug 2027'!Q64))</f>
        <v/>
      </c>
      <c r="AL326" s="345">
        <f>IF($A326="","",IF('Aug 2027'!Q65="","",'Aug 2027'!Q65))</f>
        <v/>
      </c>
      <c r="AM326" s="345">
        <f>IF($A326="","",IF('Aug 2027'!Q66="","",'Aug 2027'!Q66))</f>
        <v/>
      </c>
      <c r="AN326" s="345">
        <f>IF($A326="","",IF('Aug 2027'!Q67="","",'Aug 2027'!Q67))</f>
        <v/>
      </c>
      <c r="AO326" s="345">
        <f>IF($A326="",0,IF(AND($A326&gt;=TrackStart,$A326&lt;=TODAY()),1,0))</f>
        <v/>
      </c>
      <c r="AP326" s="345">
        <f>IF($A326="",0,IF(SUM(F326:AE326)+COUNT(AF326:AN326)&gt;0,1,0))</f>
        <v/>
      </c>
      <c r="AQ326" s="345">
        <f>IF($A326="","",INT(($A326-TrackStart)/7)+1)</f>
        <v/>
      </c>
      <c r="AR326" s="345">
        <f>IF($A326="","",IF(AQ326&lt;=1,Steps1,IF(AQ326=2,Steps2,Steps3)))</f>
        <v/>
      </c>
      <c r="AS326" s="345">
        <f>IF($A326="",0,IF(ISNUMBER(SEARCH(TEXT(D326,"0"),WorkDays&amp;"")),1,0))</f>
        <v/>
      </c>
      <c r="AT326" s="345">
        <f>IF($A326="",0,IF(ISNUMBER(SEARCH(TEXT(D326,"0"),StrDays&amp;"")),1,0))</f>
        <v/>
      </c>
      <c r="AU326" s="345">
        <f>IF($A326="",0,IF(ISNUMBER(AK326),IF(AK326&gt;=SleepMin,1,0),N326))</f>
        <v/>
      </c>
      <c r="AV326" s="345">
        <f>IF($A326="",0,MAX(I326,O326,S326,AC326))</f>
        <v/>
      </c>
      <c r="AW326" s="345">
        <f>IF($A326="",0,IF(ISNUMBER(AH326),IF(AH326&gt;=ProtHit,1,0),0))</f>
        <v/>
      </c>
      <c r="AX326" s="345">
        <f>IF($A326="",0,IF(ISNUMBER(AI326),IF(AI326&gt;=WaterHit,1,0),0))</f>
        <v/>
      </c>
      <c r="AY326" s="345">
        <f>IF($A326="",0,IF(ISNUMBER(AG326),IF(AG326&gt;=AR326,1,0),0))</f>
        <v/>
      </c>
      <c r="AZ326" s="345">
        <f>IF($A326="",0,G326)</f>
        <v/>
      </c>
      <c r="BA326" s="345">
        <f>IF($A326="",0,J326)</f>
        <v/>
      </c>
      <c r="BB326" s="345">
        <f>IF($A326="",0,K326)</f>
        <v/>
      </c>
      <c r="BC326" s="345">
        <f>IF($A326="",0,MAX(L326,AE326))</f>
        <v/>
      </c>
      <c r="BD326" s="344">
        <f>IF($A326="","",(AU326+AV326+AW326+AX326+AY326+AZ326+BB326+BC326+IF(AS326=1,BA326,0))/(8+AS326))</f>
        <v/>
      </c>
      <c r="BE326" s="344">
        <f>IF($A326="","",(IF(ISNUMBER(AI326),IF(AI326&gt;=WaterMVD,1,0),0)+AV326+IF(ISNUMBER(AH326),IF(AH326&gt;=ProtMVD,1,0),0)+MAX(H326,AD326)+AZ326+BB326+AU326)/7)</f>
        <v/>
      </c>
      <c r="BF326" s="344">
        <f>IF(AO326=0,"",IF(E326="S","",IF(AND(AP326=0,$A326=TODAY()),"",IF(E326="M",BE326,BD326))))</f>
        <v/>
      </c>
      <c r="BG326" s="344">
        <f>IF(AO326=0,"",IFERROR(AVERAGEIFS(Data!$BF$4:$BF$375,Data!$A$4:$A$375,"&gt;"&amp;($A326-7),Data!$A$4:$A$375,"&lt;="&amp;$A326),""))</f>
        <v/>
      </c>
      <c r="BH326" s="344">
        <f>IF(AO326=0,"",IFERROR(AVERAGEIFS(Data!$BF$4:$BF$375,Data!$A$4:$A$375,"&gt;"&amp;($A326-30),Data!$A$4:$A$375,"&lt;="&amp;$A326),""))</f>
        <v/>
      </c>
      <c r="BI326" s="359">
        <f>IF($A326="","",IFERROR(AVERAGEIFS(Data!$AF$4:$AF$375,Data!$A$4:$A$375,"&gt;"&amp;($A326-7),Data!$A$4:$A$375,"&lt;="&amp;$A326,Data!$AF$4:$AF$375,"&gt;0"),""))</f>
        <v/>
      </c>
      <c r="BJ326" s="345">
        <f>IF($A326="","",F326+G326+H326+I326+J326+K326+L326+M326+N326-IF(AS326=1,0,J326))</f>
        <v/>
      </c>
      <c r="BK326" s="345">
        <f>IF($A326="","",8+AS326)</f>
        <v/>
      </c>
      <c r="BL326" s="345">
        <f>IF(ISNUMBER(BF326),BF326,NA())</f>
        <v/>
      </c>
      <c r="BM326" s="345">
        <f>IF(ISNUMBER(AF326),AF326,NA())</f>
        <v/>
      </c>
      <c r="BN326" s="345">
        <f>IF(ISNUMBER(BI326),BI326,NA())</f>
        <v/>
      </c>
      <c r="BO326" s="345">
        <f>IF(ISNUMBER(AL326),AL326,NA())</f>
        <v/>
      </c>
      <c r="BP326" s="345">
        <f>IF(ISNUMBER(AM326),AM326,NA())</f>
        <v/>
      </c>
      <c r="BQ326" s="345">
        <f>IF(ISNUMBER(AN326),AN326,NA())</f>
        <v/>
      </c>
    </row>
    <row r="327">
      <c r="A327" s="358">
        <f>IF('Aug 2027'!R7="","",'Aug 2027'!R7)</f>
        <v/>
      </c>
      <c r="B327" s="345" t="n">
        <v>11</v>
      </c>
      <c r="C327" s="345">
        <f>IF($A327="","",14)</f>
        <v/>
      </c>
      <c r="D327" s="345">
        <f>IF($A327="","",WEEKDAY($A327,2))</f>
        <v/>
      </c>
      <c r="E327" s="345">
        <f>IF($A327="","",UPPER(TRIM('Aug 2027'!R8)))</f>
        <v/>
      </c>
      <c r="F327" s="345">
        <f>IF($A327="","",IF(OR('Aug 2027'!R10=TRUE,'Aug 2027'!R10="x",'Aug 2027'!R10="X"),1,0))</f>
        <v/>
      </c>
      <c r="G327" s="345">
        <f>IF($A327="","",IF(OR('Aug 2027'!R11=TRUE,'Aug 2027'!R11="x",'Aug 2027'!R11="X"),1,0))</f>
        <v/>
      </c>
      <c r="H327" s="345">
        <f>IF($A327="","",IF(OR('Aug 2027'!R12=TRUE,'Aug 2027'!R12="x",'Aug 2027'!R12="X"),1,0))</f>
        <v/>
      </c>
      <c r="I327" s="345">
        <f>IF($A327="","",IF(OR('Aug 2027'!R13=TRUE,'Aug 2027'!R13="x",'Aug 2027'!R13="X"),1,0))</f>
        <v/>
      </c>
      <c r="J327" s="345">
        <f>IF($A327="","",IF(OR('Aug 2027'!R14=TRUE,'Aug 2027'!R14="x",'Aug 2027'!R14="X"),1,0))</f>
        <v/>
      </c>
      <c r="K327" s="345">
        <f>IF($A327="","",IF(OR('Aug 2027'!R15=TRUE,'Aug 2027'!R15="x",'Aug 2027'!R15="X"),1,0))</f>
        <v/>
      </c>
      <c r="L327" s="345">
        <f>IF($A327="","",IF(OR('Aug 2027'!R16=TRUE,'Aug 2027'!R16="x",'Aug 2027'!R16="X"),1,0))</f>
        <v/>
      </c>
      <c r="M327" s="345">
        <f>IF($A327="","",IF(OR('Aug 2027'!R17=TRUE,'Aug 2027'!R17="x",'Aug 2027'!R17="X"),1,0))</f>
        <v/>
      </c>
      <c r="N327" s="345">
        <f>IF($A327="","",IF(OR('Aug 2027'!R18=TRUE,'Aug 2027'!R18="x",'Aug 2027'!R18="X"),1,0))</f>
        <v/>
      </c>
      <c r="O327" s="345">
        <f>IF($A327="","",IF(OR('Aug 2027'!R20=TRUE,'Aug 2027'!R20="x",'Aug 2027'!R20="X"),1,0))</f>
        <v/>
      </c>
      <c r="P327" s="345">
        <f>IF($A327="","",IF(OR('Aug 2027'!R21=TRUE,'Aug 2027'!R21="x",'Aug 2027'!R21="X"),1,0))</f>
        <v/>
      </c>
      <c r="Q327" s="345">
        <f>IF($A327="","",IF(OR('Aug 2027'!R22=TRUE,'Aug 2027'!R22="x",'Aug 2027'!R22="X"),1,0))</f>
        <v/>
      </c>
      <c r="R327" s="345">
        <f>IF($A327="","",IF(OR('Aug 2027'!R23=TRUE,'Aug 2027'!R23="x",'Aug 2027'!R23="X"),1,0))</f>
        <v/>
      </c>
      <c r="S327" s="345">
        <f>IF($A327="","",IF(OR('Aug 2027'!R24=TRUE,'Aug 2027'!R24="x",'Aug 2027'!R24="X"),1,0))</f>
        <v/>
      </c>
      <c r="T327" s="345">
        <f>IF($A327="","",IF(OR('Aug 2027'!R25=TRUE,'Aug 2027'!R25="x",'Aug 2027'!R25="X"),1,0))</f>
        <v/>
      </c>
      <c r="U327" s="345">
        <f>IF($A327="","",IF(OR('Aug 2027'!R26=TRUE,'Aug 2027'!R26="x",'Aug 2027'!R26="X"),1,0))</f>
        <v/>
      </c>
      <c r="V327" s="345">
        <f>IF($A327="","",IF(OR('Aug 2027'!R27=TRUE,'Aug 2027'!R27="x",'Aug 2027'!R27="X"),1,0))</f>
        <v/>
      </c>
      <c r="W327" s="345">
        <f>IF($A327="","",IF(OR('Aug 2027'!R28=TRUE,'Aug 2027'!R28="x",'Aug 2027'!R28="X"),1,0))</f>
        <v/>
      </c>
      <c r="X327" s="345">
        <f>IF($A327="","",IF(OR('Aug 2027'!R29=TRUE,'Aug 2027'!R29="x",'Aug 2027'!R29="X"),1,0))</f>
        <v/>
      </c>
      <c r="Y327" s="345">
        <f>IF($A327="","",IF(OR('Aug 2027'!R30=TRUE,'Aug 2027'!R30="x",'Aug 2027'!R30="X"),1,0))</f>
        <v/>
      </c>
      <c r="Z327" s="345">
        <f>IF($A327="","",IF(OR('Aug 2027'!R31=TRUE,'Aug 2027'!R31="x",'Aug 2027'!R31="X"),1,0))</f>
        <v/>
      </c>
      <c r="AA327" s="345">
        <f>IF($A327="","",IF(OR('Aug 2027'!R32=TRUE,'Aug 2027'!R32="x",'Aug 2027'!R32="X"),1,0))</f>
        <v/>
      </c>
      <c r="AB327" s="345">
        <f>IF($A327="","",IF(OR('Aug 2027'!R34=TRUE,'Aug 2027'!R34="x",'Aug 2027'!R34="X"),1,0))</f>
        <v/>
      </c>
      <c r="AC327" s="345">
        <f>IF($A327="","",IF(OR('Aug 2027'!R35=TRUE,'Aug 2027'!R35="x",'Aug 2027'!R35="X"),1,0))</f>
        <v/>
      </c>
      <c r="AD327" s="345">
        <f>IF($A327="","",IF(OR('Aug 2027'!R36=TRUE,'Aug 2027'!R36="x",'Aug 2027'!R36="X"),1,0))</f>
        <v/>
      </c>
      <c r="AE327" s="345">
        <f>IF($A327="","",IF(OR('Aug 2027'!R37=TRUE,'Aug 2027'!R37="x",'Aug 2027'!R37="X"),1,0))</f>
        <v/>
      </c>
      <c r="AF327" s="345">
        <f>IF($A327="","",IF('Aug 2027'!R59="","",'Aug 2027'!R59))</f>
        <v/>
      </c>
      <c r="AG327" s="345">
        <f>IF($A327="","",IF('Aug 2027'!R60="","",'Aug 2027'!R60))</f>
        <v/>
      </c>
      <c r="AH327" s="345">
        <f>IF($A327="","",IF('Aug 2027'!R61="","",'Aug 2027'!R61))</f>
        <v/>
      </c>
      <c r="AI327" s="345">
        <f>IF($A327="","",IF('Aug 2027'!R62="","",'Aug 2027'!R62))</f>
        <v/>
      </c>
      <c r="AJ327" s="345">
        <f>IF($A327="","",IF('Aug 2027'!R63="","",'Aug 2027'!R63))</f>
        <v/>
      </c>
      <c r="AK327" s="345">
        <f>IF($A327="","",IF('Aug 2027'!R64="","",'Aug 2027'!R64))</f>
        <v/>
      </c>
      <c r="AL327" s="345">
        <f>IF($A327="","",IF('Aug 2027'!R65="","",'Aug 2027'!R65))</f>
        <v/>
      </c>
      <c r="AM327" s="345">
        <f>IF($A327="","",IF('Aug 2027'!R66="","",'Aug 2027'!R66))</f>
        <v/>
      </c>
      <c r="AN327" s="345">
        <f>IF($A327="","",IF('Aug 2027'!R67="","",'Aug 2027'!R67))</f>
        <v/>
      </c>
      <c r="AO327" s="345">
        <f>IF($A327="",0,IF(AND($A327&gt;=TrackStart,$A327&lt;=TODAY()),1,0))</f>
        <v/>
      </c>
      <c r="AP327" s="345">
        <f>IF($A327="",0,IF(SUM(F327:AE327)+COUNT(AF327:AN327)&gt;0,1,0))</f>
        <v/>
      </c>
      <c r="AQ327" s="345">
        <f>IF($A327="","",INT(($A327-TrackStart)/7)+1)</f>
        <v/>
      </c>
      <c r="AR327" s="345">
        <f>IF($A327="","",IF(AQ327&lt;=1,Steps1,IF(AQ327=2,Steps2,Steps3)))</f>
        <v/>
      </c>
      <c r="AS327" s="345">
        <f>IF($A327="",0,IF(ISNUMBER(SEARCH(TEXT(D327,"0"),WorkDays&amp;"")),1,0))</f>
        <v/>
      </c>
      <c r="AT327" s="345">
        <f>IF($A327="",0,IF(ISNUMBER(SEARCH(TEXT(D327,"0"),StrDays&amp;"")),1,0))</f>
        <v/>
      </c>
      <c r="AU327" s="345">
        <f>IF($A327="",0,IF(ISNUMBER(AK327),IF(AK327&gt;=SleepMin,1,0),N327))</f>
        <v/>
      </c>
      <c r="AV327" s="345">
        <f>IF($A327="",0,MAX(I327,O327,S327,AC327))</f>
        <v/>
      </c>
      <c r="AW327" s="345">
        <f>IF($A327="",0,IF(ISNUMBER(AH327),IF(AH327&gt;=ProtHit,1,0),0))</f>
        <v/>
      </c>
      <c r="AX327" s="345">
        <f>IF($A327="",0,IF(ISNUMBER(AI327),IF(AI327&gt;=WaterHit,1,0),0))</f>
        <v/>
      </c>
      <c r="AY327" s="345">
        <f>IF($A327="",0,IF(ISNUMBER(AG327),IF(AG327&gt;=AR327,1,0),0))</f>
        <v/>
      </c>
      <c r="AZ327" s="345">
        <f>IF($A327="",0,G327)</f>
        <v/>
      </c>
      <c r="BA327" s="345">
        <f>IF($A327="",0,J327)</f>
        <v/>
      </c>
      <c r="BB327" s="345">
        <f>IF($A327="",0,K327)</f>
        <v/>
      </c>
      <c r="BC327" s="345">
        <f>IF($A327="",0,MAX(L327,AE327))</f>
        <v/>
      </c>
      <c r="BD327" s="344">
        <f>IF($A327="","",(AU327+AV327+AW327+AX327+AY327+AZ327+BB327+BC327+IF(AS327=1,BA327,0))/(8+AS327))</f>
        <v/>
      </c>
      <c r="BE327" s="344">
        <f>IF($A327="","",(IF(ISNUMBER(AI327),IF(AI327&gt;=WaterMVD,1,0),0)+AV327+IF(ISNUMBER(AH327),IF(AH327&gt;=ProtMVD,1,0),0)+MAX(H327,AD327)+AZ327+BB327+AU327)/7)</f>
        <v/>
      </c>
      <c r="BF327" s="344">
        <f>IF(AO327=0,"",IF(E327="S","",IF(AND(AP327=0,$A327=TODAY()),"",IF(E327="M",BE327,BD327))))</f>
        <v/>
      </c>
      <c r="BG327" s="344">
        <f>IF(AO327=0,"",IFERROR(AVERAGEIFS(Data!$BF$4:$BF$375,Data!$A$4:$A$375,"&gt;"&amp;($A327-7),Data!$A$4:$A$375,"&lt;="&amp;$A327),""))</f>
        <v/>
      </c>
      <c r="BH327" s="344">
        <f>IF(AO327=0,"",IFERROR(AVERAGEIFS(Data!$BF$4:$BF$375,Data!$A$4:$A$375,"&gt;"&amp;($A327-30),Data!$A$4:$A$375,"&lt;="&amp;$A327),""))</f>
        <v/>
      </c>
      <c r="BI327" s="359">
        <f>IF($A327="","",IFERROR(AVERAGEIFS(Data!$AF$4:$AF$375,Data!$A$4:$A$375,"&gt;"&amp;($A327-7),Data!$A$4:$A$375,"&lt;="&amp;$A327,Data!$AF$4:$AF$375,"&gt;0"),""))</f>
        <v/>
      </c>
      <c r="BJ327" s="345">
        <f>IF($A327="","",F327+G327+H327+I327+J327+K327+L327+M327+N327-IF(AS327=1,0,J327))</f>
        <v/>
      </c>
      <c r="BK327" s="345">
        <f>IF($A327="","",8+AS327)</f>
        <v/>
      </c>
      <c r="BL327" s="345">
        <f>IF(ISNUMBER(BF327),BF327,NA())</f>
        <v/>
      </c>
      <c r="BM327" s="345">
        <f>IF(ISNUMBER(AF327),AF327,NA())</f>
        <v/>
      </c>
      <c r="BN327" s="345">
        <f>IF(ISNUMBER(BI327),BI327,NA())</f>
        <v/>
      </c>
      <c r="BO327" s="345">
        <f>IF(ISNUMBER(AL327),AL327,NA())</f>
        <v/>
      </c>
      <c r="BP327" s="345">
        <f>IF(ISNUMBER(AM327),AM327,NA())</f>
        <v/>
      </c>
      <c r="BQ327" s="345">
        <f>IF(ISNUMBER(AN327),AN327,NA())</f>
        <v/>
      </c>
    </row>
    <row r="328">
      <c r="A328" s="358">
        <f>IF('Aug 2027'!S7="","",'Aug 2027'!S7)</f>
        <v/>
      </c>
      <c r="B328" s="345" t="n">
        <v>11</v>
      </c>
      <c r="C328" s="345">
        <f>IF($A328="","",15)</f>
        <v/>
      </c>
      <c r="D328" s="345">
        <f>IF($A328="","",WEEKDAY($A328,2))</f>
        <v/>
      </c>
      <c r="E328" s="345">
        <f>IF($A328="","",UPPER(TRIM('Aug 2027'!S8)))</f>
        <v/>
      </c>
      <c r="F328" s="345">
        <f>IF($A328="","",IF(OR('Aug 2027'!S10=TRUE,'Aug 2027'!S10="x",'Aug 2027'!S10="X"),1,0))</f>
        <v/>
      </c>
      <c r="G328" s="345">
        <f>IF($A328="","",IF(OR('Aug 2027'!S11=TRUE,'Aug 2027'!S11="x",'Aug 2027'!S11="X"),1,0))</f>
        <v/>
      </c>
      <c r="H328" s="345">
        <f>IF($A328="","",IF(OR('Aug 2027'!S12=TRUE,'Aug 2027'!S12="x",'Aug 2027'!S12="X"),1,0))</f>
        <v/>
      </c>
      <c r="I328" s="345">
        <f>IF($A328="","",IF(OR('Aug 2027'!S13=TRUE,'Aug 2027'!S13="x",'Aug 2027'!S13="X"),1,0))</f>
        <v/>
      </c>
      <c r="J328" s="345">
        <f>IF($A328="","",IF(OR('Aug 2027'!S14=TRUE,'Aug 2027'!S14="x",'Aug 2027'!S14="X"),1,0))</f>
        <v/>
      </c>
      <c r="K328" s="345">
        <f>IF($A328="","",IF(OR('Aug 2027'!S15=TRUE,'Aug 2027'!S15="x",'Aug 2027'!S15="X"),1,0))</f>
        <v/>
      </c>
      <c r="L328" s="345">
        <f>IF($A328="","",IF(OR('Aug 2027'!S16=TRUE,'Aug 2027'!S16="x",'Aug 2027'!S16="X"),1,0))</f>
        <v/>
      </c>
      <c r="M328" s="345">
        <f>IF($A328="","",IF(OR('Aug 2027'!S17=TRUE,'Aug 2027'!S17="x",'Aug 2027'!S17="X"),1,0))</f>
        <v/>
      </c>
      <c r="N328" s="345">
        <f>IF($A328="","",IF(OR('Aug 2027'!S18=TRUE,'Aug 2027'!S18="x",'Aug 2027'!S18="X"),1,0))</f>
        <v/>
      </c>
      <c r="O328" s="345">
        <f>IF($A328="","",IF(OR('Aug 2027'!S20=TRUE,'Aug 2027'!S20="x",'Aug 2027'!S20="X"),1,0))</f>
        <v/>
      </c>
      <c r="P328" s="345">
        <f>IF($A328="","",IF(OR('Aug 2027'!S21=TRUE,'Aug 2027'!S21="x",'Aug 2027'!S21="X"),1,0))</f>
        <v/>
      </c>
      <c r="Q328" s="345">
        <f>IF($A328="","",IF(OR('Aug 2027'!S22=TRUE,'Aug 2027'!S22="x",'Aug 2027'!S22="X"),1,0))</f>
        <v/>
      </c>
      <c r="R328" s="345">
        <f>IF($A328="","",IF(OR('Aug 2027'!S23=TRUE,'Aug 2027'!S23="x",'Aug 2027'!S23="X"),1,0))</f>
        <v/>
      </c>
      <c r="S328" s="345">
        <f>IF($A328="","",IF(OR('Aug 2027'!S24=TRUE,'Aug 2027'!S24="x",'Aug 2027'!S24="X"),1,0))</f>
        <v/>
      </c>
      <c r="T328" s="345">
        <f>IF($A328="","",IF(OR('Aug 2027'!S25=TRUE,'Aug 2027'!S25="x",'Aug 2027'!S25="X"),1,0))</f>
        <v/>
      </c>
      <c r="U328" s="345">
        <f>IF($A328="","",IF(OR('Aug 2027'!S26=TRUE,'Aug 2027'!S26="x",'Aug 2027'!S26="X"),1,0))</f>
        <v/>
      </c>
      <c r="V328" s="345">
        <f>IF($A328="","",IF(OR('Aug 2027'!S27=TRUE,'Aug 2027'!S27="x",'Aug 2027'!S27="X"),1,0))</f>
        <v/>
      </c>
      <c r="W328" s="345">
        <f>IF($A328="","",IF(OR('Aug 2027'!S28=TRUE,'Aug 2027'!S28="x",'Aug 2027'!S28="X"),1,0))</f>
        <v/>
      </c>
      <c r="X328" s="345">
        <f>IF($A328="","",IF(OR('Aug 2027'!S29=TRUE,'Aug 2027'!S29="x",'Aug 2027'!S29="X"),1,0))</f>
        <v/>
      </c>
      <c r="Y328" s="345">
        <f>IF($A328="","",IF(OR('Aug 2027'!S30=TRUE,'Aug 2027'!S30="x",'Aug 2027'!S30="X"),1,0))</f>
        <v/>
      </c>
      <c r="Z328" s="345">
        <f>IF($A328="","",IF(OR('Aug 2027'!S31=TRUE,'Aug 2027'!S31="x",'Aug 2027'!S31="X"),1,0))</f>
        <v/>
      </c>
      <c r="AA328" s="345">
        <f>IF($A328="","",IF(OR('Aug 2027'!S32=TRUE,'Aug 2027'!S32="x",'Aug 2027'!S32="X"),1,0))</f>
        <v/>
      </c>
      <c r="AB328" s="345">
        <f>IF($A328="","",IF(OR('Aug 2027'!S34=TRUE,'Aug 2027'!S34="x",'Aug 2027'!S34="X"),1,0))</f>
        <v/>
      </c>
      <c r="AC328" s="345">
        <f>IF($A328="","",IF(OR('Aug 2027'!S35=TRUE,'Aug 2027'!S35="x",'Aug 2027'!S35="X"),1,0))</f>
        <v/>
      </c>
      <c r="AD328" s="345">
        <f>IF($A328="","",IF(OR('Aug 2027'!S36=TRUE,'Aug 2027'!S36="x",'Aug 2027'!S36="X"),1,0))</f>
        <v/>
      </c>
      <c r="AE328" s="345">
        <f>IF($A328="","",IF(OR('Aug 2027'!S37=TRUE,'Aug 2027'!S37="x",'Aug 2027'!S37="X"),1,0))</f>
        <v/>
      </c>
      <c r="AF328" s="345">
        <f>IF($A328="","",IF('Aug 2027'!S59="","",'Aug 2027'!S59))</f>
        <v/>
      </c>
      <c r="AG328" s="345">
        <f>IF($A328="","",IF('Aug 2027'!S60="","",'Aug 2027'!S60))</f>
        <v/>
      </c>
      <c r="AH328" s="345">
        <f>IF($A328="","",IF('Aug 2027'!S61="","",'Aug 2027'!S61))</f>
        <v/>
      </c>
      <c r="AI328" s="345">
        <f>IF($A328="","",IF('Aug 2027'!S62="","",'Aug 2027'!S62))</f>
        <v/>
      </c>
      <c r="AJ328" s="345">
        <f>IF($A328="","",IF('Aug 2027'!S63="","",'Aug 2027'!S63))</f>
        <v/>
      </c>
      <c r="AK328" s="345">
        <f>IF($A328="","",IF('Aug 2027'!S64="","",'Aug 2027'!S64))</f>
        <v/>
      </c>
      <c r="AL328" s="345">
        <f>IF($A328="","",IF('Aug 2027'!S65="","",'Aug 2027'!S65))</f>
        <v/>
      </c>
      <c r="AM328" s="345">
        <f>IF($A328="","",IF('Aug 2027'!S66="","",'Aug 2027'!S66))</f>
        <v/>
      </c>
      <c r="AN328" s="345">
        <f>IF($A328="","",IF('Aug 2027'!S67="","",'Aug 2027'!S67))</f>
        <v/>
      </c>
      <c r="AO328" s="345">
        <f>IF($A328="",0,IF(AND($A328&gt;=TrackStart,$A328&lt;=TODAY()),1,0))</f>
        <v/>
      </c>
      <c r="AP328" s="345">
        <f>IF($A328="",0,IF(SUM(F328:AE328)+COUNT(AF328:AN328)&gt;0,1,0))</f>
        <v/>
      </c>
      <c r="AQ328" s="345">
        <f>IF($A328="","",INT(($A328-TrackStart)/7)+1)</f>
        <v/>
      </c>
      <c r="AR328" s="345">
        <f>IF($A328="","",IF(AQ328&lt;=1,Steps1,IF(AQ328=2,Steps2,Steps3)))</f>
        <v/>
      </c>
      <c r="AS328" s="345">
        <f>IF($A328="",0,IF(ISNUMBER(SEARCH(TEXT(D328,"0"),WorkDays&amp;"")),1,0))</f>
        <v/>
      </c>
      <c r="AT328" s="345">
        <f>IF($A328="",0,IF(ISNUMBER(SEARCH(TEXT(D328,"0"),StrDays&amp;"")),1,0))</f>
        <v/>
      </c>
      <c r="AU328" s="345">
        <f>IF($A328="",0,IF(ISNUMBER(AK328),IF(AK328&gt;=SleepMin,1,0),N328))</f>
        <v/>
      </c>
      <c r="AV328" s="345">
        <f>IF($A328="",0,MAX(I328,O328,S328,AC328))</f>
        <v/>
      </c>
      <c r="AW328" s="345">
        <f>IF($A328="",0,IF(ISNUMBER(AH328),IF(AH328&gt;=ProtHit,1,0),0))</f>
        <v/>
      </c>
      <c r="AX328" s="345">
        <f>IF($A328="",0,IF(ISNUMBER(AI328),IF(AI328&gt;=WaterHit,1,0),0))</f>
        <v/>
      </c>
      <c r="AY328" s="345">
        <f>IF($A328="",0,IF(ISNUMBER(AG328),IF(AG328&gt;=AR328,1,0),0))</f>
        <v/>
      </c>
      <c r="AZ328" s="345">
        <f>IF($A328="",0,G328)</f>
        <v/>
      </c>
      <c r="BA328" s="345">
        <f>IF($A328="",0,J328)</f>
        <v/>
      </c>
      <c r="BB328" s="345">
        <f>IF($A328="",0,K328)</f>
        <v/>
      </c>
      <c r="BC328" s="345">
        <f>IF($A328="",0,MAX(L328,AE328))</f>
        <v/>
      </c>
      <c r="BD328" s="344">
        <f>IF($A328="","",(AU328+AV328+AW328+AX328+AY328+AZ328+BB328+BC328+IF(AS328=1,BA328,0))/(8+AS328))</f>
        <v/>
      </c>
      <c r="BE328" s="344">
        <f>IF($A328="","",(IF(ISNUMBER(AI328),IF(AI328&gt;=WaterMVD,1,0),0)+AV328+IF(ISNUMBER(AH328),IF(AH328&gt;=ProtMVD,1,0),0)+MAX(H328,AD328)+AZ328+BB328+AU328)/7)</f>
        <v/>
      </c>
      <c r="BF328" s="344">
        <f>IF(AO328=0,"",IF(E328="S","",IF(AND(AP328=0,$A328=TODAY()),"",IF(E328="M",BE328,BD328))))</f>
        <v/>
      </c>
      <c r="BG328" s="344">
        <f>IF(AO328=0,"",IFERROR(AVERAGEIFS(Data!$BF$4:$BF$375,Data!$A$4:$A$375,"&gt;"&amp;($A328-7),Data!$A$4:$A$375,"&lt;="&amp;$A328),""))</f>
        <v/>
      </c>
      <c r="BH328" s="344">
        <f>IF(AO328=0,"",IFERROR(AVERAGEIFS(Data!$BF$4:$BF$375,Data!$A$4:$A$375,"&gt;"&amp;($A328-30),Data!$A$4:$A$375,"&lt;="&amp;$A328),""))</f>
        <v/>
      </c>
      <c r="BI328" s="359">
        <f>IF($A328="","",IFERROR(AVERAGEIFS(Data!$AF$4:$AF$375,Data!$A$4:$A$375,"&gt;"&amp;($A328-7),Data!$A$4:$A$375,"&lt;="&amp;$A328,Data!$AF$4:$AF$375,"&gt;0"),""))</f>
        <v/>
      </c>
      <c r="BJ328" s="345">
        <f>IF($A328="","",F328+G328+H328+I328+J328+K328+L328+M328+N328-IF(AS328=1,0,J328))</f>
        <v/>
      </c>
      <c r="BK328" s="345">
        <f>IF($A328="","",8+AS328)</f>
        <v/>
      </c>
      <c r="BL328" s="345">
        <f>IF(ISNUMBER(BF328),BF328,NA())</f>
        <v/>
      </c>
      <c r="BM328" s="345">
        <f>IF(ISNUMBER(AF328),AF328,NA())</f>
        <v/>
      </c>
      <c r="BN328" s="345">
        <f>IF(ISNUMBER(BI328),BI328,NA())</f>
        <v/>
      </c>
      <c r="BO328" s="345">
        <f>IF(ISNUMBER(AL328),AL328,NA())</f>
        <v/>
      </c>
      <c r="BP328" s="345">
        <f>IF(ISNUMBER(AM328),AM328,NA())</f>
        <v/>
      </c>
      <c r="BQ328" s="345">
        <f>IF(ISNUMBER(AN328),AN328,NA())</f>
        <v/>
      </c>
    </row>
    <row r="329">
      <c r="A329" s="358">
        <f>IF('Aug 2027'!T7="","",'Aug 2027'!T7)</f>
        <v/>
      </c>
      <c r="B329" s="345" t="n">
        <v>11</v>
      </c>
      <c r="C329" s="345">
        <f>IF($A329="","",16)</f>
        <v/>
      </c>
      <c r="D329" s="345">
        <f>IF($A329="","",WEEKDAY($A329,2))</f>
        <v/>
      </c>
      <c r="E329" s="345">
        <f>IF($A329="","",UPPER(TRIM('Aug 2027'!T8)))</f>
        <v/>
      </c>
      <c r="F329" s="345">
        <f>IF($A329="","",IF(OR('Aug 2027'!T10=TRUE,'Aug 2027'!T10="x",'Aug 2027'!T10="X"),1,0))</f>
        <v/>
      </c>
      <c r="G329" s="345">
        <f>IF($A329="","",IF(OR('Aug 2027'!T11=TRUE,'Aug 2027'!T11="x",'Aug 2027'!T11="X"),1,0))</f>
        <v/>
      </c>
      <c r="H329" s="345">
        <f>IF($A329="","",IF(OR('Aug 2027'!T12=TRUE,'Aug 2027'!T12="x",'Aug 2027'!T12="X"),1,0))</f>
        <v/>
      </c>
      <c r="I329" s="345">
        <f>IF($A329="","",IF(OR('Aug 2027'!T13=TRUE,'Aug 2027'!T13="x",'Aug 2027'!T13="X"),1,0))</f>
        <v/>
      </c>
      <c r="J329" s="345">
        <f>IF($A329="","",IF(OR('Aug 2027'!T14=TRUE,'Aug 2027'!T14="x",'Aug 2027'!T14="X"),1,0))</f>
        <v/>
      </c>
      <c r="K329" s="345">
        <f>IF($A329="","",IF(OR('Aug 2027'!T15=TRUE,'Aug 2027'!T15="x",'Aug 2027'!T15="X"),1,0))</f>
        <v/>
      </c>
      <c r="L329" s="345">
        <f>IF($A329="","",IF(OR('Aug 2027'!T16=TRUE,'Aug 2027'!T16="x",'Aug 2027'!T16="X"),1,0))</f>
        <v/>
      </c>
      <c r="M329" s="345">
        <f>IF($A329="","",IF(OR('Aug 2027'!T17=TRUE,'Aug 2027'!T17="x",'Aug 2027'!T17="X"),1,0))</f>
        <v/>
      </c>
      <c r="N329" s="345">
        <f>IF($A329="","",IF(OR('Aug 2027'!T18=TRUE,'Aug 2027'!T18="x",'Aug 2027'!T18="X"),1,0))</f>
        <v/>
      </c>
      <c r="O329" s="345">
        <f>IF($A329="","",IF(OR('Aug 2027'!T20=TRUE,'Aug 2027'!T20="x",'Aug 2027'!T20="X"),1,0))</f>
        <v/>
      </c>
      <c r="P329" s="345">
        <f>IF($A329="","",IF(OR('Aug 2027'!T21=TRUE,'Aug 2027'!T21="x",'Aug 2027'!T21="X"),1,0))</f>
        <v/>
      </c>
      <c r="Q329" s="345">
        <f>IF($A329="","",IF(OR('Aug 2027'!T22=TRUE,'Aug 2027'!T22="x",'Aug 2027'!T22="X"),1,0))</f>
        <v/>
      </c>
      <c r="R329" s="345">
        <f>IF($A329="","",IF(OR('Aug 2027'!T23=TRUE,'Aug 2027'!T23="x",'Aug 2027'!T23="X"),1,0))</f>
        <v/>
      </c>
      <c r="S329" s="345">
        <f>IF($A329="","",IF(OR('Aug 2027'!T24=TRUE,'Aug 2027'!T24="x",'Aug 2027'!T24="X"),1,0))</f>
        <v/>
      </c>
      <c r="T329" s="345">
        <f>IF($A329="","",IF(OR('Aug 2027'!T25=TRUE,'Aug 2027'!T25="x",'Aug 2027'!T25="X"),1,0))</f>
        <v/>
      </c>
      <c r="U329" s="345">
        <f>IF($A329="","",IF(OR('Aug 2027'!T26=TRUE,'Aug 2027'!T26="x",'Aug 2027'!T26="X"),1,0))</f>
        <v/>
      </c>
      <c r="V329" s="345">
        <f>IF($A329="","",IF(OR('Aug 2027'!T27=TRUE,'Aug 2027'!T27="x",'Aug 2027'!T27="X"),1,0))</f>
        <v/>
      </c>
      <c r="W329" s="345">
        <f>IF($A329="","",IF(OR('Aug 2027'!T28=TRUE,'Aug 2027'!T28="x",'Aug 2027'!T28="X"),1,0))</f>
        <v/>
      </c>
      <c r="X329" s="345">
        <f>IF($A329="","",IF(OR('Aug 2027'!T29=TRUE,'Aug 2027'!T29="x",'Aug 2027'!T29="X"),1,0))</f>
        <v/>
      </c>
      <c r="Y329" s="345">
        <f>IF($A329="","",IF(OR('Aug 2027'!T30=TRUE,'Aug 2027'!T30="x",'Aug 2027'!T30="X"),1,0))</f>
        <v/>
      </c>
      <c r="Z329" s="345">
        <f>IF($A329="","",IF(OR('Aug 2027'!T31=TRUE,'Aug 2027'!T31="x",'Aug 2027'!T31="X"),1,0))</f>
        <v/>
      </c>
      <c r="AA329" s="345">
        <f>IF($A329="","",IF(OR('Aug 2027'!T32=TRUE,'Aug 2027'!T32="x",'Aug 2027'!T32="X"),1,0))</f>
        <v/>
      </c>
      <c r="AB329" s="345">
        <f>IF($A329="","",IF(OR('Aug 2027'!T34=TRUE,'Aug 2027'!T34="x",'Aug 2027'!T34="X"),1,0))</f>
        <v/>
      </c>
      <c r="AC329" s="345">
        <f>IF($A329="","",IF(OR('Aug 2027'!T35=TRUE,'Aug 2027'!T35="x",'Aug 2027'!T35="X"),1,0))</f>
        <v/>
      </c>
      <c r="AD329" s="345">
        <f>IF($A329="","",IF(OR('Aug 2027'!T36=TRUE,'Aug 2027'!T36="x",'Aug 2027'!T36="X"),1,0))</f>
        <v/>
      </c>
      <c r="AE329" s="345">
        <f>IF($A329="","",IF(OR('Aug 2027'!T37=TRUE,'Aug 2027'!T37="x",'Aug 2027'!T37="X"),1,0))</f>
        <v/>
      </c>
      <c r="AF329" s="345">
        <f>IF($A329="","",IF('Aug 2027'!T59="","",'Aug 2027'!T59))</f>
        <v/>
      </c>
      <c r="AG329" s="345">
        <f>IF($A329="","",IF('Aug 2027'!T60="","",'Aug 2027'!T60))</f>
        <v/>
      </c>
      <c r="AH329" s="345">
        <f>IF($A329="","",IF('Aug 2027'!T61="","",'Aug 2027'!T61))</f>
        <v/>
      </c>
      <c r="AI329" s="345">
        <f>IF($A329="","",IF('Aug 2027'!T62="","",'Aug 2027'!T62))</f>
        <v/>
      </c>
      <c r="AJ329" s="345">
        <f>IF($A329="","",IF('Aug 2027'!T63="","",'Aug 2027'!T63))</f>
        <v/>
      </c>
      <c r="AK329" s="345">
        <f>IF($A329="","",IF('Aug 2027'!T64="","",'Aug 2027'!T64))</f>
        <v/>
      </c>
      <c r="AL329" s="345">
        <f>IF($A329="","",IF('Aug 2027'!T65="","",'Aug 2027'!T65))</f>
        <v/>
      </c>
      <c r="AM329" s="345">
        <f>IF($A329="","",IF('Aug 2027'!T66="","",'Aug 2027'!T66))</f>
        <v/>
      </c>
      <c r="AN329" s="345">
        <f>IF($A329="","",IF('Aug 2027'!T67="","",'Aug 2027'!T67))</f>
        <v/>
      </c>
      <c r="AO329" s="345">
        <f>IF($A329="",0,IF(AND($A329&gt;=TrackStart,$A329&lt;=TODAY()),1,0))</f>
        <v/>
      </c>
      <c r="AP329" s="345">
        <f>IF($A329="",0,IF(SUM(F329:AE329)+COUNT(AF329:AN329)&gt;0,1,0))</f>
        <v/>
      </c>
      <c r="AQ329" s="345">
        <f>IF($A329="","",INT(($A329-TrackStart)/7)+1)</f>
        <v/>
      </c>
      <c r="AR329" s="345">
        <f>IF($A329="","",IF(AQ329&lt;=1,Steps1,IF(AQ329=2,Steps2,Steps3)))</f>
        <v/>
      </c>
      <c r="AS329" s="345">
        <f>IF($A329="",0,IF(ISNUMBER(SEARCH(TEXT(D329,"0"),WorkDays&amp;"")),1,0))</f>
        <v/>
      </c>
      <c r="AT329" s="345">
        <f>IF($A329="",0,IF(ISNUMBER(SEARCH(TEXT(D329,"0"),StrDays&amp;"")),1,0))</f>
        <v/>
      </c>
      <c r="AU329" s="345">
        <f>IF($A329="",0,IF(ISNUMBER(AK329),IF(AK329&gt;=SleepMin,1,0),N329))</f>
        <v/>
      </c>
      <c r="AV329" s="345">
        <f>IF($A329="",0,MAX(I329,O329,S329,AC329))</f>
        <v/>
      </c>
      <c r="AW329" s="345">
        <f>IF($A329="",0,IF(ISNUMBER(AH329),IF(AH329&gt;=ProtHit,1,0),0))</f>
        <v/>
      </c>
      <c r="AX329" s="345">
        <f>IF($A329="",0,IF(ISNUMBER(AI329),IF(AI329&gt;=WaterHit,1,0),0))</f>
        <v/>
      </c>
      <c r="AY329" s="345">
        <f>IF($A329="",0,IF(ISNUMBER(AG329),IF(AG329&gt;=AR329,1,0),0))</f>
        <v/>
      </c>
      <c r="AZ329" s="345">
        <f>IF($A329="",0,G329)</f>
        <v/>
      </c>
      <c r="BA329" s="345">
        <f>IF($A329="",0,J329)</f>
        <v/>
      </c>
      <c r="BB329" s="345">
        <f>IF($A329="",0,K329)</f>
        <v/>
      </c>
      <c r="BC329" s="345">
        <f>IF($A329="",0,MAX(L329,AE329))</f>
        <v/>
      </c>
      <c r="BD329" s="344">
        <f>IF($A329="","",(AU329+AV329+AW329+AX329+AY329+AZ329+BB329+BC329+IF(AS329=1,BA329,0))/(8+AS329))</f>
        <v/>
      </c>
      <c r="BE329" s="344">
        <f>IF($A329="","",(IF(ISNUMBER(AI329),IF(AI329&gt;=WaterMVD,1,0),0)+AV329+IF(ISNUMBER(AH329),IF(AH329&gt;=ProtMVD,1,0),0)+MAX(H329,AD329)+AZ329+BB329+AU329)/7)</f>
        <v/>
      </c>
      <c r="BF329" s="344">
        <f>IF(AO329=0,"",IF(E329="S","",IF(AND(AP329=0,$A329=TODAY()),"",IF(E329="M",BE329,BD329))))</f>
        <v/>
      </c>
      <c r="BG329" s="344">
        <f>IF(AO329=0,"",IFERROR(AVERAGEIFS(Data!$BF$4:$BF$375,Data!$A$4:$A$375,"&gt;"&amp;($A329-7),Data!$A$4:$A$375,"&lt;="&amp;$A329),""))</f>
        <v/>
      </c>
      <c r="BH329" s="344">
        <f>IF(AO329=0,"",IFERROR(AVERAGEIFS(Data!$BF$4:$BF$375,Data!$A$4:$A$375,"&gt;"&amp;($A329-30),Data!$A$4:$A$375,"&lt;="&amp;$A329),""))</f>
        <v/>
      </c>
      <c r="BI329" s="359">
        <f>IF($A329="","",IFERROR(AVERAGEIFS(Data!$AF$4:$AF$375,Data!$A$4:$A$375,"&gt;"&amp;($A329-7),Data!$A$4:$A$375,"&lt;="&amp;$A329,Data!$AF$4:$AF$375,"&gt;0"),""))</f>
        <v/>
      </c>
      <c r="BJ329" s="345">
        <f>IF($A329="","",F329+G329+H329+I329+J329+K329+L329+M329+N329-IF(AS329=1,0,J329))</f>
        <v/>
      </c>
      <c r="BK329" s="345">
        <f>IF($A329="","",8+AS329)</f>
        <v/>
      </c>
      <c r="BL329" s="345">
        <f>IF(ISNUMBER(BF329),BF329,NA())</f>
        <v/>
      </c>
      <c r="BM329" s="345">
        <f>IF(ISNUMBER(AF329),AF329,NA())</f>
        <v/>
      </c>
      <c r="BN329" s="345">
        <f>IF(ISNUMBER(BI329),BI329,NA())</f>
        <v/>
      </c>
      <c r="BO329" s="345">
        <f>IF(ISNUMBER(AL329),AL329,NA())</f>
        <v/>
      </c>
      <c r="BP329" s="345">
        <f>IF(ISNUMBER(AM329),AM329,NA())</f>
        <v/>
      </c>
      <c r="BQ329" s="345">
        <f>IF(ISNUMBER(AN329),AN329,NA())</f>
        <v/>
      </c>
    </row>
    <row r="330">
      <c r="A330" s="358">
        <f>IF('Aug 2027'!U7="","",'Aug 2027'!U7)</f>
        <v/>
      </c>
      <c r="B330" s="345" t="n">
        <v>11</v>
      </c>
      <c r="C330" s="345">
        <f>IF($A330="","",17)</f>
        <v/>
      </c>
      <c r="D330" s="345">
        <f>IF($A330="","",WEEKDAY($A330,2))</f>
        <v/>
      </c>
      <c r="E330" s="345">
        <f>IF($A330="","",UPPER(TRIM('Aug 2027'!U8)))</f>
        <v/>
      </c>
      <c r="F330" s="345">
        <f>IF($A330="","",IF(OR('Aug 2027'!U10=TRUE,'Aug 2027'!U10="x",'Aug 2027'!U10="X"),1,0))</f>
        <v/>
      </c>
      <c r="G330" s="345">
        <f>IF($A330="","",IF(OR('Aug 2027'!U11=TRUE,'Aug 2027'!U11="x",'Aug 2027'!U11="X"),1,0))</f>
        <v/>
      </c>
      <c r="H330" s="345">
        <f>IF($A330="","",IF(OR('Aug 2027'!U12=TRUE,'Aug 2027'!U12="x",'Aug 2027'!U12="X"),1,0))</f>
        <v/>
      </c>
      <c r="I330" s="345">
        <f>IF($A330="","",IF(OR('Aug 2027'!U13=TRUE,'Aug 2027'!U13="x",'Aug 2027'!U13="X"),1,0))</f>
        <v/>
      </c>
      <c r="J330" s="345">
        <f>IF($A330="","",IF(OR('Aug 2027'!U14=TRUE,'Aug 2027'!U14="x",'Aug 2027'!U14="X"),1,0))</f>
        <v/>
      </c>
      <c r="K330" s="345">
        <f>IF($A330="","",IF(OR('Aug 2027'!U15=TRUE,'Aug 2027'!U15="x",'Aug 2027'!U15="X"),1,0))</f>
        <v/>
      </c>
      <c r="L330" s="345">
        <f>IF($A330="","",IF(OR('Aug 2027'!U16=TRUE,'Aug 2027'!U16="x",'Aug 2027'!U16="X"),1,0))</f>
        <v/>
      </c>
      <c r="M330" s="345">
        <f>IF($A330="","",IF(OR('Aug 2027'!U17=TRUE,'Aug 2027'!U17="x",'Aug 2027'!U17="X"),1,0))</f>
        <v/>
      </c>
      <c r="N330" s="345">
        <f>IF($A330="","",IF(OR('Aug 2027'!U18=TRUE,'Aug 2027'!U18="x",'Aug 2027'!U18="X"),1,0))</f>
        <v/>
      </c>
      <c r="O330" s="345">
        <f>IF($A330="","",IF(OR('Aug 2027'!U20=TRUE,'Aug 2027'!U20="x",'Aug 2027'!U20="X"),1,0))</f>
        <v/>
      </c>
      <c r="P330" s="345">
        <f>IF($A330="","",IF(OR('Aug 2027'!U21=TRUE,'Aug 2027'!U21="x",'Aug 2027'!U21="X"),1,0))</f>
        <v/>
      </c>
      <c r="Q330" s="345">
        <f>IF($A330="","",IF(OR('Aug 2027'!U22=TRUE,'Aug 2027'!U22="x",'Aug 2027'!U22="X"),1,0))</f>
        <v/>
      </c>
      <c r="R330" s="345">
        <f>IF($A330="","",IF(OR('Aug 2027'!U23=TRUE,'Aug 2027'!U23="x",'Aug 2027'!U23="X"),1,0))</f>
        <v/>
      </c>
      <c r="S330" s="345">
        <f>IF($A330="","",IF(OR('Aug 2027'!U24=TRUE,'Aug 2027'!U24="x",'Aug 2027'!U24="X"),1,0))</f>
        <v/>
      </c>
      <c r="T330" s="345">
        <f>IF($A330="","",IF(OR('Aug 2027'!U25=TRUE,'Aug 2027'!U25="x",'Aug 2027'!U25="X"),1,0))</f>
        <v/>
      </c>
      <c r="U330" s="345">
        <f>IF($A330="","",IF(OR('Aug 2027'!U26=TRUE,'Aug 2027'!U26="x",'Aug 2027'!U26="X"),1,0))</f>
        <v/>
      </c>
      <c r="V330" s="345">
        <f>IF($A330="","",IF(OR('Aug 2027'!U27=TRUE,'Aug 2027'!U27="x",'Aug 2027'!U27="X"),1,0))</f>
        <v/>
      </c>
      <c r="W330" s="345">
        <f>IF($A330="","",IF(OR('Aug 2027'!U28=TRUE,'Aug 2027'!U28="x",'Aug 2027'!U28="X"),1,0))</f>
        <v/>
      </c>
      <c r="X330" s="345">
        <f>IF($A330="","",IF(OR('Aug 2027'!U29=TRUE,'Aug 2027'!U29="x",'Aug 2027'!U29="X"),1,0))</f>
        <v/>
      </c>
      <c r="Y330" s="345">
        <f>IF($A330="","",IF(OR('Aug 2027'!U30=TRUE,'Aug 2027'!U30="x",'Aug 2027'!U30="X"),1,0))</f>
        <v/>
      </c>
      <c r="Z330" s="345">
        <f>IF($A330="","",IF(OR('Aug 2027'!U31=TRUE,'Aug 2027'!U31="x",'Aug 2027'!U31="X"),1,0))</f>
        <v/>
      </c>
      <c r="AA330" s="345">
        <f>IF($A330="","",IF(OR('Aug 2027'!U32=TRUE,'Aug 2027'!U32="x",'Aug 2027'!U32="X"),1,0))</f>
        <v/>
      </c>
      <c r="AB330" s="345">
        <f>IF($A330="","",IF(OR('Aug 2027'!U34=TRUE,'Aug 2027'!U34="x",'Aug 2027'!U34="X"),1,0))</f>
        <v/>
      </c>
      <c r="AC330" s="345">
        <f>IF($A330="","",IF(OR('Aug 2027'!U35=TRUE,'Aug 2027'!U35="x",'Aug 2027'!U35="X"),1,0))</f>
        <v/>
      </c>
      <c r="AD330" s="345">
        <f>IF($A330="","",IF(OR('Aug 2027'!U36=TRUE,'Aug 2027'!U36="x",'Aug 2027'!U36="X"),1,0))</f>
        <v/>
      </c>
      <c r="AE330" s="345">
        <f>IF($A330="","",IF(OR('Aug 2027'!U37=TRUE,'Aug 2027'!U37="x",'Aug 2027'!U37="X"),1,0))</f>
        <v/>
      </c>
      <c r="AF330" s="345">
        <f>IF($A330="","",IF('Aug 2027'!U59="","",'Aug 2027'!U59))</f>
        <v/>
      </c>
      <c r="AG330" s="345">
        <f>IF($A330="","",IF('Aug 2027'!U60="","",'Aug 2027'!U60))</f>
        <v/>
      </c>
      <c r="AH330" s="345">
        <f>IF($A330="","",IF('Aug 2027'!U61="","",'Aug 2027'!U61))</f>
        <v/>
      </c>
      <c r="AI330" s="345">
        <f>IF($A330="","",IF('Aug 2027'!U62="","",'Aug 2027'!U62))</f>
        <v/>
      </c>
      <c r="AJ330" s="345">
        <f>IF($A330="","",IF('Aug 2027'!U63="","",'Aug 2027'!U63))</f>
        <v/>
      </c>
      <c r="AK330" s="345">
        <f>IF($A330="","",IF('Aug 2027'!U64="","",'Aug 2027'!U64))</f>
        <v/>
      </c>
      <c r="AL330" s="345">
        <f>IF($A330="","",IF('Aug 2027'!U65="","",'Aug 2027'!U65))</f>
        <v/>
      </c>
      <c r="AM330" s="345">
        <f>IF($A330="","",IF('Aug 2027'!U66="","",'Aug 2027'!U66))</f>
        <v/>
      </c>
      <c r="AN330" s="345">
        <f>IF($A330="","",IF('Aug 2027'!U67="","",'Aug 2027'!U67))</f>
        <v/>
      </c>
      <c r="AO330" s="345">
        <f>IF($A330="",0,IF(AND($A330&gt;=TrackStart,$A330&lt;=TODAY()),1,0))</f>
        <v/>
      </c>
      <c r="AP330" s="345">
        <f>IF($A330="",0,IF(SUM(F330:AE330)+COUNT(AF330:AN330)&gt;0,1,0))</f>
        <v/>
      </c>
      <c r="AQ330" s="345">
        <f>IF($A330="","",INT(($A330-TrackStart)/7)+1)</f>
        <v/>
      </c>
      <c r="AR330" s="345">
        <f>IF($A330="","",IF(AQ330&lt;=1,Steps1,IF(AQ330=2,Steps2,Steps3)))</f>
        <v/>
      </c>
      <c r="AS330" s="345">
        <f>IF($A330="",0,IF(ISNUMBER(SEARCH(TEXT(D330,"0"),WorkDays&amp;"")),1,0))</f>
        <v/>
      </c>
      <c r="AT330" s="345">
        <f>IF($A330="",0,IF(ISNUMBER(SEARCH(TEXT(D330,"0"),StrDays&amp;"")),1,0))</f>
        <v/>
      </c>
      <c r="AU330" s="345">
        <f>IF($A330="",0,IF(ISNUMBER(AK330),IF(AK330&gt;=SleepMin,1,0),N330))</f>
        <v/>
      </c>
      <c r="AV330" s="345">
        <f>IF($A330="",0,MAX(I330,O330,S330,AC330))</f>
        <v/>
      </c>
      <c r="AW330" s="345">
        <f>IF($A330="",0,IF(ISNUMBER(AH330),IF(AH330&gt;=ProtHit,1,0),0))</f>
        <v/>
      </c>
      <c r="AX330" s="345">
        <f>IF($A330="",0,IF(ISNUMBER(AI330),IF(AI330&gt;=WaterHit,1,0),0))</f>
        <v/>
      </c>
      <c r="AY330" s="345">
        <f>IF($A330="",0,IF(ISNUMBER(AG330),IF(AG330&gt;=AR330,1,0),0))</f>
        <v/>
      </c>
      <c r="AZ330" s="345">
        <f>IF($A330="",0,G330)</f>
        <v/>
      </c>
      <c r="BA330" s="345">
        <f>IF($A330="",0,J330)</f>
        <v/>
      </c>
      <c r="BB330" s="345">
        <f>IF($A330="",0,K330)</f>
        <v/>
      </c>
      <c r="BC330" s="345">
        <f>IF($A330="",0,MAX(L330,AE330))</f>
        <v/>
      </c>
      <c r="BD330" s="344">
        <f>IF($A330="","",(AU330+AV330+AW330+AX330+AY330+AZ330+BB330+BC330+IF(AS330=1,BA330,0))/(8+AS330))</f>
        <v/>
      </c>
      <c r="BE330" s="344">
        <f>IF($A330="","",(IF(ISNUMBER(AI330),IF(AI330&gt;=WaterMVD,1,0),0)+AV330+IF(ISNUMBER(AH330),IF(AH330&gt;=ProtMVD,1,0),0)+MAX(H330,AD330)+AZ330+BB330+AU330)/7)</f>
        <v/>
      </c>
      <c r="BF330" s="344">
        <f>IF(AO330=0,"",IF(E330="S","",IF(AND(AP330=0,$A330=TODAY()),"",IF(E330="M",BE330,BD330))))</f>
        <v/>
      </c>
      <c r="BG330" s="344">
        <f>IF(AO330=0,"",IFERROR(AVERAGEIFS(Data!$BF$4:$BF$375,Data!$A$4:$A$375,"&gt;"&amp;($A330-7),Data!$A$4:$A$375,"&lt;="&amp;$A330),""))</f>
        <v/>
      </c>
      <c r="BH330" s="344">
        <f>IF(AO330=0,"",IFERROR(AVERAGEIFS(Data!$BF$4:$BF$375,Data!$A$4:$A$375,"&gt;"&amp;($A330-30),Data!$A$4:$A$375,"&lt;="&amp;$A330),""))</f>
        <v/>
      </c>
      <c r="BI330" s="359">
        <f>IF($A330="","",IFERROR(AVERAGEIFS(Data!$AF$4:$AF$375,Data!$A$4:$A$375,"&gt;"&amp;($A330-7),Data!$A$4:$A$375,"&lt;="&amp;$A330,Data!$AF$4:$AF$375,"&gt;0"),""))</f>
        <v/>
      </c>
      <c r="BJ330" s="345">
        <f>IF($A330="","",F330+G330+H330+I330+J330+K330+L330+M330+N330-IF(AS330=1,0,J330))</f>
        <v/>
      </c>
      <c r="BK330" s="345">
        <f>IF($A330="","",8+AS330)</f>
        <v/>
      </c>
      <c r="BL330" s="345">
        <f>IF(ISNUMBER(BF330),BF330,NA())</f>
        <v/>
      </c>
      <c r="BM330" s="345">
        <f>IF(ISNUMBER(AF330),AF330,NA())</f>
        <v/>
      </c>
      <c r="BN330" s="345">
        <f>IF(ISNUMBER(BI330),BI330,NA())</f>
        <v/>
      </c>
      <c r="BO330" s="345">
        <f>IF(ISNUMBER(AL330),AL330,NA())</f>
        <v/>
      </c>
      <c r="BP330" s="345">
        <f>IF(ISNUMBER(AM330),AM330,NA())</f>
        <v/>
      </c>
      <c r="BQ330" s="345">
        <f>IF(ISNUMBER(AN330),AN330,NA())</f>
        <v/>
      </c>
    </row>
    <row r="331">
      <c r="A331" s="358">
        <f>IF('Aug 2027'!V7="","",'Aug 2027'!V7)</f>
        <v/>
      </c>
      <c r="B331" s="345" t="n">
        <v>11</v>
      </c>
      <c r="C331" s="345">
        <f>IF($A331="","",18)</f>
        <v/>
      </c>
      <c r="D331" s="345">
        <f>IF($A331="","",WEEKDAY($A331,2))</f>
        <v/>
      </c>
      <c r="E331" s="345">
        <f>IF($A331="","",UPPER(TRIM('Aug 2027'!V8)))</f>
        <v/>
      </c>
      <c r="F331" s="345">
        <f>IF($A331="","",IF(OR('Aug 2027'!V10=TRUE,'Aug 2027'!V10="x",'Aug 2027'!V10="X"),1,0))</f>
        <v/>
      </c>
      <c r="G331" s="345">
        <f>IF($A331="","",IF(OR('Aug 2027'!V11=TRUE,'Aug 2027'!V11="x",'Aug 2027'!V11="X"),1,0))</f>
        <v/>
      </c>
      <c r="H331" s="345">
        <f>IF($A331="","",IF(OR('Aug 2027'!V12=TRUE,'Aug 2027'!V12="x",'Aug 2027'!V12="X"),1,0))</f>
        <v/>
      </c>
      <c r="I331" s="345">
        <f>IF($A331="","",IF(OR('Aug 2027'!V13=TRUE,'Aug 2027'!V13="x",'Aug 2027'!V13="X"),1,0))</f>
        <v/>
      </c>
      <c r="J331" s="345">
        <f>IF($A331="","",IF(OR('Aug 2027'!V14=TRUE,'Aug 2027'!V14="x",'Aug 2027'!V14="X"),1,0))</f>
        <v/>
      </c>
      <c r="K331" s="345">
        <f>IF($A331="","",IF(OR('Aug 2027'!V15=TRUE,'Aug 2027'!V15="x",'Aug 2027'!V15="X"),1,0))</f>
        <v/>
      </c>
      <c r="L331" s="345">
        <f>IF($A331="","",IF(OR('Aug 2027'!V16=TRUE,'Aug 2027'!V16="x",'Aug 2027'!V16="X"),1,0))</f>
        <v/>
      </c>
      <c r="M331" s="345">
        <f>IF($A331="","",IF(OR('Aug 2027'!V17=TRUE,'Aug 2027'!V17="x",'Aug 2027'!V17="X"),1,0))</f>
        <v/>
      </c>
      <c r="N331" s="345">
        <f>IF($A331="","",IF(OR('Aug 2027'!V18=TRUE,'Aug 2027'!V18="x",'Aug 2027'!V18="X"),1,0))</f>
        <v/>
      </c>
      <c r="O331" s="345">
        <f>IF($A331="","",IF(OR('Aug 2027'!V20=TRUE,'Aug 2027'!V20="x",'Aug 2027'!V20="X"),1,0))</f>
        <v/>
      </c>
      <c r="P331" s="345">
        <f>IF($A331="","",IF(OR('Aug 2027'!V21=TRUE,'Aug 2027'!V21="x",'Aug 2027'!V21="X"),1,0))</f>
        <v/>
      </c>
      <c r="Q331" s="345">
        <f>IF($A331="","",IF(OR('Aug 2027'!V22=TRUE,'Aug 2027'!V22="x",'Aug 2027'!V22="X"),1,0))</f>
        <v/>
      </c>
      <c r="R331" s="345">
        <f>IF($A331="","",IF(OR('Aug 2027'!V23=TRUE,'Aug 2027'!V23="x",'Aug 2027'!V23="X"),1,0))</f>
        <v/>
      </c>
      <c r="S331" s="345">
        <f>IF($A331="","",IF(OR('Aug 2027'!V24=TRUE,'Aug 2027'!V24="x",'Aug 2027'!V24="X"),1,0))</f>
        <v/>
      </c>
      <c r="T331" s="345">
        <f>IF($A331="","",IF(OR('Aug 2027'!V25=TRUE,'Aug 2027'!V25="x",'Aug 2027'!V25="X"),1,0))</f>
        <v/>
      </c>
      <c r="U331" s="345">
        <f>IF($A331="","",IF(OR('Aug 2027'!V26=TRUE,'Aug 2027'!V26="x",'Aug 2027'!V26="X"),1,0))</f>
        <v/>
      </c>
      <c r="V331" s="345">
        <f>IF($A331="","",IF(OR('Aug 2027'!V27=TRUE,'Aug 2027'!V27="x",'Aug 2027'!V27="X"),1,0))</f>
        <v/>
      </c>
      <c r="W331" s="345">
        <f>IF($A331="","",IF(OR('Aug 2027'!V28=TRUE,'Aug 2027'!V28="x",'Aug 2027'!V28="X"),1,0))</f>
        <v/>
      </c>
      <c r="X331" s="345">
        <f>IF($A331="","",IF(OR('Aug 2027'!V29=TRUE,'Aug 2027'!V29="x",'Aug 2027'!V29="X"),1,0))</f>
        <v/>
      </c>
      <c r="Y331" s="345">
        <f>IF($A331="","",IF(OR('Aug 2027'!V30=TRUE,'Aug 2027'!V30="x",'Aug 2027'!V30="X"),1,0))</f>
        <v/>
      </c>
      <c r="Z331" s="345">
        <f>IF($A331="","",IF(OR('Aug 2027'!V31=TRUE,'Aug 2027'!V31="x",'Aug 2027'!V31="X"),1,0))</f>
        <v/>
      </c>
      <c r="AA331" s="345">
        <f>IF($A331="","",IF(OR('Aug 2027'!V32=TRUE,'Aug 2027'!V32="x",'Aug 2027'!V32="X"),1,0))</f>
        <v/>
      </c>
      <c r="AB331" s="345">
        <f>IF($A331="","",IF(OR('Aug 2027'!V34=TRUE,'Aug 2027'!V34="x",'Aug 2027'!V34="X"),1,0))</f>
        <v/>
      </c>
      <c r="AC331" s="345">
        <f>IF($A331="","",IF(OR('Aug 2027'!V35=TRUE,'Aug 2027'!V35="x",'Aug 2027'!V35="X"),1,0))</f>
        <v/>
      </c>
      <c r="AD331" s="345">
        <f>IF($A331="","",IF(OR('Aug 2027'!V36=TRUE,'Aug 2027'!V36="x",'Aug 2027'!V36="X"),1,0))</f>
        <v/>
      </c>
      <c r="AE331" s="345">
        <f>IF($A331="","",IF(OR('Aug 2027'!V37=TRUE,'Aug 2027'!V37="x",'Aug 2027'!V37="X"),1,0))</f>
        <v/>
      </c>
      <c r="AF331" s="345">
        <f>IF($A331="","",IF('Aug 2027'!V59="","",'Aug 2027'!V59))</f>
        <v/>
      </c>
      <c r="AG331" s="345">
        <f>IF($A331="","",IF('Aug 2027'!V60="","",'Aug 2027'!V60))</f>
        <v/>
      </c>
      <c r="AH331" s="345">
        <f>IF($A331="","",IF('Aug 2027'!V61="","",'Aug 2027'!V61))</f>
        <v/>
      </c>
      <c r="AI331" s="345">
        <f>IF($A331="","",IF('Aug 2027'!V62="","",'Aug 2027'!V62))</f>
        <v/>
      </c>
      <c r="AJ331" s="345">
        <f>IF($A331="","",IF('Aug 2027'!V63="","",'Aug 2027'!V63))</f>
        <v/>
      </c>
      <c r="AK331" s="345">
        <f>IF($A331="","",IF('Aug 2027'!V64="","",'Aug 2027'!V64))</f>
        <v/>
      </c>
      <c r="AL331" s="345">
        <f>IF($A331="","",IF('Aug 2027'!V65="","",'Aug 2027'!V65))</f>
        <v/>
      </c>
      <c r="AM331" s="345">
        <f>IF($A331="","",IF('Aug 2027'!V66="","",'Aug 2027'!V66))</f>
        <v/>
      </c>
      <c r="AN331" s="345">
        <f>IF($A331="","",IF('Aug 2027'!V67="","",'Aug 2027'!V67))</f>
        <v/>
      </c>
      <c r="AO331" s="345">
        <f>IF($A331="",0,IF(AND($A331&gt;=TrackStart,$A331&lt;=TODAY()),1,0))</f>
        <v/>
      </c>
      <c r="AP331" s="345">
        <f>IF($A331="",0,IF(SUM(F331:AE331)+COUNT(AF331:AN331)&gt;0,1,0))</f>
        <v/>
      </c>
      <c r="AQ331" s="345">
        <f>IF($A331="","",INT(($A331-TrackStart)/7)+1)</f>
        <v/>
      </c>
      <c r="AR331" s="345">
        <f>IF($A331="","",IF(AQ331&lt;=1,Steps1,IF(AQ331=2,Steps2,Steps3)))</f>
        <v/>
      </c>
      <c r="AS331" s="345">
        <f>IF($A331="",0,IF(ISNUMBER(SEARCH(TEXT(D331,"0"),WorkDays&amp;"")),1,0))</f>
        <v/>
      </c>
      <c r="AT331" s="345">
        <f>IF($A331="",0,IF(ISNUMBER(SEARCH(TEXT(D331,"0"),StrDays&amp;"")),1,0))</f>
        <v/>
      </c>
      <c r="AU331" s="345">
        <f>IF($A331="",0,IF(ISNUMBER(AK331),IF(AK331&gt;=SleepMin,1,0),N331))</f>
        <v/>
      </c>
      <c r="AV331" s="345">
        <f>IF($A331="",0,MAX(I331,O331,S331,AC331))</f>
        <v/>
      </c>
      <c r="AW331" s="345">
        <f>IF($A331="",0,IF(ISNUMBER(AH331),IF(AH331&gt;=ProtHit,1,0),0))</f>
        <v/>
      </c>
      <c r="AX331" s="345">
        <f>IF($A331="",0,IF(ISNUMBER(AI331),IF(AI331&gt;=WaterHit,1,0),0))</f>
        <v/>
      </c>
      <c r="AY331" s="345">
        <f>IF($A331="",0,IF(ISNUMBER(AG331),IF(AG331&gt;=AR331,1,0),0))</f>
        <v/>
      </c>
      <c r="AZ331" s="345">
        <f>IF($A331="",0,G331)</f>
        <v/>
      </c>
      <c r="BA331" s="345">
        <f>IF($A331="",0,J331)</f>
        <v/>
      </c>
      <c r="BB331" s="345">
        <f>IF($A331="",0,K331)</f>
        <v/>
      </c>
      <c r="BC331" s="345">
        <f>IF($A331="",0,MAX(L331,AE331))</f>
        <v/>
      </c>
      <c r="BD331" s="344">
        <f>IF($A331="","",(AU331+AV331+AW331+AX331+AY331+AZ331+BB331+BC331+IF(AS331=1,BA331,0))/(8+AS331))</f>
        <v/>
      </c>
      <c r="BE331" s="344">
        <f>IF($A331="","",(IF(ISNUMBER(AI331),IF(AI331&gt;=WaterMVD,1,0),0)+AV331+IF(ISNUMBER(AH331),IF(AH331&gt;=ProtMVD,1,0),0)+MAX(H331,AD331)+AZ331+BB331+AU331)/7)</f>
        <v/>
      </c>
      <c r="BF331" s="344">
        <f>IF(AO331=0,"",IF(E331="S","",IF(AND(AP331=0,$A331=TODAY()),"",IF(E331="M",BE331,BD331))))</f>
        <v/>
      </c>
      <c r="BG331" s="344">
        <f>IF(AO331=0,"",IFERROR(AVERAGEIFS(Data!$BF$4:$BF$375,Data!$A$4:$A$375,"&gt;"&amp;($A331-7),Data!$A$4:$A$375,"&lt;="&amp;$A331),""))</f>
        <v/>
      </c>
      <c r="BH331" s="344">
        <f>IF(AO331=0,"",IFERROR(AVERAGEIFS(Data!$BF$4:$BF$375,Data!$A$4:$A$375,"&gt;"&amp;($A331-30),Data!$A$4:$A$375,"&lt;="&amp;$A331),""))</f>
        <v/>
      </c>
      <c r="BI331" s="359">
        <f>IF($A331="","",IFERROR(AVERAGEIFS(Data!$AF$4:$AF$375,Data!$A$4:$A$375,"&gt;"&amp;($A331-7),Data!$A$4:$A$375,"&lt;="&amp;$A331,Data!$AF$4:$AF$375,"&gt;0"),""))</f>
        <v/>
      </c>
      <c r="BJ331" s="345">
        <f>IF($A331="","",F331+G331+H331+I331+J331+K331+L331+M331+N331-IF(AS331=1,0,J331))</f>
        <v/>
      </c>
      <c r="BK331" s="345">
        <f>IF($A331="","",8+AS331)</f>
        <v/>
      </c>
      <c r="BL331" s="345">
        <f>IF(ISNUMBER(BF331),BF331,NA())</f>
        <v/>
      </c>
      <c r="BM331" s="345">
        <f>IF(ISNUMBER(AF331),AF331,NA())</f>
        <v/>
      </c>
      <c r="BN331" s="345">
        <f>IF(ISNUMBER(BI331),BI331,NA())</f>
        <v/>
      </c>
      <c r="BO331" s="345">
        <f>IF(ISNUMBER(AL331),AL331,NA())</f>
        <v/>
      </c>
      <c r="BP331" s="345">
        <f>IF(ISNUMBER(AM331),AM331,NA())</f>
        <v/>
      </c>
      <c r="BQ331" s="345">
        <f>IF(ISNUMBER(AN331),AN331,NA())</f>
        <v/>
      </c>
    </row>
    <row r="332">
      <c r="A332" s="358">
        <f>IF('Aug 2027'!W7="","",'Aug 2027'!W7)</f>
        <v/>
      </c>
      <c r="B332" s="345" t="n">
        <v>11</v>
      </c>
      <c r="C332" s="345">
        <f>IF($A332="","",19)</f>
        <v/>
      </c>
      <c r="D332" s="345">
        <f>IF($A332="","",WEEKDAY($A332,2))</f>
        <v/>
      </c>
      <c r="E332" s="345">
        <f>IF($A332="","",UPPER(TRIM('Aug 2027'!W8)))</f>
        <v/>
      </c>
      <c r="F332" s="345">
        <f>IF($A332="","",IF(OR('Aug 2027'!W10=TRUE,'Aug 2027'!W10="x",'Aug 2027'!W10="X"),1,0))</f>
        <v/>
      </c>
      <c r="G332" s="345">
        <f>IF($A332="","",IF(OR('Aug 2027'!W11=TRUE,'Aug 2027'!W11="x",'Aug 2027'!W11="X"),1,0))</f>
        <v/>
      </c>
      <c r="H332" s="345">
        <f>IF($A332="","",IF(OR('Aug 2027'!W12=TRUE,'Aug 2027'!W12="x",'Aug 2027'!W12="X"),1,0))</f>
        <v/>
      </c>
      <c r="I332" s="345">
        <f>IF($A332="","",IF(OR('Aug 2027'!W13=TRUE,'Aug 2027'!W13="x",'Aug 2027'!W13="X"),1,0))</f>
        <v/>
      </c>
      <c r="J332" s="345">
        <f>IF($A332="","",IF(OR('Aug 2027'!W14=TRUE,'Aug 2027'!W14="x",'Aug 2027'!W14="X"),1,0))</f>
        <v/>
      </c>
      <c r="K332" s="345">
        <f>IF($A332="","",IF(OR('Aug 2027'!W15=TRUE,'Aug 2027'!W15="x",'Aug 2027'!W15="X"),1,0))</f>
        <v/>
      </c>
      <c r="L332" s="345">
        <f>IF($A332="","",IF(OR('Aug 2027'!W16=TRUE,'Aug 2027'!W16="x",'Aug 2027'!W16="X"),1,0))</f>
        <v/>
      </c>
      <c r="M332" s="345">
        <f>IF($A332="","",IF(OR('Aug 2027'!W17=TRUE,'Aug 2027'!W17="x",'Aug 2027'!W17="X"),1,0))</f>
        <v/>
      </c>
      <c r="N332" s="345">
        <f>IF($A332="","",IF(OR('Aug 2027'!W18=TRUE,'Aug 2027'!W18="x",'Aug 2027'!W18="X"),1,0))</f>
        <v/>
      </c>
      <c r="O332" s="345">
        <f>IF($A332="","",IF(OR('Aug 2027'!W20=TRUE,'Aug 2027'!W20="x",'Aug 2027'!W20="X"),1,0))</f>
        <v/>
      </c>
      <c r="P332" s="345">
        <f>IF($A332="","",IF(OR('Aug 2027'!W21=TRUE,'Aug 2027'!W21="x",'Aug 2027'!W21="X"),1,0))</f>
        <v/>
      </c>
      <c r="Q332" s="345">
        <f>IF($A332="","",IF(OR('Aug 2027'!W22=TRUE,'Aug 2027'!W22="x",'Aug 2027'!W22="X"),1,0))</f>
        <v/>
      </c>
      <c r="R332" s="345">
        <f>IF($A332="","",IF(OR('Aug 2027'!W23=TRUE,'Aug 2027'!W23="x",'Aug 2027'!W23="X"),1,0))</f>
        <v/>
      </c>
      <c r="S332" s="345">
        <f>IF($A332="","",IF(OR('Aug 2027'!W24=TRUE,'Aug 2027'!W24="x",'Aug 2027'!W24="X"),1,0))</f>
        <v/>
      </c>
      <c r="T332" s="345">
        <f>IF($A332="","",IF(OR('Aug 2027'!W25=TRUE,'Aug 2027'!W25="x",'Aug 2027'!W25="X"),1,0))</f>
        <v/>
      </c>
      <c r="U332" s="345">
        <f>IF($A332="","",IF(OR('Aug 2027'!W26=TRUE,'Aug 2027'!W26="x",'Aug 2027'!W26="X"),1,0))</f>
        <v/>
      </c>
      <c r="V332" s="345">
        <f>IF($A332="","",IF(OR('Aug 2027'!W27=TRUE,'Aug 2027'!W27="x",'Aug 2027'!W27="X"),1,0))</f>
        <v/>
      </c>
      <c r="W332" s="345">
        <f>IF($A332="","",IF(OR('Aug 2027'!W28=TRUE,'Aug 2027'!W28="x",'Aug 2027'!W28="X"),1,0))</f>
        <v/>
      </c>
      <c r="X332" s="345">
        <f>IF($A332="","",IF(OR('Aug 2027'!W29=TRUE,'Aug 2027'!W29="x",'Aug 2027'!W29="X"),1,0))</f>
        <v/>
      </c>
      <c r="Y332" s="345">
        <f>IF($A332="","",IF(OR('Aug 2027'!W30=TRUE,'Aug 2027'!W30="x",'Aug 2027'!W30="X"),1,0))</f>
        <v/>
      </c>
      <c r="Z332" s="345">
        <f>IF($A332="","",IF(OR('Aug 2027'!W31=TRUE,'Aug 2027'!W31="x",'Aug 2027'!W31="X"),1,0))</f>
        <v/>
      </c>
      <c r="AA332" s="345">
        <f>IF($A332="","",IF(OR('Aug 2027'!W32=TRUE,'Aug 2027'!W32="x",'Aug 2027'!W32="X"),1,0))</f>
        <v/>
      </c>
      <c r="AB332" s="345">
        <f>IF($A332="","",IF(OR('Aug 2027'!W34=TRUE,'Aug 2027'!W34="x",'Aug 2027'!W34="X"),1,0))</f>
        <v/>
      </c>
      <c r="AC332" s="345">
        <f>IF($A332="","",IF(OR('Aug 2027'!W35=TRUE,'Aug 2027'!W35="x",'Aug 2027'!W35="X"),1,0))</f>
        <v/>
      </c>
      <c r="AD332" s="345">
        <f>IF($A332="","",IF(OR('Aug 2027'!W36=TRUE,'Aug 2027'!W36="x",'Aug 2027'!W36="X"),1,0))</f>
        <v/>
      </c>
      <c r="AE332" s="345">
        <f>IF($A332="","",IF(OR('Aug 2027'!W37=TRUE,'Aug 2027'!W37="x",'Aug 2027'!W37="X"),1,0))</f>
        <v/>
      </c>
      <c r="AF332" s="345">
        <f>IF($A332="","",IF('Aug 2027'!W59="","",'Aug 2027'!W59))</f>
        <v/>
      </c>
      <c r="AG332" s="345">
        <f>IF($A332="","",IF('Aug 2027'!W60="","",'Aug 2027'!W60))</f>
        <v/>
      </c>
      <c r="AH332" s="345">
        <f>IF($A332="","",IF('Aug 2027'!W61="","",'Aug 2027'!W61))</f>
        <v/>
      </c>
      <c r="AI332" s="345">
        <f>IF($A332="","",IF('Aug 2027'!W62="","",'Aug 2027'!W62))</f>
        <v/>
      </c>
      <c r="AJ332" s="345">
        <f>IF($A332="","",IF('Aug 2027'!W63="","",'Aug 2027'!W63))</f>
        <v/>
      </c>
      <c r="AK332" s="345">
        <f>IF($A332="","",IF('Aug 2027'!W64="","",'Aug 2027'!W64))</f>
        <v/>
      </c>
      <c r="AL332" s="345">
        <f>IF($A332="","",IF('Aug 2027'!W65="","",'Aug 2027'!W65))</f>
        <v/>
      </c>
      <c r="AM332" s="345">
        <f>IF($A332="","",IF('Aug 2027'!W66="","",'Aug 2027'!W66))</f>
        <v/>
      </c>
      <c r="AN332" s="345">
        <f>IF($A332="","",IF('Aug 2027'!W67="","",'Aug 2027'!W67))</f>
        <v/>
      </c>
      <c r="AO332" s="345">
        <f>IF($A332="",0,IF(AND($A332&gt;=TrackStart,$A332&lt;=TODAY()),1,0))</f>
        <v/>
      </c>
      <c r="AP332" s="345">
        <f>IF($A332="",0,IF(SUM(F332:AE332)+COUNT(AF332:AN332)&gt;0,1,0))</f>
        <v/>
      </c>
      <c r="AQ332" s="345">
        <f>IF($A332="","",INT(($A332-TrackStart)/7)+1)</f>
        <v/>
      </c>
      <c r="AR332" s="345">
        <f>IF($A332="","",IF(AQ332&lt;=1,Steps1,IF(AQ332=2,Steps2,Steps3)))</f>
        <v/>
      </c>
      <c r="AS332" s="345">
        <f>IF($A332="",0,IF(ISNUMBER(SEARCH(TEXT(D332,"0"),WorkDays&amp;"")),1,0))</f>
        <v/>
      </c>
      <c r="AT332" s="345">
        <f>IF($A332="",0,IF(ISNUMBER(SEARCH(TEXT(D332,"0"),StrDays&amp;"")),1,0))</f>
        <v/>
      </c>
      <c r="AU332" s="345">
        <f>IF($A332="",0,IF(ISNUMBER(AK332),IF(AK332&gt;=SleepMin,1,0),N332))</f>
        <v/>
      </c>
      <c r="AV332" s="345">
        <f>IF($A332="",0,MAX(I332,O332,S332,AC332))</f>
        <v/>
      </c>
      <c r="AW332" s="345">
        <f>IF($A332="",0,IF(ISNUMBER(AH332),IF(AH332&gt;=ProtHit,1,0),0))</f>
        <v/>
      </c>
      <c r="AX332" s="345">
        <f>IF($A332="",0,IF(ISNUMBER(AI332),IF(AI332&gt;=WaterHit,1,0),0))</f>
        <v/>
      </c>
      <c r="AY332" s="345">
        <f>IF($A332="",0,IF(ISNUMBER(AG332),IF(AG332&gt;=AR332,1,0),0))</f>
        <v/>
      </c>
      <c r="AZ332" s="345">
        <f>IF($A332="",0,G332)</f>
        <v/>
      </c>
      <c r="BA332" s="345">
        <f>IF($A332="",0,J332)</f>
        <v/>
      </c>
      <c r="BB332" s="345">
        <f>IF($A332="",0,K332)</f>
        <v/>
      </c>
      <c r="BC332" s="345">
        <f>IF($A332="",0,MAX(L332,AE332))</f>
        <v/>
      </c>
      <c r="BD332" s="344">
        <f>IF($A332="","",(AU332+AV332+AW332+AX332+AY332+AZ332+BB332+BC332+IF(AS332=1,BA332,0))/(8+AS332))</f>
        <v/>
      </c>
      <c r="BE332" s="344">
        <f>IF($A332="","",(IF(ISNUMBER(AI332),IF(AI332&gt;=WaterMVD,1,0),0)+AV332+IF(ISNUMBER(AH332),IF(AH332&gt;=ProtMVD,1,0),0)+MAX(H332,AD332)+AZ332+BB332+AU332)/7)</f>
        <v/>
      </c>
      <c r="BF332" s="344">
        <f>IF(AO332=0,"",IF(E332="S","",IF(AND(AP332=0,$A332=TODAY()),"",IF(E332="M",BE332,BD332))))</f>
        <v/>
      </c>
      <c r="BG332" s="344">
        <f>IF(AO332=0,"",IFERROR(AVERAGEIFS(Data!$BF$4:$BF$375,Data!$A$4:$A$375,"&gt;"&amp;($A332-7),Data!$A$4:$A$375,"&lt;="&amp;$A332),""))</f>
        <v/>
      </c>
      <c r="BH332" s="344">
        <f>IF(AO332=0,"",IFERROR(AVERAGEIFS(Data!$BF$4:$BF$375,Data!$A$4:$A$375,"&gt;"&amp;($A332-30),Data!$A$4:$A$375,"&lt;="&amp;$A332),""))</f>
        <v/>
      </c>
      <c r="BI332" s="359">
        <f>IF($A332="","",IFERROR(AVERAGEIFS(Data!$AF$4:$AF$375,Data!$A$4:$A$375,"&gt;"&amp;($A332-7),Data!$A$4:$A$375,"&lt;="&amp;$A332,Data!$AF$4:$AF$375,"&gt;0"),""))</f>
        <v/>
      </c>
      <c r="BJ332" s="345">
        <f>IF($A332="","",F332+G332+H332+I332+J332+K332+L332+M332+N332-IF(AS332=1,0,J332))</f>
        <v/>
      </c>
      <c r="BK332" s="345">
        <f>IF($A332="","",8+AS332)</f>
        <v/>
      </c>
      <c r="BL332" s="345">
        <f>IF(ISNUMBER(BF332),BF332,NA())</f>
        <v/>
      </c>
      <c r="BM332" s="345">
        <f>IF(ISNUMBER(AF332),AF332,NA())</f>
        <v/>
      </c>
      <c r="BN332" s="345">
        <f>IF(ISNUMBER(BI332),BI332,NA())</f>
        <v/>
      </c>
      <c r="BO332" s="345">
        <f>IF(ISNUMBER(AL332),AL332,NA())</f>
        <v/>
      </c>
      <c r="BP332" s="345">
        <f>IF(ISNUMBER(AM332),AM332,NA())</f>
        <v/>
      </c>
      <c r="BQ332" s="345">
        <f>IF(ISNUMBER(AN332),AN332,NA())</f>
        <v/>
      </c>
    </row>
    <row r="333">
      <c r="A333" s="358">
        <f>IF('Aug 2027'!X7="","",'Aug 2027'!X7)</f>
        <v/>
      </c>
      <c r="B333" s="345" t="n">
        <v>11</v>
      </c>
      <c r="C333" s="345">
        <f>IF($A333="","",20)</f>
        <v/>
      </c>
      <c r="D333" s="345">
        <f>IF($A333="","",WEEKDAY($A333,2))</f>
        <v/>
      </c>
      <c r="E333" s="345">
        <f>IF($A333="","",UPPER(TRIM('Aug 2027'!X8)))</f>
        <v/>
      </c>
      <c r="F333" s="345">
        <f>IF($A333="","",IF(OR('Aug 2027'!X10=TRUE,'Aug 2027'!X10="x",'Aug 2027'!X10="X"),1,0))</f>
        <v/>
      </c>
      <c r="G333" s="345">
        <f>IF($A333="","",IF(OR('Aug 2027'!X11=TRUE,'Aug 2027'!X11="x",'Aug 2027'!X11="X"),1,0))</f>
        <v/>
      </c>
      <c r="H333" s="345">
        <f>IF($A333="","",IF(OR('Aug 2027'!X12=TRUE,'Aug 2027'!X12="x",'Aug 2027'!X12="X"),1,0))</f>
        <v/>
      </c>
      <c r="I333" s="345">
        <f>IF($A333="","",IF(OR('Aug 2027'!X13=TRUE,'Aug 2027'!X13="x",'Aug 2027'!X13="X"),1,0))</f>
        <v/>
      </c>
      <c r="J333" s="345">
        <f>IF($A333="","",IF(OR('Aug 2027'!X14=TRUE,'Aug 2027'!X14="x",'Aug 2027'!X14="X"),1,0))</f>
        <v/>
      </c>
      <c r="K333" s="345">
        <f>IF($A333="","",IF(OR('Aug 2027'!X15=TRUE,'Aug 2027'!X15="x",'Aug 2027'!X15="X"),1,0))</f>
        <v/>
      </c>
      <c r="L333" s="345">
        <f>IF($A333="","",IF(OR('Aug 2027'!X16=TRUE,'Aug 2027'!X16="x",'Aug 2027'!X16="X"),1,0))</f>
        <v/>
      </c>
      <c r="M333" s="345">
        <f>IF($A333="","",IF(OR('Aug 2027'!X17=TRUE,'Aug 2027'!X17="x",'Aug 2027'!X17="X"),1,0))</f>
        <v/>
      </c>
      <c r="N333" s="345">
        <f>IF($A333="","",IF(OR('Aug 2027'!X18=TRUE,'Aug 2027'!X18="x",'Aug 2027'!X18="X"),1,0))</f>
        <v/>
      </c>
      <c r="O333" s="345">
        <f>IF($A333="","",IF(OR('Aug 2027'!X20=TRUE,'Aug 2027'!X20="x",'Aug 2027'!X20="X"),1,0))</f>
        <v/>
      </c>
      <c r="P333" s="345">
        <f>IF($A333="","",IF(OR('Aug 2027'!X21=TRUE,'Aug 2027'!X21="x",'Aug 2027'!X21="X"),1,0))</f>
        <v/>
      </c>
      <c r="Q333" s="345">
        <f>IF($A333="","",IF(OR('Aug 2027'!X22=TRUE,'Aug 2027'!X22="x",'Aug 2027'!X22="X"),1,0))</f>
        <v/>
      </c>
      <c r="R333" s="345">
        <f>IF($A333="","",IF(OR('Aug 2027'!X23=TRUE,'Aug 2027'!X23="x",'Aug 2027'!X23="X"),1,0))</f>
        <v/>
      </c>
      <c r="S333" s="345">
        <f>IF($A333="","",IF(OR('Aug 2027'!X24=TRUE,'Aug 2027'!X24="x",'Aug 2027'!X24="X"),1,0))</f>
        <v/>
      </c>
      <c r="T333" s="345">
        <f>IF($A333="","",IF(OR('Aug 2027'!X25=TRUE,'Aug 2027'!X25="x",'Aug 2027'!X25="X"),1,0))</f>
        <v/>
      </c>
      <c r="U333" s="345">
        <f>IF($A333="","",IF(OR('Aug 2027'!X26=TRUE,'Aug 2027'!X26="x",'Aug 2027'!X26="X"),1,0))</f>
        <v/>
      </c>
      <c r="V333" s="345">
        <f>IF($A333="","",IF(OR('Aug 2027'!X27=TRUE,'Aug 2027'!X27="x",'Aug 2027'!X27="X"),1,0))</f>
        <v/>
      </c>
      <c r="W333" s="345">
        <f>IF($A333="","",IF(OR('Aug 2027'!X28=TRUE,'Aug 2027'!X28="x",'Aug 2027'!X28="X"),1,0))</f>
        <v/>
      </c>
      <c r="X333" s="345">
        <f>IF($A333="","",IF(OR('Aug 2027'!X29=TRUE,'Aug 2027'!X29="x",'Aug 2027'!X29="X"),1,0))</f>
        <v/>
      </c>
      <c r="Y333" s="345">
        <f>IF($A333="","",IF(OR('Aug 2027'!X30=TRUE,'Aug 2027'!X30="x",'Aug 2027'!X30="X"),1,0))</f>
        <v/>
      </c>
      <c r="Z333" s="345">
        <f>IF($A333="","",IF(OR('Aug 2027'!X31=TRUE,'Aug 2027'!X31="x",'Aug 2027'!X31="X"),1,0))</f>
        <v/>
      </c>
      <c r="AA333" s="345">
        <f>IF($A333="","",IF(OR('Aug 2027'!X32=TRUE,'Aug 2027'!X32="x",'Aug 2027'!X32="X"),1,0))</f>
        <v/>
      </c>
      <c r="AB333" s="345">
        <f>IF($A333="","",IF(OR('Aug 2027'!X34=TRUE,'Aug 2027'!X34="x",'Aug 2027'!X34="X"),1,0))</f>
        <v/>
      </c>
      <c r="AC333" s="345">
        <f>IF($A333="","",IF(OR('Aug 2027'!X35=TRUE,'Aug 2027'!X35="x",'Aug 2027'!X35="X"),1,0))</f>
        <v/>
      </c>
      <c r="AD333" s="345">
        <f>IF($A333="","",IF(OR('Aug 2027'!X36=TRUE,'Aug 2027'!X36="x",'Aug 2027'!X36="X"),1,0))</f>
        <v/>
      </c>
      <c r="AE333" s="345">
        <f>IF($A333="","",IF(OR('Aug 2027'!X37=TRUE,'Aug 2027'!X37="x",'Aug 2027'!X37="X"),1,0))</f>
        <v/>
      </c>
      <c r="AF333" s="345">
        <f>IF($A333="","",IF('Aug 2027'!X59="","",'Aug 2027'!X59))</f>
        <v/>
      </c>
      <c r="AG333" s="345">
        <f>IF($A333="","",IF('Aug 2027'!X60="","",'Aug 2027'!X60))</f>
        <v/>
      </c>
      <c r="AH333" s="345">
        <f>IF($A333="","",IF('Aug 2027'!X61="","",'Aug 2027'!X61))</f>
        <v/>
      </c>
      <c r="AI333" s="345">
        <f>IF($A333="","",IF('Aug 2027'!X62="","",'Aug 2027'!X62))</f>
        <v/>
      </c>
      <c r="AJ333" s="345">
        <f>IF($A333="","",IF('Aug 2027'!X63="","",'Aug 2027'!X63))</f>
        <v/>
      </c>
      <c r="AK333" s="345">
        <f>IF($A333="","",IF('Aug 2027'!X64="","",'Aug 2027'!X64))</f>
        <v/>
      </c>
      <c r="AL333" s="345">
        <f>IF($A333="","",IF('Aug 2027'!X65="","",'Aug 2027'!X65))</f>
        <v/>
      </c>
      <c r="AM333" s="345">
        <f>IF($A333="","",IF('Aug 2027'!X66="","",'Aug 2027'!X66))</f>
        <v/>
      </c>
      <c r="AN333" s="345">
        <f>IF($A333="","",IF('Aug 2027'!X67="","",'Aug 2027'!X67))</f>
        <v/>
      </c>
      <c r="AO333" s="345">
        <f>IF($A333="",0,IF(AND($A333&gt;=TrackStart,$A333&lt;=TODAY()),1,0))</f>
        <v/>
      </c>
      <c r="AP333" s="345">
        <f>IF($A333="",0,IF(SUM(F333:AE333)+COUNT(AF333:AN333)&gt;0,1,0))</f>
        <v/>
      </c>
      <c r="AQ333" s="345">
        <f>IF($A333="","",INT(($A333-TrackStart)/7)+1)</f>
        <v/>
      </c>
      <c r="AR333" s="345">
        <f>IF($A333="","",IF(AQ333&lt;=1,Steps1,IF(AQ333=2,Steps2,Steps3)))</f>
        <v/>
      </c>
      <c r="AS333" s="345">
        <f>IF($A333="",0,IF(ISNUMBER(SEARCH(TEXT(D333,"0"),WorkDays&amp;"")),1,0))</f>
        <v/>
      </c>
      <c r="AT333" s="345">
        <f>IF($A333="",0,IF(ISNUMBER(SEARCH(TEXT(D333,"0"),StrDays&amp;"")),1,0))</f>
        <v/>
      </c>
      <c r="AU333" s="345">
        <f>IF($A333="",0,IF(ISNUMBER(AK333),IF(AK333&gt;=SleepMin,1,0),N333))</f>
        <v/>
      </c>
      <c r="AV333" s="345">
        <f>IF($A333="",0,MAX(I333,O333,S333,AC333))</f>
        <v/>
      </c>
      <c r="AW333" s="345">
        <f>IF($A333="",0,IF(ISNUMBER(AH333),IF(AH333&gt;=ProtHit,1,0),0))</f>
        <v/>
      </c>
      <c r="AX333" s="345">
        <f>IF($A333="",0,IF(ISNUMBER(AI333),IF(AI333&gt;=WaterHit,1,0),0))</f>
        <v/>
      </c>
      <c r="AY333" s="345">
        <f>IF($A333="",0,IF(ISNUMBER(AG333),IF(AG333&gt;=AR333,1,0),0))</f>
        <v/>
      </c>
      <c r="AZ333" s="345">
        <f>IF($A333="",0,G333)</f>
        <v/>
      </c>
      <c r="BA333" s="345">
        <f>IF($A333="",0,J333)</f>
        <v/>
      </c>
      <c r="BB333" s="345">
        <f>IF($A333="",0,K333)</f>
        <v/>
      </c>
      <c r="BC333" s="345">
        <f>IF($A333="",0,MAX(L333,AE333))</f>
        <v/>
      </c>
      <c r="BD333" s="344">
        <f>IF($A333="","",(AU333+AV333+AW333+AX333+AY333+AZ333+BB333+BC333+IF(AS333=1,BA333,0))/(8+AS333))</f>
        <v/>
      </c>
      <c r="BE333" s="344">
        <f>IF($A333="","",(IF(ISNUMBER(AI333),IF(AI333&gt;=WaterMVD,1,0),0)+AV333+IF(ISNUMBER(AH333),IF(AH333&gt;=ProtMVD,1,0),0)+MAX(H333,AD333)+AZ333+BB333+AU333)/7)</f>
        <v/>
      </c>
      <c r="BF333" s="344">
        <f>IF(AO333=0,"",IF(E333="S","",IF(AND(AP333=0,$A333=TODAY()),"",IF(E333="M",BE333,BD333))))</f>
        <v/>
      </c>
      <c r="BG333" s="344">
        <f>IF(AO333=0,"",IFERROR(AVERAGEIFS(Data!$BF$4:$BF$375,Data!$A$4:$A$375,"&gt;"&amp;($A333-7),Data!$A$4:$A$375,"&lt;="&amp;$A333),""))</f>
        <v/>
      </c>
      <c r="BH333" s="344">
        <f>IF(AO333=0,"",IFERROR(AVERAGEIFS(Data!$BF$4:$BF$375,Data!$A$4:$A$375,"&gt;"&amp;($A333-30),Data!$A$4:$A$375,"&lt;="&amp;$A333),""))</f>
        <v/>
      </c>
      <c r="BI333" s="359">
        <f>IF($A333="","",IFERROR(AVERAGEIFS(Data!$AF$4:$AF$375,Data!$A$4:$A$375,"&gt;"&amp;($A333-7),Data!$A$4:$A$375,"&lt;="&amp;$A333,Data!$AF$4:$AF$375,"&gt;0"),""))</f>
        <v/>
      </c>
      <c r="BJ333" s="345">
        <f>IF($A333="","",F333+G333+H333+I333+J333+K333+L333+M333+N333-IF(AS333=1,0,J333))</f>
        <v/>
      </c>
      <c r="BK333" s="345">
        <f>IF($A333="","",8+AS333)</f>
        <v/>
      </c>
      <c r="BL333" s="345">
        <f>IF(ISNUMBER(BF333),BF333,NA())</f>
        <v/>
      </c>
      <c r="BM333" s="345">
        <f>IF(ISNUMBER(AF333),AF333,NA())</f>
        <v/>
      </c>
      <c r="BN333" s="345">
        <f>IF(ISNUMBER(BI333),BI333,NA())</f>
        <v/>
      </c>
      <c r="BO333" s="345">
        <f>IF(ISNUMBER(AL333),AL333,NA())</f>
        <v/>
      </c>
      <c r="BP333" s="345">
        <f>IF(ISNUMBER(AM333),AM333,NA())</f>
        <v/>
      </c>
      <c r="BQ333" s="345">
        <f>IF(ISNUMBER(AN333),AN333,NA())</f>
        <v/>
      </c>
    </row>
    <row r="334">
      <c r="A334" s="358">
        <f>IF('Aug 2027'!Y7="","",'Aug 2027'!Y7)</f>
        <v/>
      </c>
      <c r="B334" s="345" t="n">
        <v>11</v>
      </c>
      <c r="C334" s="345">
        <f>IF($A334="","",21)</f>
        <v/>
      </c>
      <c r="D334" s="345">
        <f>IF($A334="","",WEEKDAY($A334,2))</f>
        <v/>
      </c>
      <c r="E334" s="345">
        <f>IF($A334="","",UPPER(TRIM('Aug 2027'!Y8)))</f>
        <v/>
      </c>
      <c r="F334" s="345">
        <f>IF($A334="","",IF(OR('Aug 2027'!Y10=TRUE,'Aug 2027'!Y10="x",'Aug 2027'!Y10="X"),1,0))</f>
        <v/>
      </c>
      <c r="G334" s="345">
        <f>IF($A334="","",IF(OR('Aug 2027'!Y11=TRUE,'Aug 2027'!Y11="x",'Aug 2027'!Y11="X"),1,0))</f>
        <v/>
      </c>
      <c r="H334" s="345">
        <f>IF($A334="","",IF(OR('Aug 2027'!Y12=TRUE,'Aug 2027'!Y12="x",'Aug 2027'!Y12="X"),1,0))</f>
        <v/>
      </c>
      <c r="I334" s="345">
        <f>IF($A334="","",IF(OR('Aug 2027'!Y13=TRUE,'Aug 2027'!Y13="x",'Aug 2027'!Y13="X"),1,0))</f>
        <v/>
      </c>
      <c r="J334" s="345">
        <f>IF($A334="","",IF(OR('Aug 2027'!Y14=TRUE,'Aug 2027'!Y14="x",'Aug 2027'!Y14="X"),1,0))</f>
        <v/>
      </c>
      <c r="K334" s="345">
        <f>IF($A334="","",IF(OR('Aug 2027'!Y15=TRUE,'Aug 2027'!Y15="x",'Aug 2027'!Y15="X"),1,0))</f>
        <v/>
      </c>
      <c r="L334" s="345">
        <f>IF($A334="","",IF(OR('Aug 2027'!Y16=TRUE,'Aug 2027'!Y16="x",'Aug 2027'!Y16="X"),1,0))</f>
        <v/>
      </c>
      <c r="M334" s="345">
        <f>IF($A334="","",IF(OR('Aug 2027'!Y17=TRUE,'Aug 2027'!Y17="x",'Aug 2027'!Y17="X"),1,0))</f>
        <v/>
      </c>
      <c r="N334" s="345">
        <f>IF($A334="","",IF(OR('Aug 2027'!Y18=TRUE,'Aug 2027'!Y18="x",'Aug 2027'!Y18="X"),1,0))</f>
        <v/>
      </c>
      <c r="O334" s="345">
        <f>IF($A334="","",IF(OR('Aug 2027'!Y20=TRUE,'Aug 2027'!Y20="x",'Aug 2027'!Y20="X"),1,0))</f>
        <v/>
      </c>
      <c r="P334" s="345">
        <f>IF($A334="","",IF(OR('Aug 2027'!Y21=TRUE,'Aug 2027'!Y21="x",'Aug 2027'!Y21="X"),1,0))</f>
        <v/>
      </c>
      <c r="Q334" s="345">
        <f>IF($A334="","",IF(OR('Aug 2027'!Y22=TRUE,'Aug 2027'!Y22="x",'Aug 2027'!Y22="X"),1,0))</f>
        <v/>
      </c>
      <c r="R334" s="345">
        <f>IF($A334="","",IF(OR('Aug 2027'!Y23=TRUE,'Aug 2027'!Y23="x",'Aug 2027'!Y23="X"),1,0))</f>
        <v/>
      </c>
      <c r="S334" s="345">
        <f>IF($A334="","",IF(OR('Aug 2027'!Y24=TRUE,'Aug 2027'!Y24="x",'Aug 2027'!Y24="X"),1,0))</f>
        <v/>
      </c>
      <c r="T334" s="345">
        <f>IF($A334="","",IF(OR('Aug 2027'!Y25=TRUE,'Aug 2027'!Y25="x",'Aug 2027'!Y25="X"),1,0))</f>
        <v/>
      </c>
      <c r="U334" s="345">
        <f>IF($A334="","",IF(OR('Aug 2027'!Y26=TRUE,'Aug 2027'!Y26="x",'Aug 2027'!Y26="X"),1,0))</f>
        <v/>
      </c>
      <c r="V334" s="345">
        <f>IF($A334="","",IF(OR('Aug 2027'!Y27=TRUE,'Aug 2027'!Y27="x",'Aug 2027'!Y27="X"),1,0))</f>
        <v/>
      </c>
      <c r="W334" s="345">
        <f>IF($A334="","",IF(OR('Aug 2027'!Y28=TRUE,'Aug 2027'!Y28="x",'Aug 2027'!Y28="X"),1,0))</f>
        <v/>
      </c>
      <c r="X334" s="345">
        <f>IF($A334="","",IF(OR('Aug 2027'!Y29=TRUE,'Aug 2027'!Y29="x",'Aug 2027'!Y29="X"),1,0))</f>
        <v/>
      </c>
      <c r="Y334" s="345">
        <f>IF($A334="","",IF(OR('Aug 2027'!Y30=TRUE,'Aug 2027'!Y30="x",'Aug 2027'!Y30="X"),1,0))</f>
        <v/>
      </c>
      <c r="Z334" s="345">
        <f>IF($A334="","",IF(OR('Aug 2027'!Y31=TRUE,'Aug 2027'!Y31="x",'Aug 2027'!Y31="X"),1,0))</f>
        <v/>
      </c>
      <c r="AA334" s="345">
        <f>IF($A334="","",IF(OR('Aug 2027'!Y32=TRUE,'Aug 2027'!Y32="x",'Aug 2027'!Y32="X"),1,0))</f>
        <v/>
      </c>
      <c r="AB334" s="345">
        <f>IF($A334="","",IF(OR('Aug 2027'!Y34=TRUE,'Aug 2027'!Y34="x",'Aug 2027'!Y34="X"),1,0))</f>
        <v/>
      </c>
      <c r="AC334" s="345">
        <f>IF($A334="","",IF(OR('Aug 2027'!Y35=TRUE,'Aug 2027'!Y35="x",'Aug 2027'!Y35="X"),1,0))</f>
        <v/>
      </c>
      <c r="AD334" s="345">
        <f>IF($A334="","",IF(OR('Aug 2027'!Y36=TRUE,'Aug 2027'!Y36="x",'Aug 2027'!Y36="X"),1,0))</f>
        <v/>
      </c>
      <c r="AE334" s="345">
        <f>IF($A334="","",IF(OR('Aug 2027'!Y37=TRUE,'Aug 2027'!Y37="x",'Aug 2027'!Y37="X"),1,0))</f>
        <v/>
      </c>
      <c r="AF334" s="345">
        <f>IF($A334="","",IF('Aug 2027'!Y59="","",'Aug 2027'!Y59))</f>
        <v/>
      </c>
      <c r="AG334" s="345">
        <f>IF($A334="","",IF('Aug 2027'!Y60="","",'Aug 2027'!Y60))</f>
        <v/>
      </c>
      <c r="AH334" s="345">
        <f>IF($A334="","",IF('Aug 2027'!Y61="","",'Aug 2027'!Y61))</f>
        <v/>
      </c>
      <c r="AI334" s="345">
        <f>IF($A334="","",IF('Aug 2027'!Y62="","",'Aug 2027'!Y62))</f>
        <v/>
      </c>
      <c r="AJ334" s="345">
        <f>IF($A334="","",IF('Aug 2027'!Y63="","",'Aug 2027'!Y63))</f>
        <v/>
      </c>
      <c r="AK334" s="345">
        <f>IF($A334="","",IF('Aug 2027'!Y64="","",'Aug 2027'!Y64))</f>
        <v/>
      </c>
      <c r="AL334" s="345">
        <f>IF($A334="","",IF('Aug 2027'!Y65="","",'Aug 2027'!Y65))</f>
        <v/>
      </c>
      <c r="AM334" s="345">
        <f>IF($A334="","",IF('Aug 2027'!Y66="","",'Aug 2027'!Y66))</f>
        <v/>
      </c>
      <c r="AN334" s="345">
        <f>IF($A334="","",IF('Aug 2027'!Y67="","",'Aug 2027'!Y67))</f>
        <v/>
      </c>
      <c r="AO334" s="345">
        <f>IF($A334="",0,IF(AND($A334&gt;=TrackStart,$A334&lt;=TODAY()),1,0))</f>
        <v/>
      </c>
      <c r="AP334" s="345">
        <f>IF($A334="",0,IF(SUM(F334:AE334)+COUNT(AF334:AN334)&gt;0,1,0))</f>
        <v/>
      </c>
      <c r="AQ334" s="345">
        <f>IF($A334="","",INT(($A334-TrackStart)/7)+1)</f>
        <v/>
      </c>
      <c r="AR334" s="345">
        <f>IF($A334="","",IF(AQ334&lt;=1,Steps1,IF(AQ334=2,Steps2,Steps3)))</f>
        <v/>
      </c>
      <c r="AS334" s="345">
        <f>IF($A334="",0,IF(ISNUMBER(SEARCH(TEXT(D334,"0"),WorkDays&amp;"")),1,0))</f>
        <v/>
      </c>
      <c r="AT334" s="345">
        <f>IF($A334="",0,IF(ISNUMBER(SEARCH(TEXT(D334,"0"),StrDays&amp;"")),1,0))</f>
        <v/>
      </c>
      <c r="AU334" s="345">
        <f>IF($A334="",0,IF(ISNUMBER(AK334),IF(AK334&gt;=SleepMin,1,0),N334))</f>
        <v/>
      </c>
      <c r="AV334" s="345">
        <f>IF($A334="",0,MAX(I334,O334,S334,AC334))</f>
        <v/>
      </c>
      <c r="AW334" s="345">
        <f>IF($A334="",0,IF(ISNUMBER(AH334),IF(AH334&gt;=ProtHit,1,0),0))</f>
        <v/>
      </c>
      <c r="AX334" s="345">
        <f>IF($A334="",0,IF(ISNUMBER(AI334),IF(AI334&gt;=WaterHit,1,0),0))</f>
        <v/>
      </c>
      <c r="AY334" s="345">
        <f>IF($A334="",0,IF(ISNUMBER(AG334),IF(AG334&gt;=AR334,1,0),0))</f>
        <v/>
      </c>
      <c r="AZ334" s="345">
        <f>IF($A334="",0,G334)</f>
        <v/>
      </c>
      <c r="BA334" s="345">
        <f>IF($A334="",0,J334)</f>
        <v/>
      </c>
      <c r="BB334" s="345">
        <f>IF($A334="",0,K334)</f>
        <v/>
      </c>
      <c r="BC334" s="345">
        <f>IF($A334="",0,MAX(L334,AE334))</f>
        <v/>
      </c>
      <c r="BD334" s="344">
        <f>IF($A334="","",(AU334+AV334+AW334+AX334+AY334+AZ334+BB334+BC334+IF(AS334=1,BA334,0))/(8+AS334))</f>
        <v/>
      </c>
      <c r="BE334" s="344">
        <f>IF($A334="","",(IF(ISNUMBER(AI334),IF(AI334&gt;=WaterMVD,1,0),0)+AV334+IF(ISNUMBER(AH334),IF(AH334&gt;=ProtMVD,1,0),0)+MAX(H334,AD334)+AZ334+BB334+AU334)/7)</f>
        <v/>
      </c>
      <c r="BF334" s="344">
        <f>IF(AO334=0,"",IF(E334="S","",IF(AND(AP334=0,$A334=TODAY()),"",IF(E334="M",BE334,BD334))))</f>
        <v/>
      </c>
      <c r="BG334" s="344">
        <f>IF(AO334=0,"",IFERROR(AVERAGEIFS(Data!$BF$4:$BF$375,Data!$A$4:$A$375,"&gt;"&amp;($A334-7),Data!$A$4:$A$375,"&lt;="&amp;$A334),""))</f>
        <v/>
      </c>
      <c r="BH334" s="344">
        <f>IF(AO334=0,"",IFERROR(AVERAGEIFS(Data!$BF$4:$BF$375,Data!$A$4:$A$375,"&gt;"&amp;($A334-30),Data!$A$4:$A$375,"&lt;="&amp;$A334),""))</f>
        <v/>
      </c>
      <c r="BI334" s="359">
        <f>IF($A334="","",IFERROR(AVERAGEIFS(Data!$AF$4:$AF$375,Data!$A$4:$A$375,"&gt;"&amp;($A334-7),Data!$A$4:$A$375,"&lt;="&amp;$A334,Data!$AF$4:$AF$375,"&gt;0"),""))</f>
        <v/>
      </c>
      <c r="BJ334" s="345">
        <f>IF($A334="","",F334+G334+H334+I334+J334+K334+L334+M334+N334-IF(AS334=1,0,J334))</f>
        <v/>
      </c>
      <c r="BK334" s="345">
        <f>IF($A334="","",8+AS334)</f>
        <v/>
      </c>
      <c r="BL334" s="345">
        <f>IF(ISNUMBER(BF334),BF334,NA())</f>
        <v/>
      </c>
      <c r="BM334" s="345">
        <f>IF(ISNUMBER(AF334),AF334,NA())</f>
        <v/>
      </c>
      <c r="BN334" s="345">
        <f>IF(ISNUMBER(BI334),BI334,NA())</f>
        <v/>
      </c>
      <c r="BO334" s="345">
        <f>IF(ISNUMBER(AL334),AL334,NA())</f>
        <v/>
      </c>
      <c r="BP334" s="345">
        <f>IF(ISNUMBER(AM334),AM334,NA())</f>
        <v/>
      </c>
      <c r="BQ334" s="345">
        <f>IF(ISNUMBER(AN334),AN334,NA())</f>
        <v/>
      </c>
    </row>
    <row r="335">
      <c r="A335" s="358">
        <f>IF('Aug 2027'!Z7="","",'Aug 2027'!Z7)</f>
        <v/>
      </c>
      <c r="B335" s="345" t="n">
        <v>11</v>
      </c>
      <c r="C335" s="345">
        <f>IF($A335="","",22)</f>
        <v/>
      </c>
      <c r="D335" s="345">
        <f>IF($A335="","",WEEKDAY($A335,2))</f>
        <v/>
      </c>
      <c r="E335" s="345">
        <f>IF($A335="","",UPPER(TRIM('Aug 2027'!Z8)))</f>
        <v/>
      </c>
      <c r="F335" s="345">
        <f>IF($A335="","",IF(OR('Aug 2027'!Z10=TRUE,'Aug 2027'!Z10="x",'Aug 2027'!Z10="X"),1,0))</f>
        <v/>
      </c>
      <c r="G335" s="345">
        <f>IF($A335="","",IF(OR('Aug 2027'!Z11=TRUE,'Aug 2027'!Z11="x",'Aug 2027'!Z11="X"),1,0))</f>
        <v/>
      </c>
      <c r="H335" s="345">
        <f>IF($A335="","",IF(OR('Aug 2027'!Z12=TRUE,'Aug 2027'!Z12="x",'Aug 2027'!Z12="X"),1,0))</f>
        <v/>
      </c>
      <c r="I335" s="345">
        <f>IF($A335="","",IF(OR('Aug 2027'!Z13=TRUE,'Aug 2027'!Z13="x",'Aug 2027'!Z13="X"),1,0))</f>
        <v/>
      </c>
      <c r="J335" s="345">
        <f>IF($A335="","",IF(OR('Aug 2027'!Z14=TRUE,'Aug 2027'!Z14="x",'Aug 2027'!Z14="X"),1,0))</f>
        <v/>
      </c>
      <c r="K335" s="345">
        <f>IF($A335="","",IF(OR('Aug 2027'!Z15=TRUE,'Aug 2027'!Z15="x",'Aug 2027'!Z15="X"),1,0))</f>
        <v/>
      </c>
      <c r="L335" s="345">
        <f>IF($A335="","",IF(OR('Aug 2027'!Z16=TRUE,'Aug 2027'!Z16="x",'Aug 2027'!Z16="X"),1,0))</f>
        <v/>
      </c>
      <c r="M335" s="345">
        <f>IF($A335="","",IF(OR('Aug 2027'!Z17=TRUE,'Aug 2027'!Z17="x",'Aug 2027'!Z17="X"),1,0))</f>
        <v/>
      </c>
      <c r="N335" s="345">
        <f>IF($A335="","",IF(OR('Aug 2027'!Z18=TRUE,'Aug 2027'!Z18="x",'Aug 2027'!Z18="X"),1,0))</f>
        <v/>
      </c>
      <c r="O335" s="345">
        <f>IF($A335="","",IF(OR('Aug 2027'!Z20=TRUE,'Aug 2027'!Z20="x",'Aug 2027'!Z20="X"),1,0))</f>
        <v/>
      </c>
      <c r="P335" s="345">
        <f>IF($A335="","",IF(OR('Aug 2027'!Z21=TRUE,'Aug 2027'!Z21="x",'Aug 2027'!Z21="X"),1,0))</f>
        <v/>
      </c>
      <c r="Q335" s="345">
        <f>IF($A335="","",IF(OR('Aug 2027'!Z22=TRUE,'Aug 2027'!Z22="x",'Aug 2027'!Z22="X"),1,0))</f>
        <v/>
      </c>
      <c r="R335" s="345">
        <f>IF($A335="","",IF(OR('Aug 2027'!Z23=TRUE,'Aug 2027'!Z23="x",'Aug 2027'!Z23="X"),1,0))</f>
        <v/>
      </c>
      <c r="S335" s="345">
        <f>IF($A335="","",IF(OR('Aug 2027'!Z24=TRUE,'Aug 2027'!Z24="x",'Aug 2027'!Z24="X"),1,0))</f>
        <v/>
      </c>
      <c r="T335" s="345">
        <f>IF($A335="","",IF(OR('Aug 2027'!Z25=TRUE,'Aug 2027'!Z25="x",'Aug 2027'!Z25="X"),1,0))</f>
        <v/>
      </c>
      <c r="U335" s="345">
        <f>IF($A335="","",IF(OR('Aug 2027'!Z26=TRUE,'Aug 2027'!Z26="x",'Aug 2027'!Z26="X"),1,0))</f>
        <v/>
      </c>
      <c r="V335" s="345">
        <f>IF($A335="","",IF(OR('Aug 2027'!Z27=TRUE,'Aug 2027'!Z27="x",'Aug 2027'!Z27="X"),1,0))</f>
        <v/>
      </c>
      <c r="W335" s="345">
        <f>IF($A335="","",IF(OR('Aug 2027'!Z28=TRUE,'Aug 2027'!Z28="x",'Aug 2027'!Z28="X"),1,0))</f>
        <v/>
      </c>
      <c r="X335" s="345">
        <f>IF($A335="","",IF(OR('Aug 2027'!Z29=TRUE,'Aug 2027'!Z29="x",'Aug 2027'!Z29="X"),1,0))</f>
        <v/>
      </c>
      <c r="Y335" s="345">
        <f>IF($A335="","",IF(OR('Aug 2027'!Z30=TRUE,'Aug 2027'!Z30="x",'Aug 2027'!Z30="X"),1,0))</f>
        <v/>
      </c>
      <c r="Z335" s="345">
        <f>IF($A335="","",IF(OR('Aug 2027'!Z31=TRUE,'Aug 2027'!Z31="x",'Aug 2027'!Z31="X"),1,0))</f>
        <v/>
      </c>
      <c r="AA335" s="345">
        <f>IF($A335="","",IF(OR('Aug 2027'!Z32=TRUE,'Aug 2027'!Z32="x",'Aug 2027'!Z32="X"),1,0))</f>
        <v/>
      </c>
      <c r="AB335" s="345">
        <f>IF($A335="","",IF(OR('Aug 2027'!Z34=TRUE,'Aug 2027'!Z34="x",'Aug 2027'!Z34="X"),1,0))</f>
        <v/>
      </c>
      <c r="AC335" s="345">
        <f>IF($A335="","",IF(OR('Aug 2027'!Z35=TRUE,'Aug 2027'!Z35="x",'Aug 2027'!Z35="X"),1,0))</f>
        <v/>
      </c>
      <c r="AD335" s="345">
        <f>IF($A335="","",IF(OR('Aug 2027'!Z36=TRUE,'Aug 2027'!Z36="x",'Aug 2027'!Z36="X"),1,0))</f>
        <v/>
      </c>
      <c r="AE335" s="345">
        <f>IF($A335="","",IF(OR('Aug 2027'!Z37=TRUE,'Aug 2027'!Z37="x",'Aug 2027'!Z37="X"),1,0))</f>
        <v/>
      </c>
      <c r="AF335" s="345">
        <f>IF($A335="","",IF('Aug 2027'!Z59="","",'Aug 2027'!Z59))</f>
        <v/>
      </c>
      <c r="AG335" s="345">
        <f>IF($A335="","",IF('Aug 2027'!Z60="","",'Aug 2027'!Z60))</f>
        <v/>
      </c>
      <c r="AH335" s="345">
        <f>IF($A335="","",IF('Aug 2027'!Z61="","",'Aug 2027'!Z61))</f>
        <v/>
      </c>
      <c r="AI335" s="345">
        <f>IF($A335="","",IF('Aug 2027'!Z62="","",'Aug 2027'!Z62))</f>
        <v/>
      </c>
      <c r="AJ335" s="345">
        <f>IF($A335="","",IF('Aug 2027'!Z63="","",'Aug 2027'!Z63))</f>
        <v/>
      </c>
      <c r="AK335" s="345">
        <f>IF($A335="","",IF('Aug 2027'!Z64="","",'Aug 2027'!Z64))</f>
        <v/>
      </c>
      <c r="AL335" s="345">
        <f>IF($A335="","",IF('Aug 2027'!Z65="","",'Aug 2027'!Z65))</f>
        <v/>
      </c>
      <c r="AM335" s="345">
        <f>IF($A335="","",IF('Aug 2027'!Z66="","",'Aug 2027'!Z66))</f>
        <v/>
      </c>
      <c r="AN335" s="345">
        <f>IF($A335="","",IF('Aug 2027'!Z67="","",'Aug 2027'!Z67))</f>
        <v/>
      </c>
      <c r="AO335" s="345">
        <f>IF($A335="",0,IF(AND($A335&gt;=TrackStart,$A335&lt;=TODAY()),1,0))</f>
        <v/>
      </c>
      <c r="AP335" s="345">
        <f>IF($A335="",0,IF(SUM(F335:AE335)+COUNT(AF335:AN335)&gt;0,1,0))</f>
        <v/>
      </c>
      <c r="AQ335" s="345">
        <f>IF($A335="","",INT(($A335-TrackStart)/7)+1)</f>
        <v/>
      </c>
      <c r="AR335" s="345">
        <f>IF($A335="","",IF(AQ335&lt;=1,Steps1,IF(AQ335=2,Steps2,Steps3)))</f>
        <v/>
      </c>
      <c r="AS335" s="345">
        <f>IF($A335="",0,IF(ISNUMBER(SEARCH(TEXT(D335,"0"),WorkDays&amp;"")),1,0))</f>
        <v/>
      </c>
      <c r="AT335" s="345">
        <f>IF($A335="",0,IF(ISNUMBER(SEARCH(TEXT(D335,"0"),StrDays&amp;"")),1,0))</f>
        <v/>
      </c>
      <c r="AU335" s="345">
        <f>IF($A335="",0,IF(ISNUMBER(AK335),IF(AK335&gt;=SleepMin,1,0),N335))</f>
        <v/>
      </c>
      <c r="AV335" s="345">
        <f>IF($A335="",0,MAX(I335,O335,S335,AC335))</f>
        <v/>
      </c>
      <c r="AW335" s="345">
        <f>IF($A335="",0,IF(ISNUMBER(AH335),IF(AH335&gt;=ProtHit,1,0),0))</f>
        <v/>
      </c>
      <c r="AX335" s="345">
        <f>IF($A335="",0,IF(ISNUMBER(AI335),IF(AI335&gt;=WaterHit,1,0),0))</f>
        <v/>
      </c>
      <c r="AY335" s="345">
        <f>IF($A335="",0,IF(ISNUMBER(AG335),IF(AG335&gt;=AR335,1,0),0))</f>
        <v/>
      </c>
      <c r="AZ335" s="345">
        <f>IF($A335="",0,G335)</f>
        <v/>
      </c>
      <c r="BA335" s="345">
        <f>IF($A335="",0,J335)</f>
        <v/>
      </c>
      <c r="BB335" s="345">
        <f>IF($A335="",0,K335)</f>
        <v/>
      </c>
      <c r="BC335" s="345">
        <f>IF($A335="",0,MAX(L335,AE335))</f>
        <v/>
      </c>
      <c r="BD335" s="344">
        <f>IF($A335="","",(AU335+AV335+AW335+AX335+AY335+AZ335+BB335+BC335+IF(AS335=1,BA335,0))/(8+AS335))</f>
        <v/>
      </c>
      <c r="BE335" s="344">
        <f>IF($A335="","",(IF(ISNUMBER(AI335),IF(AI335&gt;=WaterMVD,1,0),0)+AV335+IF(ISNUMBER(AH335),IF(AH335&gt;=ProtMVD,1,0),0)+MAX(H335,AD335)+AZ335+BB335+AU335)/7)</f>
        <v/>
      </c>
      <c r="BF335" s="344">
        <f>IF(AO335=0,"",IF(E335="S","",IF(AND(AP335=0,$A335=TODAY()),"",IF(E335="M",BE335,BD335))))</f>
        <v/>
      </c>
      <c r="BG335" s="344">
        <f>IF(AO335=0,"",IFERROR(AVERAGEIFS(Data!$BF$4:$BF$375,Data!$A$4:$A$375,"&gt;"&amp;($A335-7),Data!$A$4:$A$375,"&lt;="&amp;$A335),""))</f>
        <v/>
      </c>
      <c r="BH335" s="344">
        <f>IF(AO335=0,"",IFERROR(AVERAGEIFS(Data!$BF$4:$BF$375,Data!$A$4:$A$375,"&gt;"&amp;($A335-30),Data!$A$4:$A$375,"&lt;="&amp;$A335),""))</f>
        <v/>
      </c>
      <c r="BI335" s="359">
        <f>IF($A335="","",IFERROR(AVERAGEIFS(Data!$AF$4:$AF$375,Data!$A$4:$A$375,"&gt;"&amp;($A335-7),Data!$A$4:$A$375,"&lt;="&amp;$A335,Data!$AF$4:$AF$375,"&gt;0"),""))</f>
        <v/>
      </c>
      <c r="BJ335" s="345">
        <f>IF($A335="","",F335+G335+H335+I335+J335+K335+L335+M335+N335-IF(AS335=1,0,J335))</f>
        <v/>
      </c>
      <c r="BK335" s="345">
        <f>IF($A335="","",8+AS335)</f>
        <v/>
      </c>
      <c r="BL335" s="345">
        <f>IF(ISNUMBER(BF335),BF335,NA())</f>
        <v/>
      </c>
      <c r="BM335" s="345">
        <f>IF(ISNUMBER(AF335),AF335,NA())</f>
        <v/>
      </c>
      <c r="BN335" s="345">
        <f>IF(ISNUMBER(BI335),BI335,NA())</f>
        <v/>
      </c>
      <c r="BO335" s="345">
        <f>IF(ISNUMBER(AL335),AL335,NA())</f>
        <v/>
      </c>
      <c r="BP335" s="345">
        <f>IF(ISNUMBER(AM335),AM335,NA())</f>
        <v/>
      </c>
      <c r="BQ335" s="345">
        <f>IF(ISNUMBER(AN335),AN335,NA())</f>
        <v/>
      </c>
    </row>
    <row r="336">
      <c r="A336" s="358">
        <f>IF('Aug 2027'!AA7="","",'Aug 2027'!AA7)</f>
        <v/>
      </c>
      <c r="B336" s="345" t="n">
        <v>11</v>
      </c>
      <c r="C336" s="345">
        <f>IF($A336="","",23)</f>
        <v/>
      </c>
      <c r="D336" s="345">
        <f>IF($A336="","",WEEKDAY($A336,2))</f>
        <v/>
      </c>
      <c r="E336" s="345">
        <f>IF($A336="","",UPPER(TRIM('Aug 2027'!AA8)))</f>
        <v/>
      </c>
      <c r="F336" s="345">
        <f>IF($A336="","",IF(OR('Aug 2027'!AA10=TRUE,'Aug 2027'!AA10="x",'Aug 2027'!AA10="X"),1,0))</f>
        <v/>
      </c>
      <c r="G336" s="345">
        <f>IF($A336="","",IF(OR('Aug 2027'!AA11=TRUE,'Aug 2027'!AA11="x",'Aug 2027'!AA11="X"),1,0))</f>
        <v/>
      </c>
      <c r="H336" s="345">
        <f>IF($A336="","",IF(OR('Aug 2027'!AA12=TRUE,'Aug 2027'!AA12="x",'Aug 2027'!AA12="X"),1,0))</f>
        <v/>
      </c>
      <c r="I336" s="345">
        <f>IF($A336="","",IF(OR('Aug 2027'!AA13=TRUE,'Aug 2027'!AA13="x",'Aug 2027'!AA13="X"),1,0))</f>
        <v/>
      </c>
      <c r="J336" s="345">
        <f>IF($A336="","",IF(OR('Aug 2027'!AA14=TRUE,'Aug 2027'!AA14="x",'Aug 2027'!AA14="X"),1,0))</f>
        <v/>
      </c>
      <c r="K336" s="345">
        <f>IF($A336="","",IF(OR('Aug 2027'!AA15=TRUE,'Aug 2027'!AA15="x",'Aug 2027'!AA15="X"),1,0))</f>
        <v/>
      </c>
      <c r="L336" s="345">
        <f>IF($A336="","",IF(OR('Aug 2027'!AA16=TRUE,'Aug 2027'!AA16="x",'Aug 2027'!AA16="X"),1,0))</f>
        <v/>
      </c>
      <c r="M336" s="345">
        <f>IF($A336="","",IF(OR('Aug 2027'!AA17=TRUE,'Aug 2027'!AA17="x",'Aug 2027'!AA17="X"),1,0))</f>
        <v/>
      </c>
      <c r="N336" s="345">
        <f>IF($A336="","",IF(OR('Aug 2027'!AA18=TRUE,'Aug 2027'!AA18="x",'Aug 2027'!AA18="X"),1,0))</f>
        <v/>
      </c>
      <c r="O336" s="345">
        <f>IF($A336="","",IF(OR('Aug 2027'!AA20=TRUE,'Aug 2027'!AA20="x",'Aug 2027'!AA20="X"),1,0))</f>
        <v/>
      </c>
      <c r="P336" s="345">
        <f>IF($A336="","",IF(OR('Aug 2027'!AA21=TRUE,'Aug 2027'!AA21="x",'Aug 2027'!AA21="X"),1,0))</f>
        <v/>
      </c>
      <c r="Q336" s="345">
        <f>IF($A336="","",IF(OR('Aug 2027'!AA22=TRUE,'Aug 2027'!AA22="x",'Aug 2027'!AA22="X"),1,0))</f>
        <v/>
      </c>
      <c r="R336" s="345">
        <f>IF($A336="","",IF(OR('Aug 2027'!AA23=TRUE,'Aug 2027'!AA23="x",'Aug 2027'!AA23="X"),1,0))</f>
        <v/>
      </c>
      <c r="S336" s="345">
        <f>IF($A336="","",IF(OR('Aug 2027'!AA24=TRUE,'Aug 2027'!AA24="x",'Aug 2027'!AA24="X"),1,0))</f>
        <v/>
      </c>
      <c r="T336" s="345">
        <f>IF($A336="","",IF(OR('Aug 2027'!AA25=TRUE,'Aug 2027'!AA25="x",'Aug 2027'!AA25="X"),1,0))</f>
        <v/>
      </c>
      <c r="U336" s="345">
        <f>IF($A336="","",IF(OR('Aug 2027'!AA26=TRUE,'Aug 2027'!AA26="x",'Aug 2027'!AA26="X"),1,0))</f>
        <v/>
      </c>
      <c r="V336" s="345">
        <f>IF($A336="","",IF(OR('Aug 2027'!AA27=TRUE,'Aug 2027'!AA27="x",'Aug 2027'!AA27="X"),1,0))</f>
        <v/>
      </c>
      <c r="W336" s="345">
        <f>IF($A336="","",IF(OR('Aug 2027'!AA28=TRUE,'Aug 2027'!AA28="x",'Aug 2027'!AA28="X"),1,0))</f>
        <v/>
      </c>
      <c r="X336" s="345">
        <f>IF($A336="","",IF(OR('Aug 2027'!AA29=TRUE,'Aug 2027'!AA29="x",'Aug 2027'!AA29="X"),1,0))</f>
        <v/>
      </c>
      <c r="Y336" s="345">
        <f>IF($A336="","",IF(OR('Aug 2027'!AA30=TRUE,'Aug 2027'!AA30="x",'Aug 2027'!AA30="X"),1,0))</f>
        <v/>
      </c>
      <c r="Z336" s="345">
        <f>IF($A336="","",IF(OR('Aug 2027'!AA31=TRUE,'Aug 2027'!AA31="x",'Aug 2027'!AA31="X"),1,0))</f>
        <v/>
      </c>
      <c r="AA336" s="345">
        <f>IF($A336="","",IF(OR('Aug 2027'!AA32=TRUE,'Aug 2027'!AA32="x",'Aug 2027'!AA32="X"),1,0))</f>
        <v/>
      </c>
      <c r="AB336" s="345">
        <f>IF($A336="","",IF(OR('Aug 2027'!AA34=TRUE,'Aug 2027'!AA34="x",'Aug 2027'!AA34="X"),1,0))</f>
        <v/>
      </c>
      <c r="AC336" s="345">
        <f>IF($A336="","",IF(OR('Aug 2027'!AA35=TRUE,'Aug 2027'!AA35="x",'Aug 2027'!AA35="X"),1,0))</f>
        <v/>
      </c>
      <c r="AD336" s="345">
        <f>IF($A336="","",IF(OR('Aug 2027'!AA36=TRUE,'Aug 2027'!AA36="x",'Aug 2027'!AA36="X"),1,0))</f>
        <v/>
      </c>
      <c r="AE336" s="345">
        <f>IF($A336="","",IF(OR('Aug 2027'!AA37=TRUE,'Aug 2027'!AA37="x",'Aug 2027'!AA37="X"),1,0))</f>
        <v/>
      </c>
      <c r="AF336" s="345">
        <f>IF($A336="","",IF('Aug 2027'!AA59="","",'Aug 2027'!AA59))</f>
        <v/>
      </c>
      <c r="AG336" s="345">
        <f>IF($A336="","",IF('Aug 2027'!AA60="","",'Aug 2027'!AA60))</f>
        <v/>
      </c>
      <c r="AH336" s="345">
        <f>IF($A336="","",IF('Aug 2027'!AA61="","",'Aug 2027'!AA61))</f>
        <v/>
      </c>
      <c r="AI336" s="345">
        <f>IF($A336="","",IF('Aug 2027'!AA62="","",'Aug 2027'!AA62))</f>
        <v/>
      </c>
      <c r="AJ336" s="345">
        <f>IF($A336="","",IF('Aug 2027'!AA63="","",'Aug 2027'!AA63))</f>
        <v/>
      </c>
      <c r="AK336" s="345">
        <f>IF($A336="","",IF('Aug 2027'!AA64="","",'Aug 2027'!AA64))</f>
        <v/>
      </c>
      <c r="AL336" s="345">
        <f>IF($A336="","",IF('Aug 2027'!AA65="","",'Aug 2027'!AA65))</f>
        <v/>
      </c>
      <c r="AM336" s="345">
        <f>IF($A336="","",IF('Aug 2027'!AA66="","",'Aug 2027'!AA66))</f>
        <v/>
      </c>
      <c r="AN336" s="345">
        <f>IF($A336="","",IF('Aug 2027'!AA67="","",'Aug 2027'!AA67))</f>
        <v/>
      </c>
      <c r="AO336" s="345">
        <f>IF($A336="",0,IF(AND($A336&gt;=TrackStart,$A336&lt;=TODAY()),1,0))</f>
        <v/>
      </c>
      <c r="AP336" s="345">
        <f>IF($A336="",0,IF(SUM(F336:AE336)+COUNT(AF336:AN336)&gt;0,1,0))</f>
        <v/>
      </c>
      <c r="AQ336" s="345">
        <f>IF($A336="","",INT(($A336-TrackStart)/7)+1)</f>
        <v/>
      </c>
      <c r="AR336" s="345">
        <f>IF($A336="","",IF(AQ336&lt;=1,Steps1,IF(AQ336=2,Steps2,Steps3)))</f>
        <v/>
      </c>
      <c r="AS336" s="345">
        <f>IF($A336="",0,IF(ISNUMBER(SEARCH(TEXT(D336,"0"),WorkDays&amp;"")),1,0))</f>
        <v/>
      </c>
      <c r="AT336" s="345">
        <f>IF($A336="",0,IF(ISNUMBER(SEARCH(TEXT(D336,"0"),StrDays&amp;"")),1,0))</f>
        <v/>
      </c>
      <c r="AU336" s="345">
        <f>IF($A336="",0,IF(ISNUMBER(AK336),IF(AK336&gt;=SleepMin,1,0),N336))</f>
        <v/>
      </c>
      <c r="AV336" s="345">
        <f>IF($A336="",0,MAX(I336,O336,S336,AC336))</f>
        <v/>
      </c>
      <c r="AW336" s="345">
        <f>IF($A336="",0,IF(ISNUMBER(AH336),IF(AH336&gt;=ProtHit,1,0),0))</f>
        <v/>
      </c>
      <c r="AX336" s="345">
        <f>IF($A336="",0,IF(ISNUMBER(AI336),IF(AI336&gt;=WaterHit,1,0),0))</f>
        <v/>
      </c>
      <c r="AY336" s="345">
        <f>IF($A336="",0,IF(ISNUMBER(AG336),IF(AG336&gt;=AR336,1,0),0))</f>
        <v/>
      </c>
      <c r="AZ336" s="345">
        <f>IF($A336="",0,G336)</f>
        <v/>
      </c>
      <c r="BA336" s="345">
        <f>IF($A336="",0,J336)</f>
        <v/>
      </c>
      <c r="BB336" s="345">
        <f>IF($A336="",0,K336)</f>
        <v/>
      </c>
      <c r="BC336" s="345">
        <f>IF($A336="",0,MAX(L336,AE336))</f>
        <v/>
      </c>
      <c r="BD336" s="344">
        <f>IF($A336="","",(AU336+AV336+AW336+AX336+AY336+AZ336+BB336+BC336+IF(AS336=1,BA336,0))/(8+AS336))</f>
        <v/>
      </c>
      <c r="BE336" s="344">
        <f>IF($A336="","",(IF(ISNUMBER(AI336),IF(AI336&gt;=WaterMVD,1,0),0)+AV336+IF(ISNUMBER(AH336),IF(AH336&gt;=ProtMVD,1,0),0)+MAX(H336,AD336)+AZ336+BB336+AU336)/7)</f>
        <v/>
      </c>
      <c r="BF336" s="344">
        <f>IF(AO336=0,"",IF(E336="S","",IF(AND(AP336=0,$A336=TODAY()),"",IF(E336="M",BE336,BD336))))</f>
        <v/>
      </c>
      <c r="BG336" s="344">
        <f>IF(AO336=0,"",IFERROR(AVERAGEIFS(Data!$BF$4:$BF$375,Data!$A$4:$A$375,"&gt;"&amp;($A336-7),Data!$A$4:$A$375,"&lt;="&amp;$A336),""))</f>
        <v/>
      </c>
      <c r="BH336" s="344">
        <f>IF(AO336=0,"",IFERROR(AVERAGEIFS(Data!$BF$4:$BF$375,Data!$A$4:$A$375,"&gt;"&amp;($A336-30),Data!$A$4:$A$375,"&lt;="&amp;$A336),""))</f>
        <v/>
      </c>
      <c r="BI336" s="359">
        <f>IF($A336="","",IFERROR(AVERAGEIFS(Data!$AF$4:$AF$375,Data!$A$4:$A$375,"&gt;"&amp;($A336-7),Data!$A$4:$A$375,"&lt;="&amp;$A336,Data!$AF$4:$AF$375,"&gt;0"),""))</f>
        <v/>
      </c>
      <c r="BJ336" s="345">
        <f>IF($A336="","",F336+G336+H336+I336+J336+K336+L336+M336+N336-IF(AS336=1,0,J336))</f>
        <v/>
      </c>
      <c r="BK336" s="345">
        <f>IF($A336="","",8+AS336)</f>
        <v/>
      </c>
      <c r="BL336" s="345">
        <f>IF(ISNUMBER(BF336),BF336,NA())</f>
        <v/>
      </c>
      <c r="BM336" s="345">
        <f>IF(ISNUMBER(AF336),AF336,NA())</f>
        <v/>
      </c>
      <c r="BN336" s="345">
        <f>IF(ISNUMBER(BI336),BI336,NA())</f>
        <v/>
      </c>
      <c r="BO336" s="345">
        <f>IF(ISNUMBER(AL336),AL336,NA())</f>
        <v/>
      </c>
      <c r="BP336" s="345">
        <f>IF(ISNUMBER(AM336),AM336,NA())</f>
        <v/>
      </c>
      <c r="BQ336" s="345">
        <f>IF(ISNUMBER(AN336),AN336,NA())</f>
        <v/>
      </c>
    </row>
    <row r="337">
      <c r="A337" s="358">
        <f>IF('Aug 2027'!AB7="","",'Aug 2027'!AB7)</f>
        <v/>
      </c>
      <c r="B337" s="345" t="n">
        <v>11</v>
      </c>
      <c r="C337" s="345">
        <f>IF($A337="","",24)</f>
        <v/>
      </c>
      <c r="D337" s="345">
        <f>IF($A337="","",WEEKDAY($A337,2))</f>
        <v/>
      </c>
      <c r="E337" s="345">
        <f>IF($A337="","",UPPER(TRIM('Aug 2027'!AB8)))</f>
        <v/>
      </c>
      <c r="F337" s="345">
        <f>IF($A337="","",IF(OR('Aug 2027'!AB10=TRUE,'Aug 2027'!AB10="x",'Aug 2027'!AB10="X"),1,0))</f>
        <v/>
      </c>
      <c r="G337" s="345">
        <f>IF($A337="","",IF(OR('Aug 2027'!AB11=TRUE,'Aug 2027'!AB11="x",'Aug 2027'!AB11="X"),1,0))</f>
        <v/>
      </c>
      <c r="H337" s="345">
        <f>IF($A337="","",IF(OR('Aug 2027'!AB12=TRUE,'Aug 2027'!AB12="x",'Aug 2027'!AB12="X"),1,0))</f>
        <v/>
      </c>
      <c r="I337" s="345">
        <f>IF($A337="","",IF(OR('Aug 2027'!AB13=TRUE,'Aug 2027'!AB13="x",'Aug 2027'!AB13="X"),1,0))</f>
        <v/>
      </c>
      <c r="J337" s="345">
        <f>IF($A337="","",IF(OR('Aug 2027'!AB14=TRUE,'Aug 2027'!AB14="x",'Aug 2027'!AB14="X"),1,0))</f>
        <v/>
      </c>
      <c r="K337" s="345">
        <f>IF($A337="","",IF(OR('Aug 2027'!AB15=TRUE,'Aug 2027'!AB15="x",'Aug 2027'!AB15="X"),1,0))</f>
        <v/>
      </c>
      <c r="L337" s="345">
        <f>IF($A337="","",IF(OR('Aug 2027'!AB16=TRUE,'Aug 2027'!AB16="x",'Aug 2027'!AB16="X"),1,0))</f>
        <v/>
      </c>
      <c r="M337" s="345">
        <f>IF($A337="","",IF(OR('Aug 2027'!AB17=TRUE,'Aug 2027'!AB17="x",'Aug 2027'!AB17="X"),1,0))</f>
        <v/>
      </c>
      <c r="N337" s="345">
        <f>IF($A337="","",IF(OR('Aug 2027'!AB18=TRUE,'Aug 2027'!AB18="x",'Aug 2027'!AB18="X"),1,0))</f>
        <v/>
      </c>
      <c r="O337" s="345">
        <f>IF($A337="","",IF(OR('Aug 2027'!AB20=TRUE,'Aug 2027'!AB20="x",'Aug 2027'!AB20="X"),1,0))</f>
        <v/>
      </c>
      <c r="P337" s="345">
        <f>IF($A337="","",IF(OR('Aug 2027'!AB21=TRUE,'Aug 2027'!AB21="x",'Aug 2027'!AB21="X"),1,0))</f>
        <v/>
      </c>
      <c r="Q337" s="345">
        <f>IF($A337="","",IF(OR('Aug 2027'!AB22=TRUE,'Aug 2027'!AB22="x",'Aug 2027'!AB22="X"),1,0))</f>
        <v/>
      </c>
      <c r="R337" s="345">
        <f>IF($A337="","",IF(OR('Aug 2027'!AB23=TRUE,'Aug 2027'!AB23="x",'Aug 2027'!AB23="X"),1,0))</f>
        <v/>
      </c>
      <c r="S337" s="345">
        <f>IF($A337="","",IF(OR('Aug 2027'!AB24=TRUE,'Aug 2027'!AB24="x",'Aug 2027'!AB24="X"),1,0))</f>
        <v/>
      </c>
      <c r="T337" s="345">
        <f>IF($A337="","",IF(OR('Aug 2027'!AB25=TRUE,'Aug 2027'!AB25="x",'Aug 2027'!AB25="X"),1,0))</f>
        <v/>
      </c>
      <c r="U337" s="345">
        <f>IF($A337="","",IF(OR('Aug 2027'!AB26=TRUE,'Aug 2027'!AB26="x",'Aug 2027'!AB26="X"),1,0))</f>
        <v/>
      </c>
      <c r="V337" s="345">
        <f>IF($A337="","",IF(OR('Aug 2027'!AB27=TRUE,'Aug 2027'!AB27="x",'Aug 2027'!AB27="X"),1,0))</f>
        <v/>
      </c>
      <c r="W337" s="345">
        <f>IF($A337="","",IF(OR('Aug 2027'!AB28=TRUE,'Aug 2027'!AB28="x",'Aug 2027'!AB28="X"),1,0))</f>
        <v/>
      </c>
      <c r="X337" s="345">
        <f>IF($A337="","",IF(OR('Aug 2027'!AB29=TRUE,'Aug 2027'!AB29="x",'Aug 2027'!AB29="X"),1,0))</f>
        <v/>
      </c>
      <c r="Y337" s="345">
        <f>IF($A337="","",IF(OR('Aug 2027'!AB30=TRUE,'Aug 2027'!AB30="x",'Aug 2027'!AB30="X"),1,0))</f>
        <v/>
      </c>
      <c r="Z337" s="345">
        <f>IF($A337="","",IF(OR('Aug 2027'!AB31=TRUE,'Aug 2027'!AB31="x",'Aug 2027'!AB31="X"),1,0))</f>
        <v/>
      </c>
      <c r="AA337" s="345">
        <f>IF($A337="","",IF(OR('Aug 2027'!AB32=TRUE,'Aug 2027'!AB32="x",'Aug 2027'!AB32="X"),1,0))</f>
        <v/>
      </c>
      <c r="AB337" s="345">
        <f>IF($A337="","",IF(OR('Aug 2027'!AB34=TRUE,'Aug 2027'!AB34="x",'Aug 2027'!AB34="X"),1,0))</f>
        <v/>
      </c>
      <c r="AC337" s="345">
        <f>IF($A337="","",IF(OR('Aug 2027'!AB35=TRUE,'Aug 2027'!AB35="x",'Aug 2027'!AB35="X"),1,0))</f>
        <v/>
      </c>
      <c r="AD337" s="345">
        <f>IF($A337="","",IF(OR('Aug 2027'!AB36=TRUE,'Aug 2027'!AB36="x",'Aug 2027'!AB36="X"),1,0))</f>
        <v/>
      </c>
      <c r="AE337" s="345">
        <f>IF($A337="","",IF(OR('Aug 2027'!AB37=TRUE,'Aug 2027'!AB37="x",'Aug 2027'!AB37="X"),1,0))</f>
        <v/>
      </c>
      <c r="AF337" s="345">
        <f>IF($A337="","",IF('Aug 2027'!AB59="","",'Aug 2027'!AB59))</f>
        <v/>
      </c>
      <c r="AG337" s="345">
        <f>IF($A337="","",IF('Aug 2027'!AB60="","",'Aug 2027'!AB60))</f>
        <v/>
      </c>
      <c r="AH337" s="345">
        <f>IF($A337="","",IF('Aug 2027'!AB61="","",'Aug 2027'!AB61))</f>
        <v/>
      </c>
      <c r="AI337" s="345">
        <f>IF($A337="","",IF('Aug 2027'!AB62="","",'Aug 2027'!AB62))</f>
        <v/>
      </c>
      <c r="AJ337" s="345">
        <f>IF($A337="","",IF('Aug 2027'!AB63="","",'Aug 2027'!AB63))</f>
        <v/>
      </c>
      <c r="AK337" s="345">
        <f>IF($A337="","",IF('Aug 2027'!AB64="","",'Aug 2027'!AB64))</f>
        <v/>
      </c>
      <c r="AL337" s="345">
        <f>IF($A337="","",IF('Aug 2027'!AB65="","",'Aug 2027'!AB65))</f>
        <v/>
      </c>
      <c r="AM337" s="345">
        <f>IF($A337="","",IF('Aug 2027'!AB66="","",'Aug 2027'!AB66))</f>
        <v/>
      </c>
      <c r="AN337" s="345">
        <f>IF($A337="","",IF('Aug 2027'!AB67="","",'Aug 2027'!AB67))</f>
        <v/>
      </c>
      <c r="AO337" s="345">
        <f>IF($A337="",0,IF(AND($A337&gt;=TrackStart,$A337&lt;=TODAY()),1,0))</f>
        <v/>
      </c>
      <c r="AP337" s="345">
        <f>IF($A337="",0,IF(SUM(F337:AE337)+COUNT(AF337:AN337)&gt;0,1,0))</f>
        <v/>
      </c>
      <c r="AQ337" s="345">
        <f>IF($A337="","",INT(($A337-TrackStart)/7)+1)</f>
        <v/>
      </c>
      <c r="AR337" s="345">
        <f>IF($A337="","",IF(AQ337&lt;=1,Steps1,IF(AQ337=2,Steps2,Steps3)))</f>
        <v/>
      </c>
      <c r="AS337" s="345">
        <f>IF($A337="",0,IF(ISNUMBER(SEARCH(TEXT(D337,"0"),WorkDays&amp;"")),1,0))</f>
        <v/>
      </c>
      <c r="AT337" s="345">
        <f>IF($A337="",0,IF(ISNUMBER(SEARCH(TEXT(D337,"0"),StrDays&amp;"")),1,0))</f>
        <v/>
      </c>
      <c r="AU337" s="345">
        <f>IF($A337="",0,IF(ISNUMBER(AK337),IF(AK337&gt;=SleepMin,1,0),N337))</f>
        <v/>
      </c>
      <c r="AV337" s="345">
        <f>IF($A337="",0,MAX(I337,O337,S337,AC337))</f>
        <v/>
      </c>
      <c r="AW337" s="345">
        <f>IF($A337="",0,IF(ISNUMBER(AH337),IF(AH337&gt;=ProtHit,1,0),0))</f>
        <v/>
      </c>
      <c r="AX337" s="345">
        <f>IF($A337="",0,IF(ISNUMBER(AI337),IF(AI337&gt;=WaterHit,1,0),0))</f>
        <v/>
      </c>
      <c r="AY337" s="345">
        <f>IF($A337="",0,IF(ISNUMBER(AG337),IF(AG337&gt;=AR337,1,0),0))</f>
        <v/>
      </c>
      <c r="AZ337" s="345">
        <f>IF($A337="",0,G337)</f>
        <v/>
      </c>
      <c r="BA337" s="345">
        <f>IF($A337="",0,J337)</f>
        <v/>
      </c>
      <c r="BB337" s="345">
        <f>IF($A337="",0,K337)</f>
        <v/>
      </c>
      <c r="BC337" s="345">
        <f>IF($A337="",0,MAX(L337,AE337))</f>
        <v/>
      </c>
      <c r="BD337" s="344">
        <f>IF($A337="","",(AU337+AV337+AW337+AX337+AY337+AZ337+BB337+BC337+IF(AS337=1,BA337,0))/(8+AS337))</f>
        <v/>
      </c>
      <c r="BE337" s="344">
        <f>IF($A337="","",(IF(ISNUMBER(AI337),IF(AI337&gt;=WaterMVD,1,0),0)+AV337+IF(ISNUMBER(AH337),IF(AH337&gt;=ProtMVD,1,0),0)+MAX(H337,AD337)+AZ337+BB337+AU337)/7)</f>
        <v/>
      </c>
      <c r="BF337" s="344">
        <f>IF(AO337=0,"",IF(E337="S","",IF(AND(AP337=0,$A337=TODAY()),"",IF(E337="M",BE337,BD337))))</f>
        <v/>
      </c>
      <c r="BG337" s="344">
        <f>IF(AO337=0,"",IFERROR(AVERAGEIFS(Data!$BF$4:$BF$375,Data!$A$4:$A$375,"&gt;"&amp;($A337-7),Data!$A$4:$A$375,"&lt;="&amp;$A337),""))</f>
        <v/>
      </c>
      <c r="BH337" s="344">
        <f>IF(AO337=0,"",IFERROR(AVERAGEIFS(Data!$BF$4:$BF$375,Data!$A$4:$A$375,"&gt;"&amp;($A337-30),Data!$A$4:$A$375,"&lt;="&amp;$A337),""))</f>
        <v/>
      </c>
      <c r="BI337" s="359">
        <f>IF($A337="","",IFERROR(AVERAGEIFS(Data!$AF$4:$AF$375,Data!$A$4:$A$375,"&gt;"&amp;($A337-7),Data!$A$4:$A$375,"&lt;="&amp;$A337,Data!$AF$4:$AF$375,"&gt;0"),""))</f>
        <v/>
      </c>
      <c r="BJ337" s="345">
        <f>IF($A337="","",F337+G337+H337+I337+J337+K337+L337+M337+N337-IF(AS337=1,0,J337))</f>
        <v/>
      </c>
      <c r="BK337" s="345">
        <f>IF($A337="","",8+AS337)</f>
        <v/>
      </c>
      <c r="BL337" s="345">
        <f>IF(ISNUMBER(BF337),BF337,NA())</f>
        <v/>
      </c>
      <c r="BM337" s="345">
        <f>IF(ISNUMBER(AF337),AF337,NA())</f>
        <v/>
      </c>
      <c r="BN337" s="345">
        <f>IF(ISNUMBER(BI337),BI337,NA())</f>
        <v/>
      </c>
      <c r="BO337" s="345">
        <f>IF(ISNUMBER(AL337),AL337,NA())</f>
        <v/>
      </c>
      <c r="BP337" s="345">
        <f>IF(ISNUMBER(AM337),AM337,NA())</f>
        <v/>
      </c>
      <c r="BQ337" s="345">
        <f>IF(ISNUMBER(AN337),AN337,NA())</f>
        <v/>
      </c>
    </row>
    <row r="338">
      <c r="A338" s="358">
        <f>IF('Aug 2027'!AC7="","",'Aug 2027'!AC7)</f>
        <v/>
      </c>
      <c r="B338" s="345" t="n">
        <v>11</v>
      </c>
      <c r="C338" s="345">
        <f>IF($A338="","",25)</f>
        <v/>
      </c>
      <c r="D338" s="345">
        <f>IF($A338="","",WEEKDAY($A338,2))</f>
        <v/>
      </c>
      <c r="E338" s="345">
        <f>IF($A338="","",UPPER(TRIM('Aug 2027'!AC8)))</f>
        <v/>
      </c>
      <c r="F338" s="345">
        <f>IF($A338="","",IF(OR('Aug 2027'!AC10=TRUE,'Aug 2027'!AC10="x",'Aug 2027'!AC10="X"),1,0))</f>
        <v/>
      </c>
      <c r="G338" s="345">
        <f>IF($A338="","",IF(OR('Aug 2027'!AC11=TRUE,'Aug 2027'!AC11="x",'Aug 2027'!AC11="X"),1,0))</f>
        <v/>
      </c>
      <c r="H338" s="345">
        <f>IF($A338="","",IF(OR('Aug 2027'!AC12=TRUE,'Aug 2027'!AC12="x",'Aug 2027'!AC12="X"),1,0))</f>
        <v/>
      </c>
      <c r="I338" s="345">
        <f>IF($A338="","",IF(OR('Aug 2027'!AC13=TRUE,'Aug 2027'!AC13="x",'Aug 2027'!AC13="X"),1,0))</f>
        <v/>
      </c>
      <c r="J338" s="345">
        <f>IF($A338="","",IF(OR('Aug 2027'!AC14=TRUE,'Aug 2027'!AC14="x",'Aug 2027'!AC14="X"),1,0))</f>
        <v/>
      </c>
      <c r="K338" s="345">
        <f>IF($A338="","",IF(OR('Aug 2027'!AC15=TRUE,'Aug 2027'!AC15="x",'Aug 2027'!AC15="X"),1,0))</f>
        <v/>
      </c>
      <c r="L338" s="345">
        <f>IF($A338="","",IF(OR('Aug 2027'!AC16=TRUE,'Aug 2027'!AC16="x",'Aug 2027'!AC16="X"),1,0))</f>
        <v/>
      </c>
      <c r="M338" s="345">
        <f>IF($A338="","",IF(OR('Aug 2027'!AC17=TRUE,'Aug 2027'!AC17="x",'Aug 2027'!AC17="X"),1,0))</f>
        <v/>
      </c>
      <c r="N338" s="345">
        <f>IF($A338="","",IF(OR('Aug 2027'!AC18=TRUE,'Aug 2027'!AC18="x",'Aug 2027'!AC18="X"),1,0))</f>
        <v/>
      </c>
      <c r="O338" s="345">
        <f>IF($A338="","",IF(OR('Aug 2027'!AC20=TRUE,'Aug 2027'!AC20="x",'Aug 2027'!AC20="X"),1,0))</f>
        <v/>
      </c>
      <c r="P338" s="345">
        <f>IF($A338="","",IF(OR('Aug 2027'!AC21=TRUE,'Aug 2027'!AC21="x",'Aug 2027'!AC21="X"),1,0))</f>
        <v/>
      </c>
      <c r="Q338" s="345">
        <f>IF($A338="","",IF(OR('Aug 2027'!AC22=TRUE,'Aug 2027'!AC22="x",'Aug 2027'!AC22="X"),1,0))</f>
        <v/>
      </c>
      <c r="R338" s="345">
        <f>IF($A338="","",IF(OR('Aug 2027'!AC23=TRUE,'Aug 2027'!AC23="x",'Aug 2027'!AC23="X"),1,0))</f>
        <v/>
      </c>
      <c r="S338" s="345">
        <f>IF($A338="","",IF(OR('Aug 2027'!AC24=TRUE,'Aug 2027'!AC24="x",'Aug 2027'!AC24="X"),1,0))</f>
        <v/>
      </c>
      <c r="T338" s="345">
        <f>IF($A338="","",IF(OR('Aug 2027'!AC25=TRUE,'Aug 2027'!AC25="x",'Aug 2027'!AC25="X"),1,0))</f>
        <v/>
      </c>
      <c r="U338" s="345">
        <f>IF($A338="","",IF(OR('Aug 2027'!AC26=TRUE,'Aug 2027'!AC26="x",'Aug 2027'!AC26="X"),1,0))</f>
        <v/>
      </c>
      <c r="V338" s="345">
        <f>IF($A338="","",IF(OR('Aug 2027'!AC27=TRUE,'Aug 2027'!AC27="x",'Aug 2027'!AC27="X"),1,0))</f>
        <v/>
      </c>
      <c r="W338" s="345">
        <f>IF($A338="","",IF(OR('Aug 2027'!AC28=TRUE,'Aug 2027'!AC28="x",'Aug 2027'!AC28="X"),1,0))</f>
        <v/>
      </c>
      <c r="X338" s="345">
        <f>IF($A338="","",IF(OR('Aug 2027'!AC29=TRUE,'Aug 2027'!AC29="x",'Aug 2027'!AC29="X"),1,0))</f>
        <v/>
      </c>
      <c r="Y338" s="345">
        <f>IF($A338="","",IF(OR('Aug 2027'!AC30=TRUE,'Aug 2027'!AC30="x",'Aug 2027'!AC30="X"),1,0))</f>
        <v/>
      </c>
      <c r="Z338" s="345">
        <f>IF($A338="","",IF(OR('Aug 2027'!AC31=TRUE,'Aug 2027'!AC31="x",'Aug 2027'!AC31="X"),1,0))</f>
        <v/>
      </c>
      <c r="AA338" s="345">
        <f>IF($A338="","",IF(OR('Aug 2027'!AC32=TRUE,'Aug 2027'!AC32="x",'Aug 2027'!AC32="X"),1,0))</f>
        <v/>
      </c>
      <c r="AB338" s="345">
        <f>IF($A338="","",IF(OR('Aug 2027'!AC34=TRUE,'Aug 2027'!AC34="x",'Aug 2027'!AC34="X"),1,0))</f>
        <v/>
      </c>
      <c r="AC338" s="345">
        <f>IF($A338="","",IF(OR('Aug 2027'!AC35=TRUE,'Aug 2027'!AC35="x",'Aug 2027'!AC35="X"),1,0))</f>
        <v/>
      </c>
      <c r="AD338" s="345">
        <f>IF($A338="","",IF(OR('Aug 2027'!AC36=TRUE,'Aug 2027'!AC36="x",'Aug 2027'!AC36="X"),1,0))</f>
        <v/>
      </c>
      <c r="AE338" s="345">
        <f>IF($A338="","",IF(OR('Aug 2027'!AC37=TRUE,'Aug 2027'!AC37="x",'Aug 2027'!AC37="X"),1,0))</f>
        <v/>
      </c>
      <c r="AF338" s="345">
        <f>IF($A338="","",IF('Aug 2027'!AC59="","",'Aug 2027'!AC59))</f>
        <v/>
      </c>
      <c r="AG338" s="345">
        <f>IF($A338="","",IF('Aug 2027'!AC60="","",'Aug 2027'!AC60))</f>
        <v/>
      </c>
      <c r="AH338" s="345">
        <f>IF($A338="","",IF('Aug 2027'!AC61="","",'Aug 2027'!AC61))</f>
        <v/>
      </c>
      <c r="AI338" s="345">
        <f>IF($A338="","",IF('Aug 2027'!AC62="","",'Aug 2027'!AC62))</f>
        <v/>
      </c>
      <c r="AJ338" s="345">
        <f>IF($A338="","",IF('Aug 2027'!AC63="","",'Aug 2027'!AC63))</f>
        <v/>
      </c>
      <c r="AK338" s="345">
        <f>IF($A338="","",IF('Aug 2027'!AC64="","",'Aug 2027'!AC64))</f>
        <v/>
      </c>
      <c r="AL338" s="345">
        <f>IF($A338="","",IF('Aug 2027'!AC65="","",'Aug 2027'!AC65))</f>
        <v/>
      </c>
      <c r="AM338" s="345">
        <f>IF($A338="","",IF('Aug 2027'!AC66="","",'Aug 2027'!AC66))</f>
        <v/>
      </c>
      <c r="AN338" s="345">
        <f>IF($A338="","",IF('Aug 2027'!AC67="","",'Aug 2027'!AC67))</f>
        <v/>
      </c>
      <c r="AO338" s="345">
        <f>IF($A338="",0,IF(AND($A338&gt;=TrackStart,$A338&lt;=TODAY()),1,0))</f>
        <v/>
      </c>
      <c r="AP338" s="345">
        <f>IF($A338="",0,IF(SUM(F338:AE338)+COUNT(AF338:AN338)&gt;0,1,0))</f>
        <v/>
      </c>
      <c r="AQ338" s="345">
        <f>IF($A338="","",INT(($A338-TrackStart)/7)+1)</f>
        <v/>
      </c>
      <c r="AR338" s="345">
        <f>IF($A338="","",IF(AQ338&lt;=1,Steps1,IF(AQ338=2,Steps2,Steps3)))</f>
        <v/>
      </c>
      <c r="AS338" s="345">
        <f>IF($A338="",0,IF(ISNUMBER(SEARCH(TEXT(D338,"0"),WorkDays&amp;"")),1,0))</f>
        <v/>
      </c>
      <c r="AT338" s="345">
        <f>IF($A338="",0,IF(ISNUMBER(SEARCH(TEXT(D338,"0"),StrDays&amp;"")),1,0))</f>
        <v/>
      </c>
      <c r="AU338" s="345">
        <f>IF($A338="",0,IF(ISNUMBER(AK338),IF(AK338&gt;=SleepMin,1,0),N338))</f>
        <v/>
      </c>
      <c r="AV338" s="345">
        <f>IF($A338="",0,MAX(I338,O338,S338,AC338))</f>
        <v/>
      </c>
      <c r="AW338" s="345">
        <f>IF($A338="",0,IF(ISNUMBER(AH338),IF(AH338&gt;=ProtHit,1,0),0))</f>
        <v/>
      </c>
      <c r="AX338" s="345">
        <f>IF($A338="",0,IF(ISNUMBER(AI338),IF(AI338&gt;=WaterHit,1,0),0))</f>
        <v/>
      </c>
      <c r="AY338" s="345">
        <f>IF($A338="",0,IF(ISNUMBER(AG338),IF(AG338&gt;=AR338,1,0),0))</f>
        <v/>
      </c>
      <c r="AZ338" s="345">
        <f>IF($A338="",0,G338)</f>
        <v/>
      </c>
      <c r="BA338" s="345">
        <f>IF($A338="",0,J338)</f>
        <v/>
      </c>
      <c r="BB338" s="345">
        <f>IF($A338="",0,K338)</f>
        <v/>
      </c>
      <c r="BC338" s="345">
        <f>IF($A338="",0,MAX(L338,AE338))</f>
        <v/>
      </c>
      <c r="BD338" s="344">
        <f>IF($A338="","",(AU338+AV338+AW338+AX338+AY338+AZ338+BB338+BC338+IF(AS338=1,BA338,0))/(8+AS338))</f>
        <v/>
      </c>
      <c r="BE338" s="344">
        <f>IF($A338="","",(IF(ISNUMBER(AI338),IF(AI338&gt;=WaterMVD,1,0),0)+AV338+IF(ISNUMBER(AH338),IF(AH338&gt;=ProtMVD,1,0),0)+MAX(H338,AD338)+AZ338+BB338+AU338)/7)</f>
        <v/>
      </c>
      <c r="BF338" s="344">
        <f>IF(AO338=0,"",IF(E338="S","",IF(AND(AP338=0,$A338=TODAY()),"",IF(E338="M",BE338,BD338))))</f>
        <v/>
      </c>
      <c r="BG338" s="344">
        <f>IF(AO338=0,"",IFERROR(AVERAGEIFS(Data!$BF$4:$BF$375,Data!$A$4:$A$375,"&gt;"&amp;($A338-7),Data!$A$4:$A$375,"&lt;="&amp;$A338),""))</f>
        <v/>
      </c>
      <c r="BH338" s="344">
        <f>IF(AO338=0,"",IFERROR(AVERAGEIFS(Data!$BF$4:$BF$375,Data!$A$4:$A$375,"&gt;"&amp;($A338-30),Data!$A$4:$A$375,"&lt;="&amp;$A338),""))</f>
        <v/>
      </c>
      <c r="BI338" s="359">
        <f>IF($A338="","",IFERROR(AVERAGEIFS(Data!$AF$4:$AF$375,Data!$A$4:$A$375,"&gt;"&amp;($A338-7),Data!$A$4:$A$375,"&lt;="&amp;$A338,Data!$AF$4:$AF$375,"&gt;0"),""))</f>
        <v/>
      </c>
      <c r="BJ338" s="345">
        <f>IF($A338="","",F338+G338+H338+I338+J338+K338+L338+M338+N338-IF(AS338=1,0,J338))</f>
        <v/>
      </c>
      <c r="BK338" s="345">
        <f>IF($A338="","",8+AS338)</f>
        <v/>
      </c>
      <c r="BL338" s="345">
        <f>IF(ISNUMBER(BF338),BF338,NA())</f>
        <v/>
      </c>
      <c r="BM338" s="345">
        <f>IF(ISNUMBER(AF338),AF338,NA())</f>
        <v/>
      </c>
      <c r="BN338" s="345">
        <f>IF(ISNUMBER(BI338),BI338,NA())</f>
        <v/>
      </c>
      <c r="BO338" s="345">
        <f>IF(ISNUMBER(AL338),AL338,NA())</f>
        <v/>
      </c>
      <c r="BP338" s="345">
        <f>IF(ISNUMBER(AM338),AM338,NA())</f>
        <v/>
      </c>
      <c r="BQ338" s="345">
        <f>IF(ISNUMBER(AN338),AN338,NA())</f>
        <v/>
      </c>
    </row>
    <row r="339">
      <c r="A339" s="358">
        <f>IF('Aug 2027'!AD7="","",'Aug 2027'!AD7)</f>
        <v/>
      </c>
      <c r="B339" s="345" t="n">
        <v>11</v>
      </c>
      <c r="C339" s="345">
        <f>IF($A339="","",26)</f>
        <v/>
      </c>
      <c r="D339" s="345">
        <f>IF($A339="","",WEEKDAY($A339,2))</f>
        <v/>
      </c>
      <c r="E339" s="345">
        <f>IF($A339="","",UPPER(TRIM('Aug 2027'!AD8)))</f>
        <v/>
      </c>
      <c r="F339" s="345">
        <f>IF($A339="","",IF(OR('Aug 2027'!AD10=TRUE,'Aug 2027'!AD10="x",'Aug 2027'!AD10="X"),1,0))</f>
        <v/>
      </c>
      <c r="G339" s="345">
        <f>IF($A339="","",IF(OR('Aug 2027'!AD11=TRUE,'Aug 2027'!AD11="x",'Aug 2027'!AD11="X"),1,0))</f>
        <v/>
      </c>
      <c r="H339" s="345">
        <f>IF($A339="","",IF(OR('Aug 2027'!AD12=TRUE,'Aug 2027'!AD12="x",'Aug 2027'!AD12="X"),1,0))</f>
        <v/>
      </c>
      <c r="I339" s="345">
        <f>IF($A339="","",IF(OR('Aug 2027'!AD13=TRUE,'Aug 2027'!AD13="x",'Aug 2027'!AD13="X"),1,0))</f>
        <v/>
      </c>
      <c r="J339" s="345">
        <f>IF($A339="","",IF(OR('Aug 2027'!AD14=TRUE,'Aug 2027'!AD14="x",'Aug 2027'!AD14="X"),1,0))</f>
        <v/>
      </c>
      <c r="K339" s="345">
        <f>IF($A339="","",IF(OR('Aug 2027'!AD15=TRUE,'Aug 2027'!AD15="x",'Aug 2027'!AD15="X"),1,0))</f>
        <v/>
      </c>
      <c r="L339" s="345">
        <f>IF($A339="","",IF(OR('Aug 2027'!AD16=TRUE,'Aug 2027'!AD16="x",'Aug 2027'!AD16="X"),1,0))</f>
        <v/>
      </c>
      <c r="M339" s="345">
        <f>IF($A339="","",IF(OR('Aug 2027'!AD17=TRUE,'Aug 2027'!AD17="x",'Aug 2027'!AD17="X"),1,0))</f>
        <v/>
      </c>
      <c r="N339" s="345">
        <f>IF($A339="","",IF(OR('Aug 2027'!AD18=TRUE,'Aug 2027'!AD18="x",'Aug 2027'!AD18="X"),1,0))</f>
        <v/>
      </c>
      <c r="O339" s="345">
        <f>IF($A339="","",IF(OR('Aug 2027'!AD20=TRUE,'Aug 2027'!AD20="x",'Aug 2027'!AD20="X"),1,0))</f>
        <v/>
      </c>
      <c r="P339" s="345">
        <f>IF($A339="","",IF(OR('Aug 2027'!AD21=TRUE,'Aug 2027'!AD21="x",'Aug 2027'!AD21="X"),1,0))</f>
        <v/>
      </c>
      <c r="Q339" s="345">
        <f>IF($A339="","",IF(OR('Aug 2027'!AD22=TRUE,'Aug 2027'!AD22="x",'Aug 2027'!AD22="X"),1,0))</f>
        <v/>
      </c>
      <c r="R339" s="345">
        <f>IF($A339="","",IF(OR('Aug 2027'!AD23=TRUE,'Aug 2027'!AD23="x",'Aug 2027'!AD23="X"),1,0))</f>
        <v/>
      </c>
      <c r="S339" s="345">
        <f>IF($A339="","",IF(OR('Aug 2027'!AD24=TRUE,'Aug 2027'!AD24="x",'Aug 2027'!AD24="X"),1,0))</f>
        <v/>
      </c>
      <c r="T339" s="345">
        <f>IF($A339="","",IF(OR('Aug 2027'!AD25=TRUE,'Aug 2027'!AD25="x",'Aug 2027'!AD25="X"),1,0))</f>
        <v/>
      </c>
      <c r="U339" s="345">
        <f>IF($A339="","",IF(OR('Aug 2027'!AD26=TRUE,'Aug 2027'!AD26="x",'Aug 2027'!AD26="X"),1,0))</f>
        <v/>
      </c>
      <c r="V339" s="345">
        <f>IF($A339="","",IF(OR('Aug 2027'!AD27=TRUE,'Aug 2027'!AD27="x",'Aug 2027'!AD27="X"),1,0))</f>
        <v/>
      </c>
      <c r="W339" s="345">
        <f>IF($A339="","",IF(OR('Aug 2027'!AD28=TRUE,'Aug 2027'!AD28="x",'Aug 2027'!AD28="X"),1,0))</f>
        <v/>
      </c>
      <c r="X339" s="345">
        <f>IF($A339="","",IF(OR('Aug 2027'!AD29=TRUE,'Aug 2027'!AD29="x",'Aug 2027'!AD29="X"),1,0))</f>
        <v/>
      </c>
      <c r="Y339" s="345">
        <f>IF($A339="","",IF(OR('Aug 2027'!AD30=TRUE,'Aug 2027'!AD30="x",'Aug 2027'!AD30="X"),1,0))</f>
        <v/>
      </c>
      <c r="Z339" s="345">
        <f>IF($A339="","",IF(OR('Aug 2027'!AD31=TRUE,'Aug 2027'!AD31="x",'Aug 2027'!AD31="X"),1,0))</f>
        <v/>
      </c>
      <c r="AA339" s="345">
        <f>IF($A339="","",IF(OR('Aug 2027'!AD32=TRUE,'Aug 2027'!AD32="x",'Aug 2027'!AD32="X"),1,0))</f>
        <v/>
      </c>
      <c r="AB339" s="345">
        <f>IF($A339="","",IF(OR('Aug 2027'!AD34=TRUE,'Aug 2027'!AD34="x",'Aug 2027'!AD34="X"),1,0))</f>
        <v/>
      </c>
      <c r="AC339" s="345">
        <f>IF($A339="","",IF(OR('Aug 2027'!AD35=TRUE,'Aug 2027'!AD35="x",'Aug 2027'!AD35="X"),1,0))</f>
        <v/>
      </c>
      <c r="AD339" s="345">
        <f>IF($A339="","",IF(OR('Aug 2027'!AD36=TRUE,'Aug 2027'!AD36="x",'Aug 2027'!AD36="X"),1,0))</f>
        <v/>
      </c>
      <c r="AE339" s="345">
        <f>IF($A339="","",IF(OR('Aug 2027'!AD37=TRUE,'Aug 2027'!AD37="x",'Aug 2027'!AD37="X"),1,0))</f>
        <v/>
      </c>
      <c r="AF339" s="345">
        <f>IF($A339="","",IF('Aug 2027'!AD59="","",'Aug 2027'!AD59))</f>
        <v/>
      </c>
      <c r="AG339" s="345">
        <f>IF($A339="","",IF('Aug 2027'!AD60="","",'Aug 2027'!AD60))</f>
        <v/>
      </c>
      <c r="AH339" s="345">
        <f>IF($A339="","",IF('Aug 2027'!AD61="","",'Aug 2027'!AD61))</f>
        <v/>
      </c>
      <c r="AI339" s="345">
        <f>IF($A339="","",IF('Aug 2027'!AD62="","",'Aug 2027'!AD62))</f>
        <v/>
      </c>
      <c r="AJ339" s="345">
        <f>IF($A339="","",IF('Aug 2027'!AD63="","",'Aug 2027'!AD63))</f>
        <v/>
      </c>
      <c r="AK339" s="345">
        <f>IF($A339="","",IF('Aug 2027'!AD64="","",'Aug 2027'!AD64))</f>
        <v/>
      </c>
      <c r="AL339" s="345">
        <f>IF($A339="","",IF('Aug 2027'!AD65="","",'Aug 2027'!AD65))</f>
        <v/>
      </c>
      <c r="AM339" s="345">
        <f>IF($A339="","",IF('Aug 2027'!AD66="","",'Aug 2027'!AD66))</f>
        <v/>
      </c>
      <c r="AN339" s="345">
        <f>IF($A339="","",IF('Aug 2027'!AD67="","",'Aug 2027'!AD67))</f>
        <v/>
      </c>
      <c r="AO339" s="345">
        <f>IF($A339="",0,IF(AND($A339&gt;=TrackStart,$A339&lt;=TODAY()),1,0))</f>
        <v/>
      </c>
      <c r="AP339" s="345">
        <f>IF($A339="",0,IF(SUM(F339:AE339)+COUNT(AF339:AN339)&gt;0,1,0))</f>
        <v/>
      </c>
      <c r="AQ339" s="345">
        <f>IF($A339="","",INT(($A339-TrackStart)/7)+1)</f>
        <v/>
      </c>
      <c r="AR339" s="345">
        <f>IF($A339="","",IF(AQ339&lt;=1,Steps1,IF(AQ339=2,Steps2,Steps3)))</f>
        <v/>
      </c>
      <c r="AS339" s="345">
        <f>IF($A339="",0,IF(ISNUMBER(SEARCH(TEXT(D339,"0"),WorkDays&amp;"")),1,0))</f>
        <v/>
      </c>
      <c r="AT339" s="345">
        <f>IF($A339="",0,IF(ISNUMBER(SEARCH(TEXT(D339,"0"),StrDays&amp;"")),1,0))</f>
        <v/>
      </c>
      <c r="AU339" s="345">
        <f>IF($A339="",0,IF(ISNUMBER(AK339),IF(AK339&gt;=SleepMin,1,0),N339))</f>
        <v/>
      </c>
      <c r="AV339" s="345">
        <f>IF($A339="",0,MAX(I339,O339,S339,AC339))</f>
        <v/>
      </c>
      <c r="AW339" s="345">
        <f>IF($A339="",0,IF(ISNUMBER(AH339),IF(AH339&gt;=ProtHit,1,0),0))</f>
        <v/>
      </c>
      <c r="AX339" s="345">
        <f>IF($A339="",0,IF(ISNUMBER(AI339),IF(AI339&gt;=WaterHit,1,0),0))</f>
        <v/>
      </c>
      <c r="AY339" s="345">
        <f>IF($A339="",0,IF(ISNUMBER(AG339),IF(AG339&gt;=AR339,1,0),0))</f>
        <v/>
      </c>
      <c r="AZ339" s="345">
        <f>IF($A339="",0,G339)</f>
        <v/>
      </c>
      <c r="BA339" s="345">
        <f>IF($A339="",0,J339)</f>
        <v/>
      </c>
      <c r="BB339" s="345">
        <f>IF($A339="",0,K339)</f>
        <v/>
      </c>
      <c r="BC339" s="345">
        <f>IF($A339="",0,MAX(L339,AE339))</f>
        <v/>
      </c>
      <c r="BD339" s="344">
        <f>IF($A339="","",(AU339+AV339+AW339+AX339+AY339+AZ339+BB339+BC339+IF(AS339=1,BA339,0))/(8+AS339))</f>
        <v/>
      </c>
      <c r="BE339" s="344">
        <f>IF($A339="","",(IF(ISNUMBER(AI339),IF(AI339&gt;=WaterMVD,1,0),0)+AV339+IF(ISNUMBER(AH339),IF(AH339&gt;=ProtMVD,1,0),0)+MAX(H339,AD339)+AZ339+BB339+AU339)/7)</f>
        <v/>
      </c>
      <c r="BF339" s="344">
        <f>IF(AO339=0,"",IF(E339="S","",IF(AND(AP339=0,$A339=TODAY()),"",IF(E339="M",BE339,BD339))))</f>
        <v/>
      </c>
      <c r="BG339" s="344">
        <f>IF(AO339=0,"",IFERROR(AVERAGEIFS(Data!$BF$4:$BF$375,Data!$A$4:$A$375,"&gt;"&amp;($A339-7),Data!$A$4:$A$375,"&lt;="&amp;$A339),""))</f>
        <v/>
      </c>
      <c r="BH339" s="344">
        <f>IF(AO339=0,"",IFERROR(AVERAGEIFS(Data!$BF$4:$BF$375,Data!$A$4:$A$375,"&gt;"&amp;($A339-30),Data!$A$4:$A$375,"&lt;="&amp;$A339),""))</f>
        <v/>
      </c>
      <c r="BI339" s="359">
        <f>IF($A339="","",IFERROR(AVERAGEIFS(Data!$AF$4:$AF$375,Data!$A$4:$A$375,"&gt;"&amp;($A339-7),Data!$A$4:$A$375,"&lt;="&amp;$A339,Data!$AF$4:$AF$375,"&gt;0"),""))</f>
        <v/>
      </c>
      <c r="BJ339" s="345">
        <f>IF($A339="","",F339+G339+H339+I339+J339+K339+L339+M339+N339-IF(AS339=1,0,J339))</f>
        <v/>
      </c>
      <c r="BK339" s="345">
        <f>IF($A339="","",8+AS339)</f>
        <v/>
      </c>
      <c r="BL339" s="345">
        <f>IF(ISNUMBER(BF339),BF339,NA())</f>
        <v/>
      </c>
      <c r="BM339" s="345">
        <f>IF(ISNUMBER(AF339),AF339,NA())</f>
        <v/>
      </c>
      <c r="BN339" s="345">
        <f>IF(ISNUMBER(BI339),BI339,NA())</f>
        <v/>
      </c>
      <c r="BO339" s="345">
        <f>IF(ISNUMBER(AL339),AL339,NA())</f>
        <v/>
      </c>
      <c r="BP339" s="345">
        <f>IF(ISNUMBER(AM339),AM339,NA())</f>
        <v/>
      </c>
      <c r="BQ339" s="345">
        <f>IF(ISNUMBER(AN339),AN339,NA())</f>
        <v/>
      </c>
    </row>
    <row r="340">
      <c r="A340" s="358">
        <f>IF('Aug 2027'!AE7="","",'Aug 2027'!AE7)</f>
        <v/>
      </c>
      <c r="B340" s="345" t="n">
        <v>11</v>
      </c>
      <c r="C340" s="345">
        <f>IF($A340="","",27)</f>
        <v/>
      </c>
      <c r="D340" s="345">
        <f>IF($A340="","",WEEKDAY($A340,2))</f>
        <v/>
      </c>
      <c r="E340" s="345">
        <f>IF($A340="","",UPPER(TRIM('Aug 2027'!AE8)))</f>
        <v/>
      </c>
      <c r="F340" s="345">
        <f>IF($A340="","",IF(OR('Aug 2027'!AE10=TRUE,'Aug 2027'!AE10="x",'Aug 2027'!AE10="X"),1,0))</f>
        <v/>
      </c>
      <c r="G340" s="345">
        <f>IF($A340="","",IF(OR('Aug 2027'!AE11=TRUE,'Aug 2027'!AE11="x",'Aug 2027'!AE11="X"),1,0))</f>
        <v/>
      </c>
      <c r="H340" s="345">
        <f>IF($A340="","",IF(OR('Aug 2027'!AE12=TRUE,'Aug 2027'!AE12="x",'Aug 2027'!AE12="X"),1,0))</f>
        <v/>
      </c>
      <c r="I340" s="345">
        <f>IF($A340="","",IF(OR('Aug 2027'!AE13=TRUE,'Aug 2027'!AE13="x",'Aug 2027'!AE13="X"),1,0))</f>
        <v/>
      </c>
      <c r="J340" s="345">
        <f>IF($A340="","",IF(OR('Aug 2027'!AE14=TRUE,'Aug 2027'!AE14="x",'Aug 2027'!AE14="X"),1,0))</f>
        <v/>
      </c>
      <c r="K340" s="345">
        <f>IF($A340="","",IF(OR('Aug 2027'!AE15=TRUE,'Aug 2027'!AE15="x",'Aug 2027'!AE15="X"),1,0))</f>
        <v/>
      </c>
      <c r="L340" s="345">
        <f>IF($A340="","",IF(OR('Aug 2027'!AE16=TRUE,'Aug 2027'!AE16="x",'Aug 2027'!AE16="X"),1,0))</f>
        <v/>
      </c>
      <c r="M340" s="345">
        <f>IF($A340="","",IF(OR('Aug 2027'!AE17=TRUE,'Aug 2027'!AE17="x",'Aug 2027'!AE17="X"),1,0))</f>
        <v/>
      </c>
      <c r="N340" s="345">
        <f>IF($A340="","",IF(OR('Aug 2027'!AE18=TRUE,'Aug 2027'!AE18="x",'Aug 2027'!AE18="X"),1,0))</f>
        <v/>
      </c>
      <c r="O340" s="345">
        <f>IF($A340="","",IF(OR('Aug 2027'!AE20=TRUE,'Aug 2027'!AE20="x",'Aug 2027'!AE20="X"),1,0))</f>
        <v/>
      </c>
      <c r="P340" s="345">
        <f>IF($A340="","",IF(OR('Aug 2027'!AE21=TRUE,'Aug 2027'!AE21="x",'Aug 2027'!AE21="X"),1,0))</f>
        <v/>
      </c>
      <c r="Q340" s="345">
        <f>IF($A340="","",IF(OR('Aug 2027'!AE22=TRUE,'Aug 2027'!AE22="x",'Aug 2027'!AE22="X"),1,0))</f>
        <v/>
      </c>
      <c r="R340" s="345">
        <f>IF($A340="","",IF(OR('Aug 2027'!AE23=TRUE,'Aug 2027'!AE23="x",'Aug 2027'!AE23="X"),1,0))</f>
        <v/>
      </c>
      <c r="S340" s="345">
        <f>IF($A340="","",IF(OR('Aug 2027'!AE24=TRUE,'Aug 2027'!AE24="x",'Aug 2027'!AE24="X"),1,0))</f>
        <v/>
      </c>
      <c r="T340" s="345">
        <f>IF($A340="","",IF(OR('Aug 2027'!AE25=TRUE,'Aug 2027'!AE25="x",'Aug 2027'!AE25="X"),1,0))</f>
        <v/>
      </c>
      <c r="U340" s="345">
        <f>IF($A340="","",IF(OR('Aug 2027'!AE26=TRUE,'Aug 2027'!AE26="x",'Aug 2027'!AE26="X"),1,0))</f>
        <v/>
      </c>
      <c r="V340" s="345">
        <f>IF($A340="","",IF(OR('Aug 2027'!AE27=TRUE,'Aug 2027'!AE27="x",'Aug 2027'!AE27="X"),1,0))</f>
        <v/>
      </c>
      <c r="W340" s="345">
        <f>IF($A340="","",IF(OR('Aug 2027'!AE28=TRUE,'Aug 2027'!AE28="x",'Aug 2027'!AE28="X"),1,0))</f>
        <v/>
      </c>
      <c r="X340" s="345">
        <f>IF($A340="","",IF(OR('Aug 2027'!AE29=TRUE,'Aug 2027'!AE29="x",'Aug 2027'!AE29="X"),1,0))</f>
        <v/>
      </c>
      <c r="Y340" s="345">
        <f>IF($A340="","",IF(OR('Aug 2027'!AE30=TRUE,'Aug 2027'!AE30="x",'Aug 2027'!AE30="X"),1,0))</f>
        <v/>
      </c>
      <c r="Z340" s="345">
        <f>IF($A340="","",IF(OR('Aug 2027'!AE31=TRUE,'Aug 2027'!AE31="x",'Aug 2027'!AE31="X"),1,0))</f>
        <v/>
      </c>
      <c r="AA340" s="345">
        <f>IF($A340="","",IF(OR('Aug 2027'!AE32=TRUE,'Aug 2027'!AE32="x",'Aug 2027'!AE32="X"),1,0))</f>
        <v/>
      </c>
      <c r="AB340" s="345">
        <f>IF($A340="","",IF(OR('Aug 2027'!AE34=TRUE,'Aug 2027'!AE34="x",'Aug 2027'!AE34="X"),1,0))</f>
        <v/>
      </c>
      <c r="AC340" s="345">
        <f>IF($A340="","",IF(OR('Aug 2027'!AE35=TRUE,'Aug 2027'!AE35="x",'Aug 2027'!AE35="X"),1,0))</f>
        <v/>
      </c>
      <c r="AD340" s="345">
        <f>IF($A340="","",IF(OR('Aug 2027'!AE36=TRUE,'Aug 2027'!AE36="x",'Aug 2027'!AE36="X"),1,0))</f>
        <v/>
      </c>
      <c r="AE340" s="345">
        <f>IF($A340="","",IF(OR('Aug 2027'!AE37=TRUE,'Aug 2027'!AE37="x",'Aug 2027'!AE37="X"),1,0))</f>
        <v/>
      </c>
      <c r="AF340" s="345">
        <f>IF($A340="","",IF('Aug 2027'!AE59="","",'Aug 2027'!AE59))</f>
        <v/>
      </c>
      <c r="AG340" s="345">
        <f>IF($A340="","",IF('Aug 2027'!AE60="","",'Aug 2027'!AE60))</f>
        <v/>
      </c>
      <c r="AH340" s="345">
        <f>IF($A340="","",IF('Aug 2027'!AE61="","",'Aug 2027'!AE61))</f>
        <v/>
      </c>
      <c r="AI340" s="345">
        <f>IF($A340="","",IF('Aug 2027'!AE62="","",'Aug 2027'!AE62))</f>
        <v/>
      </c>
      <c r="AJ340" s="345">
        <f>IF($A340="","",IF('Aug 2027'!AE63="","",'Aug 2027'!AE63))</f>
        <v/>
      </c>
      <c r="AK340" s="345">
        <f>IF($A340="","",IF('Aug 2027'!AE64="","",'Aug 2027'!AE64))</f>
        <v/>
      </c>
      <c r="AL340" s="345">
        <f>IF($A340="","",IF('Aug 2027'!AE65="","",'Aug 2027'!AE65))</f>
        <v/>
      </c>
      <c r="AM340" s="345">
        <f>IF($A340="","",IF('Aug 2027'!AE66="","",'Aug 2027'!AE66))</f>
        <v/>
      </c>
      <c r="AN340" s="345">
        <f>IF($A340="","",IF('Aug 2027'!AE67="","",'Aug 2027'!AE67))</f>
        <v/>
      </c>
      <c r="AO340" s="345">
        <f>IF($A340="",0,IF(AND($A340&gt;=TrackStart,$A340&lt;=TODAY()),1,0))</f>
        <v/>
      </c>
      <c r="AP340" s="345">
        <f>IF($A340="",0,IF(SUM(F340:AE340)+COUNT(AF340:AN340)&gt;0,1,0))</f>
        <v/>
      </c>
      <c r="AQ340" s="345">
        <f>IF($A340="","",INT(($A340-TrackStart)/7)+1)</f>
        <v/>
      </c>
      <c r="AR340" s="345">
        <f>IF($A340="","",IF(AQ340&lt;=1,Steps1,IF(AQ340=2,Steps2,Steps3)))</f>
        <v/>
      </c>
      <c r="AS340" s="345">
        <f>IF($A340="",0,IF(ISNUMBER(SEARCH(TEXT(D340,"0"),WorkDays&amp;"")),1,0))</f>
        <v/>
      </c>
      <c r="AT340" s="345">
        <f>IF($A340="",0,IF(ISNUMBER(SEARCH(TEXT(D340,"0"),StrDays&amp;"")),1,0))</f>
        <v/>
      </c>
      <c r="AU340" s="345">
        <f>IF($A340="",0,IF(ISNUMBER(AK340),IF(AK340&gt;=SleepMin,1,0),N340))</f>
        <v/>
      </c>
      <c r="AV340" s="345">
        <f>IF($A340="",0,MAX(I340,O340,S340,AC340))</f>
        <v/>
      </c>
      <c r="AW340" s="345">
        <f>IF($A340="",0,IF(ISNUMBER(AH340),IF(AH340&gt;=ProtHit,1,0),0))</f>
        <v/>
      </c>
      <c r="AX340" s="345">
        <f>IF($A340="",0,IF(ISNUMBER(AI340),IF(AI340&gt;=WaterHit,1,0),0))</f>
        <v/>
      </c>
      <c r="AY340" s="345">
        <f>IF($A340="",0,IF(ISNUMBER(AG340),IF(AG340&gt;=AR340,1,0),0))</f>
        <v/>
      </c>
      <c r="AZ340" s="345">
        <f>IF($A340="",0,G340)</f>
        <v/>
      </c>
      <c r="BA340" s="345">
        <f>IF($A340="",0,J340)</f>
        <v/>
      </c>
      <c r="BB340" s="345">
        <f>IF($A340="",0,K340)</f>
        <v/>
      </c>
      <c r="BC340" s="345">
        <f>IF($A340="",0,MAX(L340,AE340))</f>
        <v/>
      </c>
      <c r="BD340" s="344">
        <f>IF($A340="","",(AU340+AV340+AW340+AX340+AY340+AZ340+BB340+BC340+IF(AS340=1,BA340,0))/(8+AS340))</f>
        <v/>
      </c>
      <c r="BE340" s="344">
        <f>IF($A340="","",(IF(ISNUMBER(AI340),IF(AI340&gt;=WaterMVD,1,0),0)+AV340+IF(ISNUMBER(AH340),IF(AH340&gt;=ProtMVD,1,0),0)+MAX(H340,AD340)+AZ340+BB340+AU340)/7)</f>
        <v/>
      </c>
      <c r="BF340" s="344">
        <f>IF(AO340=0,"",IF(E340="S","",IF(AND(AP340=0,$A340=TODAY()),"",IF(E340="M",BE340,BD340))))</f>
        <v/>
      </c>
      <c r="BG340" s="344">
        <f>IF(AO340=0,"",IFERROR(AVERAGEIFS(Data!$BF$4:$BF$375,Data!$A$4:$A$375,"&gt;"&amp;($A340-7),Data!$A$4:$A$375,"&lt;="&amp;$A340),""))</f>
        <v/>
      </c>
      <c r="BH340" s="344">
        <f>IF(AO340=0,"",IFERROR(AVERAGEIFS(Data!$BF$4:$BF$375,Data!$A$4:$A$375,"&gt;"&amp;($A340-30),Data!$A$4:$A$375,"&lt;="&amp;$A340),""))</f>
        <v/>
      </c>
      <c r="BI340" s="359">
        <f>IF($A340="","",IFERROR(AVERAGEIFS(Data!$AF$4:$AF$375,Data!$A$4:$A$375,"&gt;"&amp;($A340-7),Data!$A$4:$A$375,"&lt;="&amp;$A340,Data!$AF$4:$AF$375,"&gt;0"),""))</f>
        <v/>
      </c>
      <c r="BJ340" s="345">
        <f>IF($A340="","",F340+G340+H340+I340+J340+K340+L340+M340+N340-IF(AS340=1,0,J340))</f>
        <v/>
      </c>
      <c r="BK340" s="345">
        <f>IF($A340="","",8+AS340)</f>
        <v/>
      </c>
      <c r="BL340" s="345">
        <f>IF(ISNUMBER(BF340),BF340,NA())</f>
        <v/>
      </c>
      <c r="BM340" s="345">
        <f>IF(ISNUMBER(AF340),AF340,NA())</f>
        <v/>
      </c>
      <c r="BN340" s="345">
        <f>IF(ISNUMBER(BI340),BI340,NA())</f>
        <v/>
      </c>
      <c r="BO340" s="345">
        <f>IF(ISNUMBER(AL340),AL340,NA())</f>
        <v/>
      </c>
      <c r="BP340" s="345">
        <f>IF(ISNUMBER(AM340),AM340,NA())</f>
        <v/>
      </c>
      <c r="BQ340" s="345">
        <f>IF(ISNUMBER(AN340),AN340,NA())</f>
        <v/>
      </c>
    </row>
    <row r="341">
      <c r="A341" s="358">
        <f>IF('Aug 2027'!AF7="","",'Aug 2027'!AF7)</f>
        <v/>
      </c>
      <c r="B341" s="345" t="n">
        <v>11</v>
      </c>
      <c r="C341" s="345">
        <f>IF($A341="","",28)</f>
        <v/>
      </c>
      <c r="D341" s="345">
        <f>IF($A341="","",WEEKDAY($A341,2))</f>
        <v/>
      </c>
      <c r="E341" s="345">
        <f>IF($A341="","",UPPER(TRIM('Aug 2027'!AF8)))</f>
        <v/>
      </c>
      <c r="F341" s="345">
        <f>IF($A341="","",IF(OR('Aug 2027'!AF10=TRUE,'Aug 2027'!AF10="x",'Aug 2027'!AF10="X"),1,0))</f>
        <v/>
      </c>
      <c r="G341" s="345">
        <f>IF($A341="","",IF(OR('Aug 2027'!AF11=TRUE,'Aug 2027'!AF11="x",'Aug 2027'!AF11="X"),1,0))</f>
        <v/>
      </c>
      <c r="H341" s="345">
        <f>IF($A341="","",IF(OR('Aug 2027'!AF12=TRUE,'Aug 2027'!AF12="x",'Aug 2027'!AF12="X"),1,0))</f>
        <v/>
      </c>
      <c r="I341" s="345">
        <f>IF($A341="","",IF(OR('Aug 2027'!AF13=TRUE,'Aug 2027'!AF13="x",'Aug 2027'!AF13="X"),1,0))</f>
        <v/>
      </c>
      <c r="J341" s="345">
        <f>IF($A341="","",IF(OR('Aug 2027'!AF14=TRUE,'Aug 2027'!AF14="x",'Aug 2027'!AF14="X"),1,0))</f>
        <v/>
      </c>
      <c r="K341" s="345">
        <f>IF($A341="","",IF(OR('Aug 2027'!AF15=TRUE,'Aug 2027'!AF15="x",'Aug 2027'!AF15="X"),1,0))</f>
        <v/>
      </c>
      <c r="L341" s="345">
        <f>IF($A341="","",IF(OR('Aug 2027'!AF16=TRUE,'Aug 2027'!AF16="x",'Aug 2027'!AF16="X"),1,0))</f>
        <v/>
      </c>
      <c r="M341" s="345">
        <f>IF($A341="","",IF(OR('Aug 2027'!AF17=TRUE,'Aug 2027'!AF17="x",'Aug 2027'!AF17="X"),1,0))</f>
        <v/>
      </c>
      <c r="N341" s="345">
        <f>IF($A341="","",IF(OR('Aug 2027'!AF18=TRUE,'Aug 2027'!AF18="x",'Aug 2027'!AF18="X"),1,0))</f>
        <v/>
      </c>
      <c r="O341" s="345">
        <f>IF($A341="","",IF(OR('Aug 2027'!AF20=TRUE,'Aug 2027'!AF20="x",'Aug 2027'!AF20="X"),1,0))</f>
        <v/>
      </c>
      <c r="P341" s="345">
        <f>IF($A341="","",IF(OR('Aug 2027'!AF21=TRUE,'Aug 2027'!AF21="x",'Aug 2027'!AF21="X"),1,0))</f>
        <v/>
      </c>
      <c r="Q341" s="345">
        <f>IF($A341="","",IF(OR('Aug 2027'!AF22=TRUE,'Aug 2027'!AF22="x",'Aug 2027'!AF22="X"),1,0))</f>
        <v/>
      </c>
      <c r="R341" s="345">
        <f>IF($A341="","",IF(OR('Aug 2027'!AF23=TRUE,'Aug 2027'!AF23="x",'Aug 2027'!AF23="X"),1,0))</f>
        <v/>
      </c>
      <c r="S341" s="345">
        <f>IF($A341="","",IF(OR('Aug 2027'!AF24=TRUE,'Aug 2027'!AF24="x",'Aug 2027'!AF24="X"),1,0))</f>
        <v/>
      </c>
      <c r="T341" s="345">
        <f>IF($A341="","",IF(OR('Aug 2027'!AF25=TRUE,'Aug 2027'!AF25="x",'Aug 2027'!AF25="X"),1,0))</f>
        <v/>
      </c>
      <c r="U341" s="345">
        <f>IF($A341="","",IF(OR('Aug 2027'!AF26=TRUE,'Aug 2027'!AF26="x",'Aug 2027'!AF26="X"),1,0))</f>
        <v/>
      </c>
      <c r="V341" s="345">
        <f>IF($A341="","",IF(OR('Aug 2027'!AF27=TRUE,'Aug 2027'!AF27="x",'Aug 2027'!AF27="X"),1,0))</f>
        <v/>
      </c>
      <c r="W341" s="345">
        <f>IF($A341="","",IF(OR('Aug 2027'!AF28=TRUE,'Aug 2027'!AF28="x",'Aug 2027'!AF28="X"),1,0))</f>
        <v/>
      </c>
      <c r="X341" s="345">
        <f>IF($A341="","",IF(OR('Aug 2027'!AF29=TRUE,'Aug 2027'!AF29="x",'Aug 2027'!AF29="X"),1,0))</f>
        <v/>
      </c>
      <c r="Y341" s="345">
        <f>IF($A341="","",IF(OR('Aug 2027'!AF30=TRUE,'Aug 2027'!AF30="x",'Aug 2027'!AF30="X"),1,0))</f>
        <v/>
      </c>
      <c r="Z341" s="345">
        <f>IF($A341="","",IF(OR('Aug 2027'!AF31=TRUE,'Aug 2027'!AF31="x",'Aug 2027'!AF31="X"),1,0))</f>
        <v/>
      </c>
      <c r="AA341" s="345">
        <f>IF($A341="","",IF(OR('Aug 2027'!AF32=TRUE,'Aug 2027'!AF32="x",'Aug 2027'!AF32="X"),1,0))</f>
        <v/>
      </c>
      <c r="AB341" s="345">
        <f>IF($A341="","",IF(OR('Aug 2027'!AF34=TRUE,'Aug 2027'!AF34="x",'Aug 2027'!AF34="X"),1,0))</f>
        <v/>
      </c>
      <c r="AC341" s="345">
        <f>IF($A341="","",IF(OR('Aug 2027'!AF35=TRUE,'Aug 2027'!AF35="x",'Aug 2027'!AF35="X"),1,0))</f>
        <v/>
      </c>
      <c r="AD341" s="345">
        <f>IF($A341="","",IF(OR('Aug 2027'!AF36=TRUE,'Aug 2027'!AF36="x",'Aug 2027'!AF36="X"),1,0))</f>
        <v/>
      </c>
      <c r="AE341" s="345">
        <f>IF($A341="","",IF(OR('Aug 2027'!AF37=TRUE,'Aug 2027'!AF37="x",'Aug 2027'!AF37="X"),1,0))</f>
        <v/>
      </c>
      <c r="AF341" s="345">
        <f>IF($A341="","",IF('Aug 2027'!AF59="","",'Aug 2027'!AF59))</f>
        <v/>
      </c>
      <c r="AG341" s="345">
        <f>IF($A341="","",IF('Aug 2027'!AF60="","",'Aug 2027'!AF60))</f>
        <v/>
      </c>
      <c r="AH341" s="345">
        <f>IF($A341="","",IF('Aug 2027'!AF61="","",'Aug 2027'!AF61))</f>
        <v/>
      </c>
      <c r="AI341" s="345">
        <f>IF($A341="","",IF('Aug 2027'!AF62="","",'Aug 2027'!AF62))</f>
        <v/>
      </c>
      <c r="AJ341" s="345">
        <f>IF($A341="","",IF('Aug 2027'!AF63="","",'Aug 2027'!AF63))</f>
        <v/>
      </c>
      <c r="AK341" s="345">
        <f>IF($A341="","",IF('Aug 2027'!AF64="","",'Aug 2027'!AF64))</f>
        <v/>
      </c>
      <c r="AL341" s="345">
        <f>IF($A341="","",IF('Aug 2027'!AF65="","",'Aug 2027'!AF65))</f>
        <v/>
      </c>
      <c r="AM341" s="345">
        <f>IF($A341="","",IF('Aug 2027'!AF66="","",'Aug 2027'!AF66))</f>
        <v/>
      </c>
      <c r="AN341" s="345">
        <f>IF($A341="","",IF('Aug 2027'!AF67="","",'Aug 2027'!AF67))</f>
        <v/>
      </c>
      <c r="AO341" s="345">
        <f>IF($A341="",0,IF(AND($A341&gt;=TrackStart,$A341&lt;=TODAY()),1,0))</f>
        <v/>
      </c>
      <c r="AP341" s="345">
        <f>IF($A341="",0,IF(SUM(F341:AE341)+COUNT(AF341:AN341)&gt;0,1,0))</f>
        <v/>
      </c>
      <c r="AQ341" s="345">
        <f>IF($A341="","",INT(($A341-TrackStart)/7)+1)</f>
        <v/>
      </c>
      <c r="AR341" s="345">
        <f>IF($A341="","",IF(AQ341&lt;=1,Steps1,IF(AQ341=2,Steps2,Steps3)))</f>
        <v/>
      </c>
      <c r="AS341" s="345">
        <f>IF($A341="",0,IF(ISNUMBER(SEARCH(TEXT(D341,"0"),WorkDays&amp;"")),1,0))</f>
        <v/>
      </c>
      <c r="AT341" s="345">
        <f>IF($A341="",0,IF(ISNUMBER(SEARCH(TEXT(D341,"0"),StrDays&amp;"")),1,0))</f>
        <v/>
      </c>
      <c r="AU341" s="345">
        <f>IF($A341="",0,IF(ISNUMBER(AK341),IF(AK341&gt;=SleepMin,1,0),N341))</f>
        <v/>
      </c>
      <c r="AV341" s="345">
        <f>IF($A341="",0,MAX(I341,O341,S341,AC341))</f>
        <v/>
      </c>
      <c r="AW341" s="345">
        <f>IF($A341="",0,IF(ISNUMBER(AH341),IF(AH341&gt;=ProtHit,1,0),0))</f>
        <v/>
      </c>
      <c r="AX341" s="345">
        <f>IF($A341="",0,IF(ISNUMBER(AI341),IF(AI341&gt;=WaterHit,1,0),0))</f>
        <v/>
      </c>
      <c r="AY341" s="345">
        <f>IF($A341="",0,IF(ISNUMBER(AG341),IF(AG341&gt;=AR341,1,0),0))</f>
        <v/>
      </c>
      <c r="AZ341" s="345">
        <f>IF($A341="",0,G341)</f>
        <v/>
      </c>
      <c r="BA341" s="345">
        <f>IF($A341="",0,J341)</f>
        <v/>
      </c>
      <c r="BB341" s="345">
        <f>IF($A341="",0,K341)</f>
        <v/>
      </c>
      <c r="BC341" s="345">
        <f>IF($A341="",0,MAX(L341,AE341))</f>
        <v/>
      </c>
      <c r="BD341" s="344">
        <f>IF($A341="","",(AU341+AV341+AW341+AX341+AY341+AZ341+BB341+BC341+IF(AS341=1,BA341,0))/(8+AS341))</f>
        <v/>
      </c>
      <c r="BE341" s="344">
        <f>IF($A341="","",(IF(ISNUMBER(AI341),IF(AI341&gt;=WaterMVD,1,0),0)+AV341+IF(ISNUMBER(AH341),IF(AH341&gt;=ProtMVD,1,0),0)+MAX(H341,AD341)+AZ341+BB341+AU341)/7)</f>
        <v/>
      </c>
      <c r="BF341" s="344">
        <f>IF(AO341=0,"",IF(E341="S","",IF(AND(AP341=0,$A341=TODAY()),"",IF(E341="M",BE341,BD341))))</f>
        <v/>
      </c>
      <c r="BG341" s="344">
        <f>IF(AO341=0,"",IFERROR(AVERAGEIFS(Data!$BF$4:$BF$375,Data!$A$4:$A$375,"&gt;"&amp;($A341-7),Data!$A$4:$A$375,"&lt;="&amp;$A341),""))</f>
        <v/>
      </c>
      <c r="BH341" s="344">
        <f>IF(AO341=0,"",IFERROR(AVERAGEIFS(Data!$BF$4:$BF$375,Data!$A$4:$A$375,"&gt;"&amp;($A341-30),Data!$A$4:$A$375,"&lt;="&amp;$A341),""))</f>
        <v/>
      </c>
      <c r="BI341" s="359">
        <f>IF($A341="","",IFERROR(AVERAGEIFS(Data!$AF$4:$AF$375,Data!$A$4:$A$375,"&gt;"&amp;($A341-7),Data!$A$4:$A$375,"&lt;="&amp;$A341,Data!$AF$4:$AF$375,"&gt;0"),""))</f>
        <v/>
      </c>
      <c r="BJ341" s="345">
        <f>IF($A341="","",F341+G341+H341+I341+J341+K341+L341+M341+N341-IF(AS341=1,0,J341))</f>
        <v/>
      </c>
      <c r="BK341" s="345">
        <f>IF($A341="","",8+AS341)</f>
        <v/>
      </c>
      <c r="BL341" s="345">
        <f>IF(ISNUMBER(BF341),BF341,NA())</f>
        <v/>
      </c>
      <c r="BM341" s="345">
        <f>IF(ISNUMBER(AF341),AF341,NA())</f>
        <v/>
      </c>
      <c r="BN341" s="345">
        <f>IF(ISNUMBER(BI341),BI341,NA())</f>
        <v/>
      </c>
      <c r="BO341" s="345">
        <f>IF(ISNUMBER(AL341),AL341,NA())</f>
        <v/>
      </c>
      <c r="BP341" s="345">
        <f>IF(ISNUMBER(AM341),AM341,NA())</f>
        <v/>
      </c>
      <c r="BQ341" s="345">
        <f>IF(ISNUMBER(AN341),AN341,NA())</f>
        <v/>
      </c>
    </row>
    <row r="342">
      <c r="A342" s="358">
        <f>IF('Aug 2027'!AG7="","",'Aug 2027'!AG7)</f>
        <v/>
      </c>
      <c r="B342" s="345" t="n">
        <v>11</v>
      </c>
      <c r="C342" s="345">
        <f>IF($A342="","",29)</f>
        <v/>
      </c>
      <c r="D342" s="345">
        <f>IF($A342="","",WEEKDAY($A342,2))</f>
        <v/>
      </c>
      <c r="E342" s="345">
        <f>IF($A342="","",UPPER(TRIM('Aug 2027'!AG8)))</f>
        <v/>
      </c>
      <c r="F342" s="345">
        <f>IF($A342="","",IF(OR('Aug 2027'!AG10=TRUE,'Aug 2027'!AG10="x",'Aug 2027'!AG10="X"),1,0))</f>
        <v/>
      </c>
      <c r="G342" s="345">
        <f>IF($A342="","",IF(OR('Aug 2027'!AG11=TRUE,'Aug 2027'!AG11="x",'Aug 2027'!AG11="X"),1,0))</f>
        <v/>
      </c>
      <c r="H342" s="345">
        <f>IF($A342="","",IF(OR('Aug 2027'!AG12=TRUE,'Aug 2027'!AG12="x",'Aug 2027'!AG12="X"),1,0))</f>
        <v/>
      </c>
      <c r="I342" s="345">
        <f>IF($A342="","",IF(OR('Aug 2027'!AG13=TRUE,'Aug 2027'!AG13="x",'Aug 2027'!AG13="X"),1,0))</f>
        <v/>
      </c>
      <c r="J342" s="345">
        <f>IF($A342="","",IF(OR('Aug 2027'!AG14=TRUE,'Aug 2027'!AG14="x",'Aug 2027'!AG14="X"),1,0))</f>
        <v/>
      </c>
      <c r="K342" s="345">
        <f>IF($A342="","",IF(OR('Aug 2027'!AG15=TRUE,'Aug 2027'!AG15="x",'Aug 2027'!AG15="X"),1,0))</f>
        <v/>
      </c>
      <c r="L342" s="345">
        <f>IF($A342="","",IF(OR('Aug 2027'!AG16=TRUE,'Aug 2027'!AG16="x",'Aug 2027'!AG16="X"),1,0))</f>
        <v/>
      </c>
      <c r="M342" s="345">
        <f>IF($A342="","",IF(OR('Aug 2027'!AG17=TRUE,'Aug 2027'!AG17="x",'Aug 2027'!AG17="X"),1,0))</f>
        <v/>
      </c>
      <c r="N342" s="345">
        <f>IF($A342="","",IF(OR('Aug 2027'!AG18=TRUE,'Aug 2027'!AG18="x",'Aug 2027'!AG18="X"),1,0))</f>
        <v/>
      </c>
      <c r="O342" s="345">
        <f>IF($A342="","",IF(OR('Aug 2027'!AG20=TRUE,'Aug 2027'!AG20="x",'Aug 2027'!AG20="X"),1,0))</f>
        <v/>
      </c>
      <c r="P342" s="345">
        <f>IF($A342="","",IF(OR('Aug 2027'!AG21=TRUE,'Aug 2027'!AG21="x",'Aug 2027'!AG21="X"),1,0))</f>
        <v/>
      </c>
      <c r="Q342" s="345">
        <f>IF($A342="","",IF(OR('Aug 2027'!AG22=TRUE,'Aug 2027'!AG22="x",'Aug 2027'!AG22="X"),1,0))</f>
        <v/>
      </c>
      <c r="R342" s="345">
        <f>IF($A342="","",IF(OR('Aug 2027'!AG23=TRUE,'Aug 2027'!AG23="x",'Aug 2027'!AG23="X"),1,0))</f>
        <v/>
      </c>
      <c r="S342" s="345">
        <f>IF($A342="","",IF(OR('Aug 2027'!AG24=TRUE,'Aug 2027'!AG24="x",'Aug 2027'!AG24="X"),1,0))</f>
        <v/>
      </c>
      <c r="T342" s="345">
        <f>IF($A342="","",IF(OR('Aug 2027'!AG25=TRUE,'Aug 2027'!AG25="x",'Aug 2027'!AG25="X"),1,0))</f>
        <v/>
      </c>
      <c r="U342" s="345">
        <f>IF($A342="","",IF(OR('Aug 2027'!AG26=TRUE,'Aug 2027'!AG26="x",'Aug 2027'!AG26="X"),1,0))</f>
        <v/>
      </c>
      <c r="V342" s="345">
        <f>IF($A342="","",IF(OR('Aug 2027'!AG27=TRUE,'Aug 2027'!AG27="x",'Aug 2027'!AG27="X"),1,0))</f>
        <v/>
      </c>
      <c r="W342" s="345">
        <f>IF($A342="","",IF(OR('Aug 2027'!AG28=TRUE,'Aug 2027'!AG28="x",'Aug 2027'!AG28="X"),1,0))</f>
        <v/>
      </c>
      <c r="X342" s="345">
        <f>IF($A342="","",IF(OR('Aug 2027'!AG29=TRUE,'Aug 2027'!AG29="x",'Aug 2027'!AG29="X"),1,0))</f>
        <v/>
      </c>
      <c r="Y342" s="345">
        <f>IF($A342="","",IF(OR('Aug 2027'!AG30=TRUE,'Aug 2027'!AG30="x",'Aug 2027'!AG30="X"),1,0))</f>
        <v/>
      </c>
      <c r="Z342" s="345">
        <f>IF($A342="","",IF(OR('Aug 2027'!AG31=TRUE,'Aug 2027'!AG31="x",'Aug 2027'!AG31="X"),1,0))</f>
        <v/>
      </c>
      <c r="AA342" s="345">
        <f>IF($A342="","",IF(OR('Aug 2027'!AG32=TRUE,'Aug 2027'!AG32="x",'Aug 2027'!AG32="X"),1,0))</f>
        <v/>
      </c>
      <c r="AB342" s="345">
        <f>IF($A342="","",IF(OR('Aug 2027'!AG34=TRUE,'Aug 2027'!AG34="x",'Aug 2027'!AG34="X"),1,0))</f>
        <v/>
      </c>
      <c r="AC342" s="345">
        <f>IF($A342="","",IF(OR('Aug 2027'!AG35=TRUE,'Aug 2027'!AG35="x",'Aug 2027'!AG35="X"),1,0))</f>
        <v/>
      </c>
      <c r="AD342" s="345">
        <f>IF($A342="","",IF(OR('Aug 2027'!AG36=TRUE,'Aug 2027'!AG36="x",'Aug 2027'!AG36="X"),1,0))</f>
        <v/>
      </c>
      <c r="AE342" s="345">
        <f>IF($A342="","",IF(OR('Aug 2027'!AG37=TRUE,'Aug 2027'!AG37="x",'Aug 2027'!AG37="X"),1,0))</f>
        <v/>
      </c>
      <c r="AF342" s="345">
        <f>IF($A342="","",IF('Aug 2027'!AG59="","",'Aug 2027'!AG59))</f>
        <v/>
      </c>
      <c r="AG342" s="345">
        <f>IF($A342="","",IF('Aug 2027'!AG60="","",'Aug 2027'!AG60))</f>
        <v/>
      </c>
      <c r="AH342" s="345">
        <f>IF($A342="","",IF('Aug 2027'!AG61="","",'Aug 2027'!AG61))</f>
        <v/>
      </c>
      <c r="AI342" s="345">
        <f>IF($A342="","",IF('Aug 2027'!AG62="","",'Aug 2027'!AG62))</f>
        <v/>
      </c>
      <c r="AJ342" s="345">
        <f>IF($A342="","",IF('Aug 2027'!AG63="","",'Aug 2027'!AG63))</f>
        <v/>
      </c>
      <c r="AK342" s="345">
        <f>IF($A342="","",IF('Aug 2027'!AG64="","",'Aug 2027'!AG64))</f>
        <v/>
      </c>
      <c r="AL342" s="345">
        <f>IF($A342="","",IF('Aug 2027'!AG65="","",'Aug 2027'!AG65))</f>
        <v/>
      </c>
      <c r="AM342" s="345">
        <f>IF($A342="","",IF('Aug 2027'!AG66="","",'Aug 2027'!AG66))</f>
        <v/>
      </c>
      <c r="AN342" s="345">
        <f>IF($A342="","",IF('Aug 2027'!AG67="","",'Aug 2027'!AG67))</f>
        <v/>
      </c>
      <c r="AO342" s="345">
        <f>IF($A342="",0,IF(AND($A342&gt;=TrackStart,$A342&lt;=TODAY()),1,0))</f>
        <v/>
      </c>
      <c r="AP342" s="345">
        <f>IF($A342="",0,IF(SUM(F342:AE342)+COUNT(AF342:AN342)&gt;0,1,0))</f>
        <v/>
      </c>
      <c r="AQ342" s="345">
        <f>IF($A342="","",INT(($A342-TrackStart)/7)+1)</f>
        <v/>
      </c>
      <c r="AR342" s="345">
        <f>IF($A342="","",IF(AQ342&lt;=1,Steps1,IF(AQ342=2,Steps2,Steps3)))</f>
        <v/>
      </c>
      <c r="AS342" s="345">
        <f>IF($A342="",0,IF(ISNUMBER(SEARCH(TEXT(D342,"0"),WorkDays&amp;"")),1,0))</f>
        <v/>
      </c>
      <c r="AT342" s="345">
        <f>IF($A342="",0,IF(ISNUMBER(SEARCH(TEXT(D342,"0"),StrDays&amp;"")),1,0))</f>
        <v/>
      </c>
      <c r="AU342" s="345">
        <f>IF($A342="",0,IF(ISNUMBER(AK342),IF(AK342&gt;=SleepMin,1,0),N342))</f>
        <v/>
      </c>
      <c r="AV342" s="345">
        <f>IF($A342="",0,MAX(I342,O342,S342,AC342))</f>
        <v/>
      </c>
      <c r="AW342" s="345">
        <f>IF($A342="",0,IF(ISNUMBER(AH342),IF(AH342&gt;=ProtHit,1,0),0))</f>
        <v/>
      </c>
      <c r="AX342" s="345">
        <f>IF($A342="",0,IF(ISNUMBER(AI342),IF(AI342&gt;=WaterHit,1,0),0))</f>
        <v/>
      </c>
      <c r="AY342" s="345">
        <f>IF($A342="",0,IF(ISNUMBER(AG342),IF(AG342&gt;=AR342,1,0),0))</f>
        <v/>
      </c>
      <c r="AZ342" s="345">
        <f>IF($A342="",0,G342)</f>
        <v/>
      </c>
      <c r="BA342" s="345">
        <f>IF($A342="",0,J342)</f>
        <v/>
      </c>
      <c r="BB342" s="345">
        <f>IF($A342="",0,K342)</f>
        <v/>
      </c>
      <c r="BC342" s="345">
        <f>IF($A342="",0,MAX(L342,AE342))</f>
        <v/>
      </c>
      <c r="BD342" s="344">
        <f>IF($A342="","",(AU342+AV342+AW342+AX342+AY342+AZ342+BB342+BC342+IF(AS342=1,BA342,0))/(8+AS342))</f>
        <v/>
      </c>
      <c r="BE342" s="344">
        <f>IF($A342="","",(IF(ISNUMBER(AI342),IF(AI342&gt;=WaterMVD,1,0),0)+AV342+IF(ISNUMBER(AH342),IF(AH342&gt;=ProtMVD,1,0),0)+MAX(H342,AD342)+AZ342+BB342+AU342)/7)</f>
        <v/>
      </c>
      <c r="BF342" s="344">
        <f>IF(AO342=0,"",IF(E342="S","",IF(AND(AP342=0,$A342=TODAY()),"",IF(E342="M",BE342,BD342))))</f>
        <v/>
      </c>
      <c r="BG342" s="344">
        <f>IF(AO342=0,"",IFERROR(AVERAGEIFS(Data!$BF$4:$BF$375,Data!$A$4:$A$375,"&gt;"&amp;($A342-7),Data!$A$4:$A$375,"&lt;="&amp;$A342),""))</f>
        <v/>
      </c>
      <c r="BH342" s="344">
        <f>IF(AO342=0,"",IFERROR(AVERAGEIFS(Data!$BF$4:$BF$375,Data!$A$4:$A$375,"&gt;"&amp;($A342-30),Data!$A$4:$A$375,"&lt;="&amp;$A342),""))</f>
        <v/>
      </c>
      <c r="BI342" s="359">
        <f>IF($A342="","",IFERROR(AVERAGEIFS(Data!$AF$4:$AF$375,Data!$A$4:$A$375,"&gt;"&amp;($A342-7),Data!$A$4:$A$375,"&lt;="&amp;$A342,Data!$AF$4:$AF$375,"&gt;0"),""))</f>
        <v/>
      </c>
      <c r="BJ342" s="345">
        <f>IF($A342="","",F342+G342+H342+I342+J342+K342+L342+M342+N342-IF(AS342=1,0,J342))</f>
        <v/>
      </c>
      <c r="BK342" s="345">
        <f>IF($A342="","",8+AS342)</f>
        <v/>
      </c>
      <c r="BL342" s="345">
        <f>IF(ISNUMBER(BF342),BF342,NA())</f>
        <v/>
      </c>
      <c r="BM342" s="345">
        <f>IF(ISNUMBER(AF342),AF342,NA())</f>
        <v/>
      </c>
      <c r="BN342" s="345">
        <f>IF(ISNUMBER(BI342),BI342,NA())</f>
        <v/>
      </c>
      <c r="BO342" s="345">
        <f>IF(ISNUMBER(AL342),AL342,NA())</f>
        <v/>
      </c>
      <c r="BP342" s="345">
        <f>IF(ISNUMBER(AM342),AM342,NA())</f>
        <v/>
      </c>
      <c r="BQ342" s="345">
        <f>IF(ISNUMBER(AN342),AN342,NA())</f>
        <v/>
      </c>
    </row>
    <row r="343">
      <c r="A343" s="358">
        <f>IF('Aug 2027'!AH7="","",'Aug 2027'!AH7)</f>
        <v/>
      </c>
      <c r="B343" s="345" t="n">
        <v>11</v>
      </c>
      <c r="C343" s="345">
        <f>IF($A343="","",30)</f>
        <v/>
      </c>
      <c r="D343" s="345">
        <f>IF($A343="","",WEEKDAY($A343,2))</f>
        <v/>
      </c>
      <c r="E343" s="345">
        <f>IF($A343="","",UPPER(TRIM('Aug 2027'!AH8)))</f>
        <v/>
      </c>
      <c r="F343" s="345">
        <f>IF($A343="","",IF(OR('Aug 2027'!AH10=TRUE,'Aug 2027'!AH10="x",'Aug 2027'!AH10="X"),1,0))</f>
        <v/>
      </c>
      <c r="G343" s="345">
        <f>IF($A343="","",IF(OR('Aug 2027'!AH11=TRUE,'Aug 2027'!AH11="x",'Aug 2027'!AH11="X"),1,0))</f>
        <v/>
      </c>
      <c r="H343" s="345">
        <f>IF($A343="","",IF(OR('Aug 2027'!AH12=TRUE,'Aug 2027'!AH12="x",'Aug 2027'!AH12="X"),1,0))</f>
        <v/>
      </c>
      <c r="I343" s="345">
        <f>IF($A343="","",IF(OR('Aug 2027'!AH13=TRUE,'Aug 2027'!AH13="x",'Aug 2027'!AH13="X"),1,0))</f>
        <v/>
      </c>
      <c r="J343" s="345">
        <f>IF($A343="","",IF(OR('Aug 2027'!AH14=TRUE,'Aug 2027'!AH14="x",'Aug 2027'!AH14="X"),1,0))</f>
        <v/>
      </c>
      <c r="K343" s="345">
        <f>IF($A343="","",IF(OR('Aug 2027'!AH15=TRUE,'Aug 2027'!AH15="x",'Aug 2027'!AH15="X"),1,0))</f>
        <v/>
      </c>
      <c r="L343" s="345">
        <f>IF($A343="","",IF(OR('Aug 2027'!AH16=TRUE,'Aug 2027'!AH16="x",'Aug 2027'!AH16="X"),1,0))</f>
        <v/>
      </c>
      <c r="M343" s="345">
        <f>IF($A343="","",IF(OR('Aug 2027'!AH17=TRUE,'Aug 2027'!AH17="x",'Aug 2027'!AH17="X"),1,0))</f>
        <v/>
      </c>
      <c r="N343" s="345">
        <f>IF($A343="","",IF(OR('Aug 2027'!AH18=TRUE,'Aug 2027'!AH18="x",'Aug 2027'!AH18="X"),1,0))</f>
        <v/>
      </c>
      <c r="O343" s="345">
        <f>IF($A343="","",IF(OR('Aug 2027'!AH20=TRUE,'Aug 2027'!AH20="x",'Aug 2027'!AH20="X"),1,0))</f>
        <v/>
      </c>
      <c r="P343" s="345">
        <f>IF($A343="","",IF(OR('Aug 2027'!AH21=TRUE,'Aug 2027'!AH21="x",'Aug 2027'!AH21="X"),1,0))</f>
        <v/>
      </c>
      <c r="Q343" s="345">
        <f>IF($A343="","",IF(OR('Aug 2027'!AH22=TRUE,'Aug 2027'!AH22="x",'Aug 2027'!AH22="X"),1,0))</f>
        <v/>
      </c>
      <c r="R343" s="345">
        <f>IF($A343="","",IF(OR('Aug 2027'!AH23=TRUE,'Aug 2027'!AH23="x",'Aug 2027'!AH23="X"),1,0))</f>
        <v/>
      </c>
      <c r="S343" s="345">
        <f>IF($A343="","",IF(OR('Aug 2027'!AH24=TRUE,'Aug 2027'!AH24="x",'Aug 2027'!AH24="X"),1,0))</f>
        <v/>
      </c>
      <c r="T343" s="345">
        <f>IF($A343="","",IF(OR('Aug 2027'!AH25=TRUE,'Aug 2027'!AH25="x",'Aug 2027'!AH25="X"),1,0))</f>
        <v/>
      </c>
      <c r="U343" s="345">
        <f>IF($A343="","",IF(OR('Aug 2027'!AH26=TRUE,'Aug 2027'!AH26="x",'Aug 2027'!AH26="X"),1,0))</f>
        <v/>
      </c>
      <c r="V343" s="345">
        <f>IF($A343="","",IF(OR('Aug 2027'!AH27=TRUE,'Aug 2027'!AH27="x",'Aug 2027'!AH27="X"),1,0))</f>
        <v/>
      </c>
      <c r="W343" s="345">
        <f>IF($A343="","",IF(OR('Aug 2027'!AH28=TRUE,'Aug 2027'!AH28="x",'Aug 2027'!AH28="X"),1,0))</f>
        <v/>
      </c>
      <c r="X343" s="345">
        <f>IF($A343="","",IF(OR('Aug 2027'!AH29=TRUE,'Aug 2027'!AH29="x",'Aug 2027'!AH29="X"),1,0))</f>
        <v/>
      </c>
      <c r="Y343" s="345">
        <f>IF($A343="","",IF(OR('Aug 2027'!AH30=TRUE,'Aug 2027'!AH30="x",'Aug 2027'!AH30="X"),1,0))</f>
        <v/>
      </c>
      <c r="Z343" s="345">
        <f>IF($A343="","",IF(OR('Aug 2027'!AH31=TRUE,'Aug 2027'!AH31="x",'Aug 2027'!AH31="X"),1,0))</f>
        <v/>
      </c>
      <c r="AA343" s="345">
        <f>IF($A343="","",IF(OR('Aug 2027'!AH32=TRUE,'Aug 2027'!AH32="x",'Aug 2027'!AH32="X"),1,0))</f>
        <v/>
      </c>
      <c r="AB343" s="345">
        <f>IF($A343="","",IF(OR('Aug 2027'!AH34=TRUE,'Aug 2027'!AH34="x",'Aug 2027'!AH34="X"),1,0))</f>
        <v/>
      </c>
      <c r="AC343" s="345">
        <f>IF($A343="","",IF(OR('Aug 2027'!AH35=TRUE,'Aug 2027'!AH35="x",'Aug 2027'!AH35="X"),1,0))</f>
        <v/>
      </c>
      <c r="AD343" s="345">
        <f>IF($A343="","",IF(OR('Aug 2027'!AH36=TRUE,'Aug 2027'!AH36="x",'Aug 2027'!AH36="X"),1,0))</f>
        <v/>
      </c>
      <c r="AE343" s="345">
        <f>IF($A343="","",IF(OR('Aug 2027'!AH37=TRUE,'Aug 2027'!AH37="x",'Aug 2027'!AH37="X"),1,0))</f>
        <v/>
      </c>
      <c r="AF343" s="345">
        <f>IF($A343="","",IF('Aug 2027'!AH59="","",'Aug 2027'!AH59))</f>
        <v/>
      </c>
      <c r="AG343" s="345">
        <f>IF($A343="","",IF('Aug 2027'!AH60="","",'Aug 2027'!AH60))</f>
        <v/>
      </c>
      <c r="AH343" s="345">
        <f>IF($A343="","",IF('Aug 2027'!AH61="","",'Aug 2027'!AH61))</f>
        <v/>
      </c>
      <c r="AI343" s="345">
        <f>IF($A343="","",IF('Aug 2027'!AH62="","",'Aug 2027'!AH62))</f>
        <v/>
      </c>
      <c r="AJ343" s="345">
        <f>IF($A343="","",IF('Aug 2027'!AH63="","",'Aug 2027'!AH63))</f>
        <v/>
      </c>
      <c r="AK343" s="345">
        <f>IF($A343="","",IF('Aug 2027'!AH64="","",'Aug 2027'!AH64))</f>
        <v/>
      </c>
      <c r="AL343" s="345">
        <f>IF($A343="","",IF('Aug 2027'!AH65="","",'Aug 2027'!AH65))</f>
        <v/>
      </c>
      <c r="AM343" s="345">
        <f>IF($A343="","",IF('Aug 2027'!AH66="","",'Aug 2027'!AH66))</f>
        <v/>
      </c>
      <c r="AN343" s="345">
        <f>IF($A343="","",IF('Aug 2027'!AH67="","",'Aug 2027'!AH67))</f>
        <v/>
      </c>
      <c r="AO343" s="345">
        <f>IF($A343="",0,IF(AND($A343&gt;=TrackStart,$A343&lt;=TODAY()),1,0))</f>
        <v/>
      </c>
      <c r="AP343" s="345">
        <f>IF($A343="",0,IF(SUM(F343:AE343)+COUNT(AF343:AN343)&gt;0,1,0))</f>
        <v/>
      </c>
      <c r="AQ343" s="345">
        <f>IF($A343="","",INT(($A343-TrackStart)/7)+1)</f>
        <v/>
      </c>
      <c r="AR343" s="345">
        <f>IF($A343="","",IF(AQ343&lt;=1,Steps1,IF(AQ343=2,Steps2,Steps3)))</f>
        <v/>
      </c>
      <c r="AS343" s="345">
        <f>IF($A343="",0,IF(ISNUMBER(SEARCH(TEXT(D343,"0"),WorkDays&amp;"")),1,0))</f>
        <v/>
      </c>
      <c r="AT343" s="345">
        <f>IF($A343="",0,IF(ISNUMBER(SEARCH(TEXT(D343,"0"),StrDays&amp;"")),1,0))</f>
        <v/>
      </c>
      <c r="AU343" s="345">
        <f>IF($A343="",0,IF(ISNUMBER(AK343),IF(AK343&gt;=SleepMin,1,0),N343))</f>
        <v/>
      </c>
      <c r="AV343" s="345">
        <f>IF($A343="",0,MAX(I343,O343,S343,AC343))</f>
        <v/>
      </c>
      <c r="AW343" s="345">
        <f>IF($A343="",0,IF(ISNUMBER(AH343),IF(AH343&gt;=ProtHit,1,0),0))</f>
        <v/>
      </c>
      <c r="AX343" s="345">
        <f>IF($A343="",0,IF(ISNUMBER(AI343),IF(AI343&gt;=WaterHit,1,0),0))</f>
        <v/>
      </c>
      <c r="AY343" s="345">
        <f>IF($A343="",0,IF(ISNUMBER(AG343),IF(AG343&gt;=AR343,1,0),0))</f>
        <v/>
      </c>
      <c r="AZ343" s="345">
        <f>IF($A343="",0,G343)</f>
        <v/>
      </c>
      <c r="BA343" s="345">
        <f>IF($A343="",0,J343)</f>
        <v/>
      </c>
      <c r="BB343" s="345">
        <f>IF($A343="",0,K343)</f>
        <v/>
      </c>
      <c r="BC343" s="345">
        <f>IF($A343="",0,MAX(L343,AE343))</f>
        <v/>
      </c>
      <c r="BD343" s="344">
        <f>IF($A343="","",(AU343+AV343+AW343+AX343+AY343+AZ343+BB343+BC343+IF(AS343=1,BA343,0))/(8+AS343))</f>
        <v/>
      </c>
      <c r="BE343" s="344">
        <f>IF($A343="","",(IF(ISNUMBER(AI343),IF(AI343&gt;=WaterMVD,1,0),0)+AV343+IF(ISNUMBER(AH343),IF(AH343&gt;=ProtMVD,1,0),0)+MAX(H343,AD343)+AZ343+BB343+AU343)/7)</f>
        <v/>
      </c>
      <c r="BF343" s="344">
        <f>IF(AO343=0,"",IF(E343="S","",IF(AND(AP343=0,$A343=TODAY()),"",IF(E343="M",BE343,BD343))))</f>
        <v/>
      </c>
      <c r="BG343" s="344">
        <f>IF(AO343=0,"",IFERROR(AVERAGEIFS(Data!$BF$4:$BF$375,Data!$A$4:$A$375,"&gt;"&amp;($A343-7),Data!$A$4:$A$375,"&lt;="&amp;$A343),""))</f>
        <v/>
      </c>
      <c r="BH343" s="344">
        <f>IF(AO343=0,"",IFERROR(AVERAGEIFS(Data!$BF$4:$BF$375,Data!$A$4:$A$375,"&gt;"&amp;($A343-30),Data!$A$4:$A$375,"&lt;="&amp;$A343),""))</f>
        <v/>
      </c>
      <c r="BI343" s="359">
        <f>IF($A343="","",IFERROR(AVERAGEIFS(Data!$AF$4:$AF$375,Data!$A$4:$A$375,"&gt;"&amp;($A343-7),Data!$A$4:$A$375,"&lt;="&amp;$A343,Data!$AF$4:$AF$375,"&gt;0"),""))</f>
        <v/>
      </c>
      <c r="BJ343" s="345">
        <f>IF($A343="","",F343+G343+H343+I343+J343+K343+L343+M343+N343-IF(AS343=1,0,J343))</f>
        <v/>
      </c>
      <c r="BK343" s="345">
        <f>IF($A343="","",8+AS343)</f>
        <v/>
      </c>
      <c r="BL343" s="345">
        <f>IF(ISNUMBER(BF343),BF343,NA())</f>
        <v/>
      </c>
      <c r="BM343" s="345">
        <f>IF(ISNUMBER(AF343),AF343,NA())</f>
        <v/>
      </c>
      <c r="BN343" s="345">
        <f>IF(ISNUMBER(BI343),BI343,NA())</f>
        <v/>
      </c>
      <c r="BO343" s="345">
        <f>IF(ISNUMBER(AL343),AL343,NA())</f>
        <v/>
      </c>
      <c r="BP343" s="345">
        <f>IF(ISNUMBER(AM343),AM343,NA())</f>
        <v/>
      </c>
      <c r="BQ343" s="345">
        <f>IF(ISNUMBER(AN343),AN343,NA())</f>
        <v/>
      </c>
    </row>
    <row r="344">
      <c r="A344" s="358">
        <f>IF('Aug 2027'!AI7="","",'Aug 2027'!AI7)</f>
        <v/>
      </c>
      <c r="B344" s="345" t="n">
        <v>11</v>
      </c>
      <c r="C344" s="345">
        <f>IF($A344="","",31)</f>
        <v/>
      </c>
      <c r="D344" s="345">
        <f>IF($A344="","",WEEKDAY($A344,2))</f>
        <v/>
      </c>
      <c r="E344" s="345">
        <f>IF($A344="","",UPPER(TRIM('Aug 2027'!AI8)))</f>
        <v/>
      </c>
      <c r="F344" s="345">
        <f>IF($A344="","",IF(OR('Aug 2027'!AI10=TRUE,'Aug 2027'!AI10="x",'Aug 2027'!AI10="X"),1,0))</f>
        <v/>
      </c>
      <c r="G344" s="345">
        <f>IF($A344="","",IF(OR('Aug 2027'!AI11=TRUE,'Aug 2027'!AI11="x",'Aug 2027'!AI11="X"),1,0))</f>
        <v/>
      </c>
      <c r="H344" s="345">
        <f>IF($A344="","",IF(OR('Aug 2027'!AI12=TRUE,'Aug 2027'!AI12="x",'Aug 2027'!AI12="X"),1,0))</f>
        <v/>
      </c>
      <c r="I344" s="345">
        <f>IF($A344="","",IF(OR('Aug 2027'!AI13=TRUE,'Aug 2027'!AI13="x",'Aug 2027'!AI13="X"),1,0))</f>
        <v/>
      </c>
      <c r="J344" s="345">
        <f>IF($A344="","",IF(OR('Aug 2027'!AI14=TRUE,'Aug 2027'!AI14="x",'Aug 2027'!AI14="X"),1,0))</f>
        <v/>
      </c>
      <c r="K344" s="345">
        <f>IF($A344="","",IF(OR('Aug 2027'!AI15=TRUE,'Aug 2027'!AI15="x",'Aug 2027'!AI15="X"),1,0))</f>
        <v/>
      </c>
      <c r="L344" s="345">
        <f>IF($A344="","",IF(OR('Aug 2027'!AI16=TRUE,'Aug 2027'!AI16="x",'Aug 2027'!AI16="X"),1,0))</f>
        <v/>
      </c>
      <c r="M344" s="345">
        <f>IF($A344="","",IF(OR('Aug 2027'!AI17=TRUE,'Aug 2027'!AI17="x",'Aug 2027'!AI17="X"),1,0))</f>
        <v/>
      </c>
      <c r="N344" s="345">
        <f>IF($A344="","",IF(OR('Aug 2027'!AI18=TRUE,'Aug 2027'!AI18="x",'Aug 2027'!AI18="X"),1,0))</f>
        <v/>
      </c>
      <c r="O344" s="345">
        <f>IF($A344="","",IF(OR('Aug 2027'!AI20=TRUE,'Aug 2027'!AI20="x",'Aug 2027'!AI20="X"),1,0))</f>
        <v/>
      </c>
      <c r="P344" s="345">
        <f>IF($A344="","",IF(OR('Aug 2027'!AI21=TRUE,'Aug 2027'!AI21="x",'Aug 2027'!AI21="X"),1,0))</f>
        <v/>
      </c>
      <c r="Q344" s="345">
        <f>IF($A344="","",IF(OR('Aug 2027'!AI22=TRUE,'Aug 2027'!AI22="x",'Aug 2027'!AI22="X"),1,0))</f>
        <v/>
      </c>
      <c r="R344" s="345">
        <f>IF($A344="","",IF(OR('Aug 2027'!AI23=TRUE,'Aug 2027'!AI23="x",'Aug 2027'!AI23="X"),1,0))</f>
        <v/>
      </c>
      <c r="S344" s="345">
        <f>IF($A344="","",IF(OR('Aug 2027'!AI24=TRUE,'Aug 2027'!AI24="x",'Aug 2027'!AI24="X"),1,0))</f>
        <v/>
      </c>
      <c r="T344" s="345">
        <f>IF($A344="","",IF(OR('Aug 2027'!AI25=TRUE,'Aug 2027'!AI25="x",'Aug 2027'!AI25="X"),1,0))</f>
        <v/>
      </c>
      <c r="U344" s="345">
        <f>IF($A344="","",IF(OR('Aug 2027'!AI26=TRUE,'Aug 2027'!AI26="x",'Aug 2027'!AI26="X"),1,0))</f>
        <v/>
      </c>
      <c r="V344" s="345">
        <f>IF($A344="","",IF(OR('Aug 2027'!AI27=TRUE,'Aug 2027'!AI27="x",'Aug 2027'!AI27="X"),1,0))</f>
        <v/>
      </c>
      <c r="W344" s="345">
        <f>IF($A344="","",IF(OR('Aug 2027'!AI28=TRUE,'Aug 2027'!AI28="x",'Aug 2027'!AI28="X"),1,0))</f>
        <v/>
      </c>
      <c r="X344" s="345">
        <f>IF($A344="","",IF(OR('Aug 2027'!AI29=TRUE,'Aug 2027'!AI29="x",'Aug 2027'!AI29="X"),1,0))</f>
        <v/>
      </c>
      <c r="Y344" s="345">
        <f>IF($A344="","",IF(OR('Aug 2027'!AI30=TRUE,'Aug 2027'!AI30="x",'Aug 2027'!AI30="X"),1,0))</f>
        <v/>
      </c>
      <c r="Z344" s="345">
        <f>IF($A344="","",IF(OR('Aug 2027'!AI31=TRUE,'Aug 2027'!AI31="x",'Aug 2027'!AI31="X"),1,0))</f>
        <v/>
      </c>
      <c r="AA344" s="345">
        <f>IF($A344="","",IF(OR('Aug 2027'!AI32=TRUE,'Aug 2027'!AI32="x",'Aug 2027'!AI32="X"),1,0))</f>
        <v/>
      </c>
      <c r="AB344" s="345">
        <f>IF($A344="","",IF(OR('Aug 2027'!AI34=TRUE,'Aug 2027'!AI34="x",'Aug 2027'!AI34="X"),1,0))</f>
        <v/>
      </c>
      <c r="AC344" s="345">
        <f>IF($A344="","",IF(OR('Aug 2027'!AI35=TRUE,'Aug 2027'!AI35="x",'Aug 2027'!AI35="X"),1,0))</f>
        <v/>
      </c>
      <c r="AD344" s="345">
        <f>IF($A344="","",IF(OR('Aug 2027'!AI36=TRUE,'Aug 2027'!AI36="x",'Aug 2027'!AI36="X"),1,0))</f>
        <v/>
      </c>
      <c r="AE344" s="345">
        <f>IF($A344="","",IF(OR('Aug 2027'!AI37=TRUE,'Aug 2027'!AI37="x",'Aug 2027'!AI37="X"),1,0))</f>
        <v/>
      </c>
      <c r="AF344" s="345">
        <f>IF($A344="","",IF('Aug 2027'!AI59="","",'Aug 2027'!AI59))</f>
        <v/>
      </c>
      <c r="AG344" s="345">
        <f>IF($A344="","",IF('Aug 2027'!AI60="","",'Aug 2027'!AI60))</f>
        <v/>
      </c>
      <c r="AH344" s="345">
        <f>IF($A344="","",IF('Aug 2027'!AI61="","",'Aug 2027'!AI61))</f>
        <v/>
      </c>
      <c r="AI344" s="345">
        <f>IF($A344="","",IF('Aug 2027'!AI62="","",'Aug 2027'!AI62))</f>
        <v/>
      </c>
      <c r="AJ344" s="345">
        <f>IF($A344="","",IF('Aug 2027'!AI63="","",'Aug 2027'!AI63))</f>
        <v/>
      </c>
      <c r="AK344" s="345">
        <f>IF($A344="","",IF('Aug 2027'!AI64="","",'Aug 2027'!AI64))</f>
        <v/>
      </c>
      <c r="AL344" s="345">
        <f>IF($A344="","",IF('Aug 2027'!AI65="","",'Aug 2027'!AI65))</f>
        <v/>
      </c>
      <c r="AM344" s="345">
        <f>IF($A344="","",IF('Aug 2027'!AI66="","",'Aug 2027'!AI66))</f>
        <v/>
      </c>
      <c r="AN344" s="345">
        <f>IF($A344="","",IF('Aug 2027'!AI67="","",'Aug 2027'!AI67))</f>
        <v/>
      </c>
      <c r="AO344" s="345">
        <f>IF($A344="",0,IF(AND($A344&gt;=TrackStart,$A344&lt;=TODAY()),1,0))</f>
        <v/>
      </c>
      <c r="AP344" s="345">
        <f>IF($A344="",0,IF(SUM(F344:AE344)+COUNT(AF344:AN344)&gt;0,1,0))</f>
        <v/>
      </c>
      <c r="AQ344" s="345">
        <f>IF($A344="","",INT(($A344-TrackStart)/7)+1)</f>
        <v/>
      </c>
      <c r="AR344" s="345">
        <f>IF($A344="","",IF(AQ344&lt;=1,Steps1,IF(AQ344=2,Steps2,Steps3)))</f>
        <v/>
      </c>
      <c r="AS344" s="345">
        <f>IF($A344="",0,IF(ISNUMBER(SEARCH(TEXT(D344,"0"),WorkDays&amp;"")),1,0))</f>
        <v/>
      </c>
      <c r="AT344" s="345">
        <f>IF($A344="",0,IF(ISNUMBER(SEARCH(TEXT(D344,"0"),StrDays&amp;"")),1,0))</f>
        <v/>
      </c>
      <c r="AU344" s="345">
        <f>IF($A344="",0,IF(ISNUMBER(AK344),IF(AK344&gt;=SleepMin,1,0),N344))</f>
        <v/>
      </c>
      <c r="AV344" s="345">
        <f>IF($A344="",0,MAX(I344,O344,S344,AC344))</f>
        <v/>
      </c>
      <c r="AW344" s="345">
        <f>IF($A344="",0,IF(ISNUMBER(AH344),IF(AH344&gt;=ProtHit,1,0),0))</f>
        <v/>
      </c>
      <c r="AX344" s="345">
        <f>IF($A344="",0,IF(ISNUMBER(AI344),IF(AI344&gt;=WaterHit,1,0),0))</f>
        <v/>
      </c>
      <c r="AY344" s="345">
        <f>IF($A344="",0,IF(ISNUMBER(AG344),IF(AG344&gt;=AR344,1,0),0))</f>
        <v/>
      </c>
      <c r="AZ344" s="345">
        <f>IF($A344="",0,G344)</f>
        <v/>
      </c>
      <c r="BA344" s="345">
        <f>IF($A344="",0,J344)</f>
        <v/>
      </c>
      <c r="BB344" s="345">
        <f>IF($A344="",0,K344)</f>
        <v/>
      </c>
      <c r="BC344" s="345">
        <f>IF($A344="",0,MAX(L344,AE344))</f>
        <v/>
      </c>
      <c r="BD344" s="344">
        <f>IF($A344="","",(AU344+AV344+AW344+AX344+AY344+AZ344+BB344+BC344+IF(AS344=1,BA344,0))/(8+AS344))</f>
        <v/>
      </c>
      <c r="BE344" s="344">
        <f>IF($A344="","",(IF(ISNUMBER(AI344),IF(AI344&gt;=WaterMVD,1,0),0)+AV344+IF(ISNUMBER(AH344),IF(AH344&gt;=ProtMVD,1,0),0)+MAX(H344,AD344)+AZ344+BB344+AU344)/7)</f>
        <v/>
      </c>
      <c r="BF344" s="344">
        <f>IF(AO344=0,"",IF(E344="S","",IF(AND(AP344=0,$A344=TODAY()),"",IF(E344="M",BE344,BD344))))</f>
        <v/>
      </c>
      <c r="BG344" s="344">
        <f>IF(AO344=0,"",IFERROR(AVERAGEIFS(Data!$BF$4:$BF$375,Data!$A$4:$A$375,"&gt;"&amp;($A344-7),Data!$A$4:$A$375,"&lt;="&amp;$A344),""))</f>
        <v/>
      </c>
      <c r="BH344" s="344">
        <f>IF(AO344=0,"",IFERROR(AVERAGEIFS(Data!$BF$4:$BF$375,Data!$A$4:$A$375,"&gt;"&amp;($A344-30),Data!$A$4:$A$375,"&lt;="&amp;$A344),""))</f>
        <v/>
      </c>
      <c r="BI344" s="359">
        <f>IF($A344="","",IFERROR(AVERAGEIFS(Data!$AF$4:$AF$375,Data!$A$4:$A$375,"&gt;"&amp;($A344-7),Data!$A$4:$A$375,"&lt;="&amp;$A344,Data!$AF$4:$AF$375,"&gt;0"),""))</f>
        <v/>
      </c>
      <c r="BJ344" s="345">
        <f>IF($A344="","",F344+G344+H344+I344+J344+K344+L344+M344+N344-IF(AS344=1,0,J344))</f>
        <v/>
      </c>
      <c r="BK344" s="345">
        <f>IF($A344="","",8+AS344)</f>
        <v/>
      </c>
      <c r="BL344" s="345">
        <f>IF(ISNUMBER(BF344),BF344,NA())</f>
        <v/>
      </c>
      <c r="BM344" s="345">
        <f>IF(ISNUMBER(AF344),AF344,NA())</f>
        <v/>
      </c>
      <c r="BN344" s="345">
        <f>IF(ISNUMBER(BI344),BI344,NA())</f>
        <v/>
      </c>
      <c r="BO344" s="345">
        <f>IF(ISNUMBER(AL344),AL344,NA())</f>
        <v/>
      </c>
      <c r="BP344" s="345">
        <f>IF(ISNUMBER(AM344),AM344,NA())</f>
        <v/>
      </c>
      <c r="BQ344" s="345">
        <f>IF(ISNUMBER(AN344),AN344,NA())</f>
        <v/>
      </c>
    </row>
    <row r="345">
      <c r="A345" s="358">
        <f>IF('Sep 2027'!E7="","",'Sep 2027'!E7)</f>
        <v/>
      </c>
      <c r="B345" s="345" t="n">
        <v>12</v>
      </c>
      <c r="C345" s="345">
        <f>IF($A345="","",1)</f>
        <v/>
      </c>
      <c r="D345" s="345">
        <f>IF($A345="","",WEEKDAY($A345,2))</f>
        <v/>
      </c>
      <c r="E345" s="345">
        <f>IF($A345="","",UPPER(TRIM('Sep 2027'!E8)))</f>
        <v/>
      </c>
      <c r="F345" s="345">
        <f>IF($A345="","",IF(OR('Sep 2027'!E10=TRUE,'Sep 2027'!E10="x",'Sep 2027'!E10="X"),1,0))</f>
        <v/>
      </c>
      <c r="G345" s="345">
        <f>IF($A345="","",IF(OR('Sep 2027'!E11=TRUE,'Sep 2027'!E11="x",'Sep 2027'!E11="X"),1,0))</f>
        <v/>
      </c>
      <c r="H345" s="345">
        <f>IF($A345="","",IF(OR('Sep 2027'!E12=TRUE,'Sep 2027'!E12="x",'Sep 2027'!E12="X"),1,0))</f>
        <v/>
      </c>
      <c r="I345" s="345">
        <f>IF($A345="","",IF(OR('Sep 2027'!E13=TRUE,'Sep 2027'!E13="x",'Sep 2027'!E13="X"),1,0))</f>
        <v/>
      </c>
      <c r="J345" s="345">
        <f>IF($A345="","",IF(OR('Sep 2027'!E14=TRUE,'Sep 2027'!E14="x",'Sep 2027'!E14="X"),1,0))</f>
        <v/>
      </c>
      <c r="K345" s="345">
        <f>IF($A345="","",IF(OR('Sep 2027'!E15=TRUE,'Sep 2027'!E15="x",'Sep 2027'!E15="X"),1,0))</f>
        <v/>
      </c>
      <c r="L345" s="345">
        <f>IF($A345="","",IF(OR('Sep 2027'!E16=TRUE,'Sep 2027'!E16="x",'Sep 2027'!E16="X"),1,0))</f>
        <v/>
      </c>
      <c r="M345" s="345">
        <f>IF($A345="","",IF(OR('Sep 2027'!E17=TRUE,'Sep 2027'!E17="x",'Sep 2027'!E17="X"),1,0))</f>
        <v/>
      </c>
      <c r="N345" s="345">
        <f>IF($A345="","",IF(OR('Sep 2027'!E18=TRUE,'Sep 2027'!E18="x",'Sep 2027'!E18="X"),1,0))</f>
        <v/>
      </c>
      <c r="O345" s="345">
        <f>IF($A345="","",IF(OR('Sep 2027'!E20=TRUE,'Sep 2027'!E20="x",'Sep 2027'!E20="X"),1,0))</f>
        <v/>
      </c>
      <c r="P345" s="345">
        <f>IF($A345="","",IF(OR('Sep 2027'!E21=TRUE,'Sep 2027'!E21="x",'Sep 2027'!E21="X"),1,0))</f>
        <v/>
      </c>
      <c r="Q345" s="345">
        <f>IF($A345="","",IF(OR('Sep 2027'!E22=TRUE,'Sep 2027'!E22="x",'Sep 2027'!E22="X"),1,0))</f>
        <v/>
      </c>
      <c r="R345" s="345">
        <f>IF($A345="","",IF(OR('Sep 2027'!E23=TRUE,'Sep 2027'!E23="x",'Sep 2027'!E23="X"),1,0))</f>
        <v/>
      </c>
      <c r="S345" s="345">
        <f>IF($A345="","",IF(OR('Sep 2027'!E24=TRUE,'Sep 2027'!E24="x",'Sep 2027'!E24="X"),1,0))</f>
        <v/>
      </c>
      <c r="T345" s="345">
        <f>IF($A345="","",IF(OR('Sep 2027'!E25=TRUE,'Sep 2027'!E25="x",'Sep 2027'!E25="X"),1,0))</f>
        <v/>
      </c>
      <c r="U345" s="345">
        <f>IF($A345="","",IF(OR('Sep 2027'!E26=TRUE,'Sep 2027'!E26="x",'Sep 2027'!E26="X"),1,0))</f>
        <v/>
      </c>
      <c r="V345" s="345">
        <f>IF($A345="","",IF(OR('Sep 2027'!E27=TRUE,'Sep 2027'!E27="x",'Sep 2027'!E27="X"),1,0))</f>
        <v/>
      </c>
      <c r="W345" s="345">
        <f>IF($A345="","",IF(OR('Sep 2027'!E28=TRUE,'Sep 2027'!E28="x",'Sep 2027'!E28="X"),1,0))</f>
        <v/>
      </c>
      <c r="X345" s="345">
        <f>IF($A345="","",IF(OR('Sep 2027'!E29=TRUE,'Sep 2027'!E29="x",'Sep 2027'!E29="X"),1,0))</f>
        <v/>
      </c>
      <c r="Y345" s="345">
        <f>IF($A345="","",IF(OR('Sep 2027'!E30=TRUE,'Sep 2027'!E30="x",'Sep 2027'!E30="X"),1,0))</f>
        <v/>
      </c>
      <c r="Z345" s="345">
        <f>IF($A345="","",IF(OR('Sep 2027'!E31=TRUE,'Sep 2027'!E31="x",'Sep 2027'!E31="X"),1,0))</f>
        <v/>
      </c>
      <c r="AA345" s="345">
        <f>IF($A345="","",IF(OR('Sep 2027'!E32=TRUE,'Sep 2027'!E32="x",'Sep 2027'!E32="X"),1,0))</f>
        <v/>
      </c>
      <c r="AB345" s="345">
        <f>IF($A345="","",IF(OR('Sep 2027'!E34=TRUE,'Sep 2027'!E34="x",'Sep 2027'!E34="X"),1,0))</f>
        <v/>
      </c>
      <c r="AC345" s="345">
        <f>IF($A345="","",IF(OR('Sep 2027'!E35=TRUE,'Sep 2027'!E35="x",'Sep 2027'!E35="X"),1,0))</f>
        <v/>
      </c>
      <c r="AD345" s="345">
        <f>IF($A345="","",IF(OR('Sep 2027'!E36=TRUE,'Sep 2027'!E36="x",'Sep 2027'!E36="X"),1,0))</f>
        <v/>
      </c>
      <c r="AE345" s="345">
        <f>IF($A345="","",IF(OR('Sep 2027'!E37=TRUE,'Sep 2027'!E37="x",'Sep 2027'!E37="X"),1,0))</f>
        <v/>
      </c>
      <c r="AF345" s="345">
        <f>IF($A345="","",IF('Sep 2027'!E59="","",'Sep 2027'!E59))</f>
        <v/>
      </c>
      <c r="AG345" s="345">
        <f>IF($A345="","",IF('Sep 2027'!E60="","",'Sep 2027'!E60))</f>
        <v/>
      </c>
      <c r="AH345" s="345">
        <f>IF($A345="","",IF('Sep 2027'!E61="","",'Sep 2027'!E61))</f>
        <v/>
      </c>
      <c r="AI345" s="345">
        <f>IF($A345="","",IF('Sep 2027'!E62="","",'Sep 2027'!E62))</f>
        <v/>
      </c>
      <c r="AJ345" s="345">
        <f>IF($A345="","",IF('Sep 2027'!E63="","",'Sep 2027'!E63))</f>
        <v/>
      </c>
      <c r="AK345" s="345">
        <f>IF($A345="","",IF('Sep 2027'!E64="","",'Sep 2027'!E64))</f>
        <v/>
      </c>
      <c r="AL345" s="345">
        <f>IF($A345="","",IF('Sep 2027'!E65="","",'Sep 2027'!E65))</f>
        <v/>
      </c>
      <c r="AM345" s="345">
        <f>IF($A345="","",IF('Sep 2027'!E66="","",'Sep 2027'!E66))</f>
        <v/>
      </c>
      <c r="AN345" s="345">
        <f>IF($A345="","",IF('Sep 2027'!E67="","",'Sep 2027'!E67))</f>
        <v/>
      </c>
      <c r="AO345" s="345">
        <f>IF($A345="",0,IF(AND($A345&gt;=TrackStart,$A345&lt;=TODAY()),1,0))</f>
        <v/>
      </c>
      <c r="AP345" s="345">
        <f>IF($A345="",0,IF(SUM(F345:AE345)+COUNT(AF345:AN345)&gt;0,1,0))</f>
        <v/>
      </c>
      <c r="AQ345" s="345">
        <f>IF($A345="","",INT(($A345-TrackStart)/7)+1)</f>
        <v/>
      </c>
      <c r="AR345" s="345">
        <f>IF($A345="","",IF(AQ345&lt;=1,Steps1,IF(AQ345=2,Steps2,Steps3)))</f>
        <v/>
      </c>
      <c r="AS345" s="345">
        <f>IF($A345="",0,IF(ISNUMBER(SEARCH(TEXT(D345,"0"),WorkDays&amp;"")),1,0))</f>
        <v/>
      </c>
      <c r="AT345" s="345">
        <f>IF($A345="",0,IF(ISNUMBER(SEARCH(TEXT(D345,"0"),StrDays&amp;"")),1,0))</f>
        <v/>
      </c>
      <c r="AU345" s="345">
        <f>IF($A345="",0,IF(ISNUMBER(AK345),IF(AK345&gt;=SleepMin,1,0),N345))</f>
        <v/>
      </c>
      <c r="AV345" s="345">
        <f>IF($A345="",0,MAX(I345,O345,S345,AC345))</f>
        <v/>
      </c>
      <c r="AW345" s="345">
        <f>IF($A345="",0,IF(ISNUMBER(AH345),IF(AH345&gt;=ProtHit,1,0),0))</f>
        <v/>
      </c>
      <c r="AX345" s="345">
        <f>IF($A345="",0,IF(ISNUMBER(AI345),IF(AI345&gt;=WaterHit,1,0),0))</f>
        <v/>
      </c>
      <c r="AY345" s="345">
        <f>IF($A345="",0,IF(ISNUMBER(AG345),IF(AG345&gt;=AR345,1,0),0))</f>
        <v/>
      </c>
      <c r="AZ345" s="345">
        <f>IF($A345="",0,G345)</f>
        <v/>
      </c>
      <c r="BA345" s="345">
        <f>IF($A345="",0,J345)</f>
        <v/>
      </c>
      <c r="BB345" s="345">
        <f>IF($A345="",0,K345)</f>
        <v/>
      </c>
      <c r="BC345" s="345">
        <f>IF($A345="",0,MAX(L345,AE345))</f>
        <v/>
      </c>
      <c r="BD345" s="344">
        <f>IF($A345="","",(AU345+AV345+AW345+AX345+AY345+AZ345+BB345+BC345+IF(AS345=1,BA345,0))/(8+AS345))</f>
        <v/>
      </c>
      <c r="BE345" s="344">
        <f>IF($A345="","",(IF(ISNUMBER(AI345),IF(AI345&gt;=WaterMVD,1,0),0)+AV345+IF(ISNUMBER(AH345),IF(AH345&gt;=ProtMVD,1,0),0)+MAX(H345,AD345)+AZ345+BB345+AU345)/7)</f>
        <v/>
      </c>
      <c r="BF345" s="344">
        <f>IF(AO345=0,"",IF(E345="S","",IF(AND(AP345=0,$A345=TODAY()),"",IF(E345="M",BE345,BD345))))</f>
        <v/>
      </c>
      <c r="BG345" s="344">
        <f>IF(AO345=0,"",IFERROR(AVERAGEIFS(Data!$BF$4:$BF$375,Data!$A$4:$A$375,"&gt;"&amp;($A345-7),Data!$A$4:$A$375,"&lt;="&amp;$A345),""))</f>
        <v/>
      </c>
      <c r="BH345" s="344">
        <f>IF(AO345=0,"",IFERROR(AVERAGEIFS(Data!$BF$4:$BF$375,Data!$A$4:$A$375,"&gt;"&amp;($A345-30),Data!$A$4:$A$375,"&lt;="&amp;$A345),""))</f>
        <v/>
      </c>
      <c r="BI345" s="359">
        <f>IF($A345="","",IFERROR(AVERAGEIFS(Data!$AF$4:$AF$375,Data!$A$4:$A$375,"&gt;"&amp;($A345-7),Data!$A$4:$A$375,"&lt;="&amp;$A345,Data!$AF$4:$AF$375,"&gt;0"),""))</f>
        <v/>
      </c>
      <c r="BJ345" s="345">
        <f>IF($A345="","",F345+G345+H345+I345+J345+K345+L345+M345+N345-IF(AS345=1,0,J345))</f>
        <v/>
      </c>
      <c r="BK345" s="345">
        <f>IF($A345="","",8+AS345)</f>
        <v/>
      </c>
      <c r="BL345" s="345">
        <f>IF(ISNUMBER(BF345),BF345,NA())</f>
        <v/>
      </c>
      <c r="BM345" s="345">
        <f>IF(ISNUMBER(AF345),AF345,NA())</f>
        <v/>
      </c>
      <c r="BN345" s="345">
        <f>IF(ISNUMBER(BI345),BI345,NA())</f>
        <v/>
      </c>
      <c r="BO345" s="345">
        <f>IF(ISNUMBER(AL345),AL345,NA())</f>
        <v/>
      </c>
      <c r="BP345" s="345">
        <f>IF(ISNUMBER(AM345),AM345,NA())</f>
        <v/>
      </c>
      <c r="BQ345" s="345">
        <f>IF(ISNUMBER(AN345),AN345,NA())</f>
        <v/>
      </c>
    </row>
    <row r="346">
      <c r="A346" s="358">
        <f>IF('Sep 2027'!F7="","",'Sep 2027'!F7)</f>
        <v/>
      </c>
      <c r="B346" s="345" t="n">
        <v>12</v>
      </c>
      <c r="C346" s="345">
        <f>IF($A346="","",2)</f>
        <v/>
      </c>
      <c r="D346" s="345">
        <f>IF($A346="","",WEEKDAY($A346,2))</f>
        <v/>
      </c>
      <c r="E346" s="345">
        <f>IF($A346="","",UPPER(TRIM('Sep 2027'!F8)))</f>
        <v/>
      </c>
      <c r="F346" s="345">
        <f>IF($A346="","",IF(OR('Sep 2027'!F10=TRUE,'Sep 2027'!F10="x",'Sep 2027'!F10="X"),1,0))</f>
        <v/>
      </c>
      <c r="G346" s="345">
        <f>IF($A346="","",IF(OR('Sep 2027'!F11=TRUE,'Sep 2027'!F11="x",'Sep 2027'!F11="X"),1,0))</f>
        <v/>
      </c>
      <c r="H346" s="345">
        <f>IF($A346="","",IF(OR('Sep 2027'!F12=TRUE,'Sep 2027'!F12="x",'Sep 2027'!F12="X"),1,0))</f>
        <v/>
      </c>
      <c r="I346" s="345">
        <f>IF($A346="","",IF(OR('Sep 2027'!F13=TRUE,'Sep 2027'!F13="x",'Sep 2027'!F13="X"),1,0))</f>
        <v/>
      </c>
      <c r="J346" s="345">
        <f>IF($A346="","",IF(OR('Sep 2027'!F14=TRUE,'Sep 2027'!F14="x",'Sep 2027'!F14="X"),1,0))</f>
        <v/>
      </c>
      <c r="K346" s="345">
        <f>IF($A346="","",IF(OR('Sep 2027'!F15=TRUE,'Sep 2027'!F15="x",'Sep 2027'!F15="X"),1,0))</f>
        <v/>
      </c>
      <c r="L346" s="345">
        <f>IF($A346="","",IF(OR('Sep 2027'!F16=TRUE,'Sep 2027'!F16="x",'Sep 2027'!F16="X"),1,0))</f>
        <v/>
      </c>
      <c r="M346" s="345">
        <f>IF($A346="","",IF(OR('Sep 2027'!F17=TRUE,'Sep 2027'!F17="x",'Sep 2027'!F17="X"),1,0))</f>
        <v/>
      </c>
      <c r="N346" s="345">
        <f>IF($A346="","",IF(OR('Sep 2027'!F18=TRUE,'Sep 2027'!F18="x",'Sep 2027'!F18="X"),1,0))</f>
        <v/>
      </c>
      <c r="O346" s="345">
        <f>IF($A346="","",IF(OR('Sep 2027'!F20=TRUE,'Sep 2027'!F20="x",'Sep 2027'!F20="X"),1,0))</f>
        <v/>
      </c>
      <c r="P346" s="345">
        <f>IF($A346="","",IF(OR('Sep 2027'!F21=TRUE,'Sep 2027'!F21="x",'Sep 2027'!F21="X"),1,0))</f>
        <v/>
      </c>
      <c r="Q346" s="345">
        <f>IF($A346="","",IF(OR('Sep 2027'!F22=TRUE,'Sep 2027'!F22="x",'Sep 2027'!F22="X"),1,0))</f>
        <v/>
      </c>
      <c r="R346" s="345">
        <f>IF($A346="","",IF(OR('Sep 2027'!F23=TRUE,'Sep 2027'!F23="x",'Sep 2027'!F23="X"),1,0))</f>
        <v/>
      </c>
      <c r="S346" s="345">
        <f>IF($A346="","",IF(OR('Sep 2027'!F24=TRUE,'Sep 2027'!F24="x",'Sep 2027'!F24="X"),1,0))</f>
        <v/>
      </c>
      <c r="T346" s="345">
        <f>IF($A346="","",IF(OR('Sep 2027'!F25=TRUE,'Sep 2027'!F25="x",'Sep 2027'!F25="X"),1,0))</f>
        <v/>
      </c>
      <c r="U346" s="345">
        <f>IF($A346="","",IF(OR('Sep 2027'!F26=TRUE,'Sep 2027'!F26="x",'Sep 2027'!F26="X"),1,0))</f>
        <v/>
      </c>
      <c r="V346" s="345">
        <f>IF($A346="","",IF(OR('Sep 2027'!F27=TRUE,'Sep 2027'!F27="x",'Sep 2027'!F27="X"),1,0))</f>
        <v/>
      </c>
      <c r="W346" s="345">
        <f>IF($A346="","",IF(OR('Sep 2027'!F28=TRUE,'Sep 2027'!F28="x",'Sep 2027'!F28="X"),1,0))</f>
        <v/>
      </c>
      <c r="X346" s="345">
        <f>IF($A346="","",IF(OR('Sep 2027'!F29=TRUE,'Sep 2027'!F29="x",'Sep 2027'!F29="X"),1,0))</f>
        <v/>
      </c>
      <c r="Y346" s="345">
        <f>IF($A346="","",IF(OR('Sep 2027'!F30=TRUE,'Sep 2027'!F30="x",'Sep 2027'!F30="X"),1,0))</f>
        <v/>
      </c>
      <c r="Z346" s="345">
        <f>IF($A346="","",IF(OR('Sep 2027'!F31=TRUE,'Sep 2027'!F31="x",'Sep 2027'!F31="X"),1,0))</f>
        <v/>
      </c>
      <c r="AA346" s="345">
        <f>IF($A346="","",IF(OR('Sep 2027'!F32=TRUE,'Sep 2027'!F32="x",'Sep 2027'!F32="X"),1,0))</f>
        <v/>
      </c>
      <c r="AB346" s="345">
        <f>IF($A346="","",IF(OR('Sep 2027'!F34=TRUE,'Sep 2027'!F34="x",'Sep 2027'!F34="X"),1,0))</f>
        <v/>
      </c>
      <c r="AC346" s="345">
        <f>IF($A346="","",IF(OR('Sep 2027'!F35=TRUE,'Sep 2027'!F35="x",'Sep 2027'!F35="X"),1,0))</f>
        <v/>
      </c>
      <c r="AD346" s="345">
        <f>IF($A346="","",IF(OR('Sep 2027'!F36=TRUE,'Sep 2027'!F36="x",'Sep 2027'!F36="X"),1,0))</f>
        <v/>
      </c>
      <c r="AE346" s="345">
        <f>IF($A346="","",IF(OR('Sep 2027'!F37=TRUE,'Sep 2027'!F37="x",'Sep 2027'!F37="X"),1,0))</f>
        <v/>
      </c>
      <c r="AF346" s="345">
        <f>IF($A346="","",IF('Sep 2027'!F59="","",'Sep 2027'!F59))</f>
        <v/>
      </c>
      <c r="AG346" s="345">
        <f>IF($A346="","",IF('Sep 2027'!F60="","",'Sep 2027'!F60))</f>
        <v/>
      </c>
      <c r="AH346" s="345">
        <f>IF($A346="","",IF('Sep 2027'!F61="","",'Sep 2027'!F61))</f>
        <v/>
      </c>
      <c r="AI346" s="345">
        <f>IF($A346="","",IF('Sep 2027'!F62="","",'Sep 2027'!F62))</f>
        <v/>
      </c>
      <c r="AJ346" s="345">
        <f>IF($A346="","",IF('Sep 2027'!F63="","",'Sep 2027'!F63))</f>
        <v/>
      </c>
      <c r="AK346" s="345">
        <f>IF($A346="","",IF('Sep 2027'!F64="","",'Sep 2027'!F64))</f>
        <v/>
      </c>
      <c r="AL346" s="345">
        <f>IF($A346="","",IF('Sep 2027'!F65="","",'Sep 2027'!F65))</f>
        <v/>
      </c>
      <c r="AM346" s="345">
        <f>IF($A346="","",IF('Sep 2027'!F66="","",'Sep 2027'!F66))</f>
        <v/>
      </c>
      <c r="AN346" s="345">
        <f>IF($A346="","",IF('Sep 2027'!F67="","",'Sep 2027'!F67))</f>
        <v/>
      </c>
      <c r="AO346" s="345">
        <f>IF($A346="",0,IF(AND($A346&gt;=TrackStart,$A346&lt;=TODAY()),1,0))</f>
        <v/>
      </c>
      <c r="AP346" s="345">
        <f>IF($A346="",0,IF(SUM(F346:AE346)+COUNT(AF346:AN346)&gt;0,1,0))</f>
        <v/>
      </c>
      <c r="AQ346" s="345">
        <f>IF($A346="","",INT(($A346-TrackStart)/7)+1)</f>
        <v/>
      </c>
      <c r="AR346" s="345">
        <f>IF($A346="","",IF(AQ346&lt;=1,Steps1,IF(AQ346=2,Steps2,Steps3)))</f>
        <v/>
      </c>
      <c r="AS346" s="345">
        <f>IF($A346="",0,IF(ISNUMBER(SEARCH(TEXT(D346,"0"),WorkDays&amp;"")),1,0))</f>
        <v/>
      </c>
      <c r="AT346" s="345">
        <f>IF($A346="",0,IF(ISNUMBER(SEARCH(TEXT(D346,"0"),StrDays&amp;"")),1,0))</f>
        <v/>
      </c>
      <c r="AU346" s="345">
        <f>IF($A346="",0,IF(ISNUMBER(AK346),IF(AK346&gt;=SleepMin,1,0),N346))</f>
        <v/>
      </c>
      <c r="AV346" s="345">
        <f>IF($A346="",0,MAX(I346,O346,S346,AC346))</f>
        <v/>
      </c>
      <c r="AW346" s="345">
        <f>IF($A346="",0,IF(ISNUMBER(AH346),IF(AH346&gt;=ProtHit,1,0),0))</f>
        <v/>
      </c>
      <c r="AX346" s="345">
        <f>IF($A346="",0,IF(ISNUMBER(AI346),IF(AI346&gt;=WaterHit,1,0),0))</f>
        <v/>
      </c>
      <c r="AY346" s="345">
        <f>IF($A346="",0,IF(ISNUMBER(AG346),IF(AG346&gt;=AR346,1,0),0))</f>
        <v/>
      </c>
      <c r="AZ346" s="345">
        <f>IF($A346="",0,G346)</f>
        <v/>
      </c>
      <c r="BA346" s="345">
        <f>IF($A346="",0,J346)</f>
        <v/>
      </c>
      <c r="BB346" s="345">
        <f>IF($A346="",0,K346)</f>
        <v/>
      </c>
      <c r="BC346" s="345">
        <f>IF($A346="",0,MAX(L346,AE346))</f>
        <v/>
      </c>
      <c r="BD346" s="344">
        <f>IF($A346="","",(AU346+AV346+AW346+AX346+AY346+AZ346+BB346+BC346+IF(AS346=1,BA346,0))/(8+AS346))</f>
        <v/>
      </c>
      <c r="BE346" s="344">
        <f>IF($A346="","",(IF(ISNUMBER(AI346),IF(AI346&gt;=WaterMVD,1,0),0)+AV346+IF(ISNUMBER(AH346),IF(AH346&gt;=ProtMVD,1,0),0)+MAX(H346,AD346)+AZ346+BB346+AU346)/7)</f>
        <v/>
      </c>
      <c r="BF346" s="344">
        <f>IF(AO346=0,"",IF(E346="S","",IF(AND(AP346=0,$A346=TODAY()),"",IF(E346="M",BE346,BD346))))</f>
        <v/>
      </c>
      <c r="BG346" s="344">
        <f>IF(AO346=0,"",IFERROR(AVERAGEIFS(Data!$BF$4:$BF$375,Data!$A$4:$A$375,"&gt;"&amp;($A346-7),Data!$A$4:$A$375,"&lt;="&amp;$A346),""))</f>
        <v/>
      </c>
      <c r="BH346" s="344">
        <f>IF(AO346=0,"",IFERROR(AVERAGEIFS(Data!$BF$4:$BF$375,Data!$A$4:$A$375,"&gt;"&amp;($A346-30),Data!$A$4:$A$375,"&lt;="&amp;$A346),""))</f>
        <v/>
      </c>
      <c r="BI346" s="359">
        <f>IF($A346="","",IFERROR(AVERAGEIFS(Data!$AF$4:$AF$375,Data!$A$4:$A$375,"&gt;"&amp;($A346-7),Data!$A$4:$A$375,"&lt;="&amp;$A346,Data!$AF$4:$AF$375,"&gt;0"),""))</f>
        <v/>
      </c>
      <c r="BJ346" s="345">
        <f>IF($A346="","",F346+G346+H346+I346+J346+K346+L346+M346+N346-IF(AS346=1,0,J346))</f>
        <v/>
      </c>
      <c r="BK346" s="345">
        <f>IF($A346="","",8+AS346)</f>
        <v/>
      </c>
      <c r="BL346" s="345">
        <f>IF(ISNUMBER(BF346),BF346,NA())</f>
        <v/>
      </c>
      <c r="BM346" s="345">
        <f>IF(ISNUMBER(AF346),AF346,NA())</f>
        <v/>
      </c>
      <c r="BN346" s="345">
        <f>IF(ISNUMBER(BI346),BI346,NA())</f>
        <v/>
      </c>
      <c r="BO346" s="345">
        <f>IF(ISNUMBER(AL346),AL346,NA())</f>
        <v/>
      </c>
      <c r="BP346" s="345">
        <f>IF(ISNUMBER(AM346),AM346,NA())</f>
        <v/>
      </c>
      <c r="BQ346" s="345">
        <f>IF(ISNUMBER(AN346),AN346,NA())</f>
        <v/>
      </c>
    </row>
    <row r="347">
      <c r="A347" s="358">
        <f>IF('Sep 2027'!G7="","",'Sep 2027'!G7)</f>
        <v/>
      </c>
      <c r="B347" s="345" t="n">
        <v>12</v>
      </c>
      <c r="C347" s="345">
        <f>IF($A347="","",3)</f>
        <v/>
      </c>
      <c r="D347" s="345">
        <f>IF($A347="","",WEEKDAY($A347,2))</f>
        <v/>
      </c>
      <c r="E347" s="345">
        <f>IF($A347="","",UPPER(TRIM('Sep 2027'!G8)))</f>
        <v/>
      </c>
      <c r="F347" s="345">
        <f>IF($A347="","",IF(OR('Sep 2027'!G10=TRUE,'Sep 2027'!G10="x",'Sep 2027'!G10="X"),1,0))</f>
        <v/>
      </c>
      <c r="G347" s="345">
        <f>IF($A347="","",IF(OR('Sep 2027'!G11=TRUE,'Sep 2027'!G11="x",'Sep 2027'!G11="X"),1,0))</f>
        <v/>
      </c>
      <c r="H347" s="345">
        <f>IF($A347="","",IF(OR('Sep 2027'!G12=TRUE,'Sep 2027'!G12="x",'Sep 2027'!G12="X"),1,0))</f>
        <v/>
      </c>
      <c r="I347" s="345">
        <f>IF($A347="","",IF(OR('Sep 2027'!G13=TRUE,'Sep 2027'!G13="x",'Sep 2027'!G13="X"),1,0))</f>
        <v/>
      </c>
      <c r="J347" s="345">
        <f>IF($A347="","",IF(OR('Sep 2027'!G14=TRUE,'Sep 2027'!G14="x",'Sep 2027'!G14="X"),1,0))</f>
        <v/>
      </c>
      <c r="K347" s="345">
        <f>IF($A347="","",IF(OR('Sep 2027'!G15=TRUE,'Sep 2027'!G15="x",'Sep 2027'!G15="X"),1,0))</f>
        <v/>
      </c>
      <c r="L347" s="345">
        <f>IF($A347="","",IF(OR('Sep 2027'!G16=TRUE,'Sep 2027'!G16="x",'Sep 2027'!G16="X"),1,0))</f>
        <v/>
      </c>
      <c r="M347" s="345">
        <f>IF($A347="","",IF(OR('Sep 2027'!G17=TRUE,'Sep 2027'!G17="x",'Sep 2027'!G17="X"),1,0))</f>
        <v/>
      </c>
      <c r="N347" s="345">
        <f>IF($A347="","",IF(OR('Sep 2027'!G18=TRUE,'Sep 2027'!G18="x",'Sep 2027'!G18="X"),1,0))</f>
        <v/>
      </c>
      <c r="O347" s="345">
        <f>IF($A347="","",IF(OR('Sep 2027'!G20=TRUE,'Sep 2027'!G20="x",'Sep 2027'!G20="X"),1,0))</f>
        <v/>
      </c>
      <c r="P347" s="345">
        <f>IF($A347="","",IF(OR('Sep 2027'!G21=TRUE,'Sep 2027'!G21="x",'Sep 2027'!G21="X"),1,0))</f>
        <v/>
      </c>
      <c r="Q347" s="345">
        <f>IF($A347="","",IF(OR('Sep 2027'!G22=TRUE,'Sep 2027'!G22="x",'Sep 2027'!G22="X"),1,0))</f>
        <v/>
      </c>
      <c r="R347" s="345">
        <f>IF($A347="","",IF(OR('Sep 2027'!G23=TRUE,'Sep 2027'!G23="x",'Sep 2027'!G23="X"),1,0))</f>
        <v/>
      </c>
      <c r="S347" s="345">
        <f>IF($A347="","",IF(OR('Sep 2027'!G24=TRUE,'Sep 2027'!G24="x",'Sep 2027'!G24="X"),1,0))</f>
        <v/>
      </c>
      <c r="T347" s="345">
        <f>IF($A347="","",IF(OR('Sep 2027'!G25=TRUE,'Sep 2027'!G25="x",'Sep 2027'!G25="X"),1,0))</f>
        <v/>
      </c>
      <c r="U347" s="345">
        <f>IF($A347="","",IF(OR('Sep 2027'!G26=TRUE,'Sep 2027'!G26="x",'Sep 2027'!G26="X"),1,0))</f>
        <v/>
      </c>
      <c r="V347" s="345">
        <f>IF($A347="","",IF(OR('Sep 2027'!G27=TRUE,'Sep 2027'!G27="x",'Sep 2027'!G27="X"),1,0))</f>
        <v/>
      </c>
      <c r="W347" s="345">
        <f>IF($A347="","",IF(OR('Sep 2027'!G28=TRUE,'Sep 2027'!G28="x",'Sep 2027'!G28="X"),1,0))</f>
        <v/>
      </c>
      <c r="X347" s="345">
        <f>IF($A347="","",IF(OR('Sep 2027'!G29=TRUE,'Sep 2027'!G29="x",'Sep 2027'!G29="X"),1,0))</f>
        <v/>
      </c>
      <c r="Y347" s="345">
        <f>IF($A347="","",IF(OR('Sep 2027'!G30=TRUE,'Sep 2027'!G30="x",'Sep 2027'!G30="X"),1,0))</f>
        <v/>
      </c>
      <c r="Z347" s="345">
        <f>IF($A347="","",IF(OR('Sep 2027'!G31=TRUE,'Sep 2027'!G31="x",'Sep 2027'!G31="X"),1,0))</f>
        <v/>
      </c>
      <c r="AA347" s="345">
        <f>IF($A347="","",IF(OR('Sep 2027'!G32=TRUE,'Sep 2027'!G32="x",'Sep 2027'!G32="X"),1,0))</f>
        <v/>
      </c>
      <c r="AB347" s="345">
        <f>IF($A347="","",IF(OR('Sep 2027'!G34=TRUE,'Sep 2027'!G34="x",'Sep 2027'!G34="X"),1,0))</f>
        <v/>
      </c>
      <c r="AC347" s="345">
        <f>IF($A347="","",IF(OR('Sep 2027'!G35=TRUE,'Sep 2027'!G35="x",'Sep 2027'!G35="X"),1,0))</f>
        <v/>
      </c>
      <c r="AD347" s="345">
        <f>IF($A347="","",IF(OR('Sep 2027'!G36=TRUE,'Sep 2027'!G36="x",'Sep 2027'!G36="X"),1,0))</f>
        <v/>
      </c>
      <c r="AE347" s="345">
        <f>IF($A347="","",IF(OR('Sep 2027'!G37=TRUE,'Sep 2027'!G37="x",'Sep 2027'!G37="X"),1,0))</f>
        <v/>
      </c>
      <c r="AF347" s="345">
        <f>IF($A347="","",IF('Sep 2027'!G59="","",'Sep 2027'!G59))</f>
        <v/>
      </c>
      <c r="AG347" s="345">
        <f>IF($A347="","",IF('Sep 2027'!G60="","",'Sep 2027'!G60))</f>
        <v/>
      </c>
      <c r="AH347" s="345">
        <f>IF($A347="","",IF('Sep 2027'!G61="","",'Sep 2027'!G61))</f>
        <v/>
      </c>
      <c r="AI347" s="345">
        <f>IF($A347="","",IF('Sep 2027'!G62="","",'Sep 2027'!G62))</f>
        <v/>
      </c>
      <c r="AJ347" s="345">
        <f>IF($A347="","",IF('Sep 2027'!G63="","",'Sep 2027'!G63))</f>
        <v/>
      </c>
      <c r="AK347" s="345">
        <f>IF($A347="","",IF('Sep 2027'!G64="","",'Sep 2027'!G64))</f>
        <v/>
      </c>
      <c r="AL347" s="345">
        <f>IF($A347="","",IF('Sep 2027'!G65="","",'Sep 2027'!G65))</f>
        <v/>
      </c>
      <c r="AM347" s="345">
        <f>IF($A347="","",IF('Sep 2027'!G66="","",'Sep 2027'!G66))</f>
        <v/>
      </c>
      <c r="AN347" s="345">
        <f>IF($A347="","",IF('Sep 2027'!G67="","",'Sep 2027'!G67))</f>
        <v/>
      </c>
      <c r="AO347" s="345">
        <f>IF($A347="",0,IF(AND($A347&gt;=TrackStart,$A347&lt;=TODAY()),1,0))</f>
        <v/>
      </c>
      <c r="AP347" s="345">
        <f>IF($A347="",0,IF(SUM(F347:AE347)+COUNT(AF347:AN347)&gt;0,1,0))</f>
        <v/>
      </c>
      <c r="AQ347" s="345">
        <f>IF($A347="","",INT(($A347-TrackStart)/7)+1)</f>
        <v/>
      </c>
      <c r="AR347" s="345">
        <f>IF($A347="","",IF(AQ347&lt;=1,Steps1,IF(AQ347=2,Steps2,Steps3)))</f>
        <v/>
      </c>
      <c r="AS347" s="345">
        <f>IF($A347="",0,IF(ISNUMBER(SEARCH(TEXT(D347,"0"),WorkDays&amp;"")),1,0))</f>
        <v/>
      </c>
      <c r="AT347" s="345">
        <f>IF($A347="",0,IF(ISNUMBER(SEARCH(TEXT(D347,"0"),StrDays&amp;"")),1,0))</f>
        <v/>
      </c>
      <c r="AU347" s="345">
        <f>IF($A347="",0,IF(ISNUMBER(AK347),IF(AK347&gt;=SleepMin,1,0),N347))</f>
        <v/>
      </c>
      <c r="AV347" s="345">
        <f>IF($A347="",0,MAX(I347,O347,S347,AC347))</f>
        <v/>
      </c>
      <c r="AW347" s="345">
        <f>IF($A347="",0,IF(ISNUMBER(AH347),IF(AH347&gt;=ProtHit,1,0),0))</f>
        <v/>
      </c>
      <c r="AX347" s="345">
        <f>IF($A347="",0,IF(ISNUMBER(AI347),IF(AI347&gt;=WaterHit,1,0),0))</f>
        <v/>
      </c>
      <c r="AY347" s="345">
        <f>IF($A347="",0,IF(ISNUMBER(AG347),IF(AG347&gt;=AR347,1,0),0))</f>
        <v/>
      </c>
      <c r="AZ347" s="345">
        <f>IF($A347="",0,G347)</f>
        <v/>
      </c>
      <c r="BA347" s="345">
        <f>IF($A347="",0,J347)</f>
        <v/>
      </c>
      <c r="BB347" s="345">
        <f>IF($A347="",0,K347)</f>
        <v/>
      </c>
      <c r="BC347" s="345">
        <f>IF($A347="",0,MAX(L347,AE347))</f>
        <v/>
      </c>
      <c r="BD347" s="344">
        <f>IF($A347="","",(AU347+AV347+AW347+AX347+AY347+AZ347+BB347+BC347+IF(AS347=1,BA347,0))/(8+AS347))</f>
        <v/>
      </c>
      <c r="BE347" s="344">
        <f>IF($A347="","",(IF(ISNUMBER(AI347),IF(AI347&gt;=WaterMVD,1,0),0)+AV347+IF(ISNUMBER(AH347),IF(AH347&gt;=ProtMVD,1,0),0)+MAX(H347,AD347)+AZ347+BB347+AU347)/7)</f>
        <v/>
      </c>
      <c r="BF347" s="344">
        <f>IF(AO347=0,"",IF(E347="S","",IF(AND(AP347=0,$A347=TODAY()),"",IF(E347="M",BE347,BD347))))</f>
        <v/>
      </c>
      <c r="BG347" s="344">
        <f>IF(AO347=0,"",IFERROR(AVERAGEIFS(Data!$BF$4:$BF$375,Data!$A$4:$A$375,"&gt;"&amp;($A347-7),Data!$A$4:$A$375,"&lt;="&amp;$A347),""))</f>
        <v/>
      </c>
      <c r="BH347" s="344">
        <f>IF(AO347=0,"",IFERROR(AVERAGEIFS(Data!$BF$4:$BF$375,Data!$A$4:$A$375,"&gt;"&amp;($A347-30),Data!$A$4:$A$375,"&lt;="&amp;$A347),""))</f>
        <v/>
      </c>
      <c r="BI347" s="359">
        <f>IF($A347="","",IFERROR(AVERAGEIFS(Data!$AF$4:$AF$375,Data!$A$4:$A$375,"&gt;"&amp;($A347-7),Data!$A$4:$A$375,"&lt;="&amp;$A347,Data!$AF$4:$AF$375,"&gt;0"),""))</f>
        <v/>
      </c>
      <c r="BJ347" s="345">
        <f>IF($A347="","",F347+G347+H347+I347+J347+K347+L347+M347+N347-IF(AS347=1,0,J347))</f>
        <v/>
      </c>
      <c r="BK347" s="345">
        <f>IF($A347="","",8+AS347)</f>
        <v/>
      </c>
      <c r="BL347" s="345">
        <f>IF(ISNUMBER(BF347),BF347,NA())</f>
        <v/>
      </c>
      <c r="BM347" s="345">
        <f>IF(ISNUMBER(AF347),AF347,NA())</f>
        <v/>
      </c>
      <c r="BN347" s="345">
        <f>IF(ISNUMBER(BI347),BI347,NA())</f>
        <v/>
      </c>
      <c r="BO347" s="345">
        <f>IF(ISNUMBER(AL347),AL347,NA())</f>
        <v/>
      </c>
      <c r="BP347" s="345">
        <f>IF(ISNUMBER(AM347),AM347,NA())</f>
        <v/>
      </c>
      <c r="BQ347" s="345">
        <f>IF(ISNUMBER(AN347),AN347,NA())</f>
        <v/>
      </c>
    </row>
    <row r="348">
      <c r="A348" s="358">
        <f>IF('Sep 2027'!H7="","",'Sep 2027'!H7)</f>
        <v/>
      </c>
      <c r="B348" s="345" t="n">
        <v>12</v>
      </c>
      <c r="C348" s="345">
        <f>IF($A348="","",4)</f>
        <v/>
      </c>
      <c r="D348" s="345">
        <f>IF($A348="","",WEEKDAY($A348,2))</f>
        <v/>
      </c>
      <c r="E348" s="345">
        <f>IF($A348="","",UPPER(TRIM('Sep 2027'!H8)))</f>
        <v/>
      </c>
      <c r="F348" s="345">
        <f>IF($A348="","",IF(OR('Sep 2027'!H10=TRUE,'Sep 2027'!H10="x",'Sep 2027'!H10="X"),1,0))</f>
        <v/>
      </c>
      <c r="G348" s="345">
        <f>IF($A348="","",IF(OR('Sep 2027'!H11=TRUE,'Sep 2027'!H11="x",'Sep 2027'!H11="X"),1,0))</f>
        <v/>
      </c>
      <c r="H348" s="345">
        <f>IF($A348="","",IF(OR('Sep 2027'!H12=TRUE,'Sep 2027'!H12="x",'Sep 2027'!H12="X"),1,0))</f>
        <v/>
      </c>
      <c r="I348" s="345">
        <f>IF($A348="","",IF(OR('Sep 2027'!H13=TRUE,'Sep 2027'!H13="x",'Sep 2027'!H13="X"),1,0))</f>
        <v/>
      </c>
      <c r="J348" s="345">
        <f>IF($A348="","",IF(OR('Sep 2027'!H14=TRUE,'Sep 2027'!H14="x",'Sep 2027'!H14="X"),1,0))</f>
        <v/>
      </c>
      <c r="K348" s="345">
        <f>IF($A348="","",IF(OR('Sep 2027'!H15=TRUE,'Sep 2027'!H15="x",'Sep 2027'!H15="X"),1,0))</f>
        <v/>
      </c>
      <c r="L348" s="345">
        <f>IF($A348="","",IF(OR('Sep 2027'!H16=TRUE,'Sep 2027'!H16="x",'Sep 2027'!H16="X"),1,0))</f>
        <v/>
      </c>
      <c r="M348" s="345">
        <f>IF($A348="","",IF(OR('Sep 2027'!H17=TRUE,'Sep 2027'!H17="x",'Sep 2027'!H17="X"),1,0))</f>
        <v/>
      </c>
      <c r="N348" s="345">
        <f>IF($A348="","",IF(OR('Sep 2027'!H18=TRUE,'Sep 2027'!H18="x",'Sep 2027'!H18="X"),1,0))</f>
        <v/>
      </c>
      <c r="O348" s="345">
        <f>IF($A348="","",IF(OR('Sep 2027'!H20=TRUE,'Sep 2027'!H20="x",'Sep 2027'!H20="X"),1,0))</f>
        <v/>
      </c>
      <c r="P348" s="345">
        <f>IF($A348="","",IF(OR('Sep 2027'!H21=TRUE,'Sep 2027'!H21="x",'Sep 2027'!H21="X"),1,0))</f>
        <v/>
      </c>
      <c r="Q348" s="345">
        <f>IF($A348="","",IF(OR('Sep 2027'!H22=TRUE,'Sep 2027'!H22="x",'Sep 2027'!H22="X"),1,0))</f>
        <v/>
      </c>
      <c r="R348" s="345">
        <f>IF($A348="","",IF(OR('Sep 2027'!H23=TRUE,'Sep 2027'!H23="x",'Sep 2027'!H23="X"),1,0))</f>
        <v/>
      </c>
      <c r="S348" s="345">
        <f>IF($A348="","",IF(OR('Sep 2027'!H24=TRUE,'Sep 2027'!H24="x",'Sep 2027'!H24="X"),1,0))</f>
        <v/>
      </c>
      <c r="T348" s="345">
        <f>IF($A348="","",IF(OR('Sep 2027'!H25=TRUE,'Sep 2027'!H25="x",'Sep 2027'!H25="X"),1,0))</f>
        <v/>
      </c>
      <c r="U348" s="345">
        <f>IF($A348="","",IF(OR('Sep 2027'!H26=TRUE,'Sep 2027'!H26="x",'Sep 2027'!H26="X"),1,0))</f>
        <v/>
      </c>
      <c r="V348" s="345">
        <f>IF($A348="","",IF(OR('Sep 2027'!H27=TRUE,'Sep 2027'!H27="x",'Sep 2027'!H27="X"),1,0))</f>
        <v/>
      </c>
      <c r="W348" s="345">
        <f>IF($A348="","",IF(OR('Sep 2027'!H28=TRUE,'Sep 2027'!H28="x",'Sep 2027'!H28="X"),1,0))</f>
        <v/>
      </c>
      <c r="X348" s="345">
        <f>IF($A348="","",IF(OR('Sep 2027'!H29=TRUE,'Sep 2027'!H29="x",'Sep 2027'!H29="X"),1,0))</f>
        <v/>
      </c>
      <c r="Y348" s="345">
        <f>IF($A348="","",IF(OR('Sep 2027'!H30=TRUE,'Sep 2027'!H30="x",'Sep 2027'!H30="X"),1,0))</f>
        <v/>
      </c>
      <c r="Z348" s="345">
        <f>IF($A348="","",IF(OR('Sep 2027'!H31=TRUE,'Sep 2027'!H31="x",'Sep 2027'!H31="X"),1,0))</f>
        <v/>
      </c>
      <c r="AA348" s="345">
        <f>IF($A348="","",IF(OR('Sep 2027'!H32=TRUE,'Sep 2027'!H32="x",'Sep 2027'!H32="X"),1,0))</f>
        <v/>
      </c>
      <c r="AB348" s="345">
        <f>IF($A348="","",IF(OR('Sep 2027'!H34=TRUE,'Sep 2027'!H34="x",'Sep 2027'!H34="X"),1,0))</f>
        <v/>
      </c>
      <c r="AC348" s="345">
        <f>IF($A348="","",IF(OR('Sep 2027'!H35=TRUE,'Sep 2027'!H35="x",'Sep 2027'!H35="X"),1,0))</f>
        <v/>
      </c>
      <c r="AD348" s="345">
        <f>IF($A348="","",IF(OR('Sep 2027'!H36=TRUE,'Sep 2027'!H36="x",'Sep 2027'!H36="X"),1,0))</f>
        <v/>
      </c>
      <c r="AE348" s="345">
        <f>IF($A348="","",IF(OR('Sep 2027'!H37=TRUE,'Sep 2027'!H37="x",'Sep 2027'!H37="X"),1,0))</f>
        <v/>
      </c>
      <c r="AF348" s="345">
        <f>IF($A348="","",IF('Sep 2027'!H59="","",'Sep 2027'!H59))</f>
        <v/>
      </c>
      <c r="AG348" s="345">
        <f>IF($A348="","",IF('Sep 2027'!H60="","",'Sep 2027'!H60))</f>
        <v/>
      </c>
      <c r="AH348" s="345">
        <f>IF($A348="","",IF('Sep 2027'!H61="","",'Sep 2027'!H61))</f>
        <v/>
      </c>
      <c r="AI348" s="345">
        <f>IF($A348="","",IF('Sep 2027'!H62="","",'Sep 2027'!H62))</f>
        <v/>
      </c>
      <c r="AJ348" s="345">
        <f>IF($A348="","",IF('Sep 2027'!H63="","",'Sep 2027'!H63))</f>
        <v/>
      </c>
      <c r="AK348" s="345">
        <f>IF($A348="","",IF('Sep 2027'!H64="","",'Sep 2027'!H64))</f>
        <v/>
      </c>
      <c r="AL348" s="345">
        <f>IF($A348="","",IF('Sep 2027'!H65="","",'Sep 2027'!H65))</f>
        <v/>
      </c>
      <c r="AM348" s="345">
        <f>IF($A348="","",IF('Sep 2027'!H66="","",'Sep 2027'!H66))</f>
        <v/>
      </c>
      <c r="AN348" s="345">
        <f>IF($A348="","",IF('Sep 2027'!H67="","",'Sep 2027'!H67))</f>
        <v/>
      </c>
      <c r="AO348" s="345">
        <f>IF($A348="",0,IF(AND($A348&gt;=TrackStart,$A348&lt;=TODAY()),1,0))</f>
        <v/>
      </c>
      <c r="AP348" s="345">
        <f>IF($A348="",0,IF(SUM(F348:AE348)+COUNT(AF348:AN348)&gt;0,1,0))</f>
        <v/>
      </c>
      <c r="AQ348" s="345">
        <f>IF($A348="","",INT(($A348-TrackStart)/7)+1)</f>
        <v/>
      </c>
      <c r="AR348" s="345">
        <f>IF($A348="","",IF(AQ348&lt;=1,Steps1,IF(AQ348=2,Steps2,Steps3)))</f>
        <v/>
      </c>
      <c r="AS348" s="345">
        <f>IF($A348="",0,IF(ISNUMBER(SEARCH(TEXT(D348,"0"),WorkDays&amp;"")),1,0))</f>
        <v/>
      </c>
      <c r="AT348" s="345">
        <f>IF($A348="",0,IF(ISNUMBER(SEARCH(TEXT(D348,"0"),StrDays&amp;"")),1,0))</f>
        <v/>
      </c>
      <c r="AU348" s="345">
        <f>IF($A348="",0,IF(ISNUMBER(AK348),IF(AK348&gt;=SleepMin,1,0),N348))</f>
        <v/>
      </c>
      <c r="AV348" s="345">
        <f>IF($A348="",0,MAX(I348,O348,S348,AC348))</f>
        <v/>
      </c>
      <c r="AW348" s="345">
        <f>IF($A348="",0,IF(ISNUMBER(AH348),IF(AH348&gt;=ProtHit,1,0),0))</f>
        <v/>
      </c>
      <c r="AX348" s="345">
        <f>IF($A348="",0,IF(ISNUMBER(AI348),IF(AI348&gt;=WaterHit,1,0),0))</f>
        <v/>
      </c>
      <c r="AY348" s="345">
        <f>IF($A348="",0,IF(ISNUMBER(AG348),IF(AG348&gt;=AR348,1,0),0))</f>
        <v/>
      </c>
      <c r="AZ348" s="345">
        <f>IF($A348="",0,G348)</f>
        <v/>
      </c>
      <c r="BA348" s="345">
        <f>IF($A348="",0,J348)</f>
        <v/>
      </c>
      <c r="BB348" s="345">
        <f>IF($A348="",0,K348)</f>
        <v/>
      </c>
      <c r="BC348" s="345">
        <f>IF($A348="",0,MAX(L348,AE348))</f>
        <v/>
      </c>
      <c r="BD348" s="344">
        <f>IF($A348="","",(AU348+AV348+AW348+AX348+AY348+AZ348+BB348+BC348+IF(AS348=1,BA348,0))/(8+AS348))</f>
        <v/>
      </c>
      <c r="BE348" s="344">
        <f>IF($A348="","",(IF(ISNUMBER(AI348),IF(AI348&gt;=WaterMVD,1,0),0)+AV348+IF(ISNUMBER(AH348),IF(AH348&gt;=ProtMVD,1,0),0)+MAX(H348,AD348)+AZ348+BB348+AU348)/7)</f>
        <v/>
      </c>
      <c r="BF348" s="344">
        <f>IF(AO348=0,"",IF(E348="S","",IF(AND(AP348=0,$A348=TODAY()),"",IF(E348="M",BE348,BD348))))</f>
        <v/>
      </c>
      <c r="BG348" s="344">
        <f>IF(AO348=0,"",IFERROR(AVERAGEIFS(Data!$BF$4:$BF$375,Data!$A$4:$A$375,"&gt;"&amp;($A348-7),Data!$A$4:$A$375,"&lt;="&amp;$A348),""))</f>
        <v/>
      </c>
      <c r="BH348" s="344">
        <f>IF(AO348=0,"",IFERROR(AVERAGEIFS(Data!$BF$4:$BF$375,Data!$A$4:$A$375,"&gt;"&amp;($A348-30),Data!$A$4:$A$375,"&lt;="&amp;$A348),""))</f>
        <v/>
      </c>
      <c r="BI348" s="359">
        <f>IF($A348="","",IFERROR(AVERAGEIFS(Data!$AF$4:$AF$375,Data!$A$4:$A$375,"&gt;"&amp;($A348-7),Data!$A$4:$A$375,"&lt;="&amp;$A348,Data!$AF$4:$AF$375,"&gt;0"),""))</f>
        <v/>
      </c>
      <c r="BJ348" s="345">
        <f>IF($A348="","",F348+G348+H348+I348+J348+K348+L348+M348+N348-IF(AS348=1,0,J348))</f>
        <v/>
      </c>
      <c r="BK348" s="345">
        <f>IF($A348="","",8+AS348)</f>
        <v/>
      </c>
      <c r="BL348" s="345">
        <f>IF(ISNUMBER(BF348),BF348,NA())</f>
        <v/>
      </c>
      <c r="BM348" s="345">
        <f>IF(ISNUMBER(AF348),AF348,NA())</f>
        <v/>
      </c>
      <c r="BN348" s="345">
        <f>IF(ISNUMBER(BI348),BI348,NA())</f>
        <v/>
      </c>
      <c r="BO348" s="345">
        <f>IF(ISNUMBER(AL348),AL348,NA())</f>
        <v/>
      </c>
      <c r="BP348" s="345">
        <f>IF(ISNUMBER(AM348),AM348,NA())</f>
        <v/>
      </c>
      <c r="BQ348" s="345">
        <f>IF(ISNUMBER(AN348),AN348,NA())</f>
        <v/>
      </c>
    </row>
    <row r="349">
      <c r="A349" s="358">
        <f>IF('Sep 2027'!I7="","",'Sep 2027'!I7)</f>
        <v/>
      </c>
      <c r="B349" s="345" t="n">
        <v>12</v>
      </c>
      <c r="C349" s="345">
        <f>IF($A349="","",5)</f>
        <v/>
      </c>
      <c r="D349" s="345">
        <f>IF($A349="","",WEEKDAY($A349,2))</f>
        <v/>
      </c>
      <c r="E349" s="345">
        <f>IF($A349="","",UPPER(TRIM('Sep 2027'!I8)))</f>
        <v/>
      </c>
      <c r="F349" s="345">
        <f>IF($A349="","",IF(OR('Sep 2027'!I10=TRUE,'Sep 2027'!I10="x",'Sep 2027'!I10="X"),1,0))</f>
        <v/>
      </c>
      <c r="G349" s="345">
        <f>IF($A349="","",IF(OR('Sep 2027'!I11=TRUE,'Sep 2027'!I11="x",'Sep 2027'!I11="X"),1,0))</f>
        <v/>
      </c>
      <c r="H349" s="345">
        <f>IF($A349="","",IF(OR('Sep 2027'!I12=TRUE,'Sep 2027'!I12="x",'Sep 2027'!I12="X"),1,0))</f>
        <v/>
      </c>
      <c r="I349" s="345">
        <f>IF($A349="","",IF(OR('Sep 2027'!I13=TRUE,'Sep 2027'!I13="x",'Sep 2027'!I13="X"),1,0))</f>
        <v/>
      </c>
      <c r="J349" s="345">
        <f>IF($A349="","",IF(OR('Sep 2027'!I14=TRUE,'Sep 2027'!I14="x",'Sep 2027'!I14="X"),1,0))</f>
        <v/>
      </c>
      <c r="K349" s="345">
        <f>IF($A349="","",IF(OR('Sep 2027'!I15=TRUE,'Sep 2027'!I15="x",'Sep 2027'!I15="X"),1,0))</f>
        <v/>
      </c>
      <c r="L349" s="345">
        <f>IF($A349="","",IF(OR('Sep 2027'!I16=TRUE,'Sep 2027'!I16="x",'Sep 2027'!I16="X"),1,0))</f>
        <v/>
      </c>
      <c r="M349" s="345">
        <f>IF($A349="","",IF(OR('Sep 2027'!I17=TRUE,'Sep 2027'!I17="x",'Sep 2027'!I17="X"),1,0))</f>
        <v/>
      </c>
      <c r="N349" s="345">
        <f>IF($A349="","",IF(OR('Sep 2027'!I18=TRUE,'Sep 2027'!I18="x",'Sep 2027'!I18="X"),1,0))</f>
        <v/>
      </c>
      <c r="O349" s="345">
        <f>IF($A349="","",IF(OR('Sep 2027'!I20=TRUE,'Sep 2027'!I20="x",'Sep 2027'!I20="X"),1,0))</f>
        <v/>
      </c>
      <c r="P349" s="345">
        <f>IF($A349="","",IF(OR('Sep 2027'!I21=TRUE,'Sep 2027'!I21="x",'Sep 2027'!I21="X"),1,0))</f>
        <v/>
      </c>
      <c r="Q349" s="345">
        <f>IF($A349="","",IF(OR('Sep 2027'!I22=TRUE,'Sep 2027'!I22="x",'Sep 2027'!I22="X"),1,0))</f>
        <v/>
      </c>
      <c r="R349" s="345">
        <f>IF($A349="","",IF(OR('Sep 2027'!I23=TRUE,'Sep 2027'!I23="x",'Sep 2027'!I23="X"),1,0))</f>
        <v/>
      </c>
      <c r="S349" s="345">
        <f>IF($A349="","",IF(OR('Sep 2027'!I24=TRUE,'Sep 2027'!I24="x",'Sep 2027'!I24="X"),1,0))</f>
        <v/>
      </c>
      <c r="T349" s="345">
        <f>IF($A349="","",IF(OR('Sep 2027'!I25=TRUE,'Sep 2027'!I25="x",'Sep 2027'!I25="X"),1,0))</f>
        <v/>
      </c>
      <c r="U349" s="345">
        <f>IF($A349="","",IF(OR('Sep 2027'!I26=TRUE,'Sep 2027'!I26="x",'Sep 2027'!I26="X"),1,0))</f>
        <v/>
      </c>
      <c r="V349" s="345">
        <f>IF($A349="","",IF(OR('Sep 2027'!I27=TRUE,'Sep 2027'!I27="x",'Sep 2027'!I27="X"),1,0))</f>
        <v/>
      </c>
      <c r="W349" s="345">
        <f>IF($A349="","",IF(OR('Sep 2027'!I28=TRUE,'Sep 2027'!I28="x",'Sep 2027'!I28="X"),1,0))</f>
        <v/>
      </c>
      <c r="X349" s="345">
        <f>IF($A349="","",IF(OR('Sep 2027'!I29=TRUE,'Sep 2027'!I29="x",'Sep 2027'!I29="X"),1,0))</f>
        <v/>
      </c>
      <c r="Y349" s="345">
        <f>IF($A349="","",IF(OR('Sep 2027'!I30=TRUE,'Sep 2027'!I30="x",'Sep 2027'!I30="X"),1,0))</f>
        <v/>
      </c>
      <c r="Z349" s="345">
        <f>IF($A349="","",IF(OR('Sep 2027'!I31=TRUE,'Sep 2027'!I31="x",'Sep 2027'!I31="X"),1,0))</f>
        <v/>
      </c>
      <c r="AA349" s="345">
        <f>IF($A349="","",IF(OR('Sep 2027'!I32=TRUE,'Sep 2027'!I32="x",'Sep 2027'!I32="X"),1,0))</f>
        <v/>
      </c>
      <c r="AB349" s="345">
        <f>IF($A349="","",IF(OR('Sep 2027'!I34=TRUE,'Sep 2027'!I34="x",'Sep 2027'!I34="X"),1,0))</f>
        <v/>
      </c>
      <c r="AC349" s="345">
        <f>IF($A349="","",IF(OR('Sep 2027'!I35=TRUE,'Sep 2027'!I35="x",'Sep 2027'!I35="X"),1,0))</f>
        <v/>
      </c>
      <c r="AD349" s="345">
        <f>IF($A349="","",IF(OR('Sep 2027'!I36=TRUE,'Sep 2027'!I36="x",'Sep 2027'!I36="X"),1,0))</f>
        <v/>
      </c>
      <c r="AE349" s="345">
        <f>IF($A349="","",IF(OR('Sep 2027'!I37=TRUE,'Sep 2027'!I37="x",'Sep 2027'!I37="X"),1,0))</f>
        <v/>
      </c>
      <c r="AF349" s="345">
        <f>IF($A349="","",IF('Sep 2027'!I59="","",'Sep 2027'!I59))</f>
        <v/>
      </c>
      <c r="AG349" s="345">
        <f>IF($A349="","",IF('Sep 2027'!I60="","",'Sep 2027'!I60))</f>
        <v/>
      </c>
      <c r="AH349" s="345">
        <f>IF($A349="","",IF('Sep 2027'!I61="","",'Sep 2027'!I61))</f>
        <v/>
      </c>
      <c r="AI349" s="345">
        <f>IF($A349="","",IF('Sep 2027'!I62="","",'Sep 2027'!I62))</f>
        <v/>
      </c>
      <c r="AJ349" s="345">
        <f>IF($A349="","",IF('Sep 2027'!I63="","",'Sep 2027'!I63))</f>
        <v/>
      </c>
      <c r="AK349" s="345">
        <f>IF($A349="","",IF('Sep 2027'!I64="","",'Sep 2027'!I64))</f>
        <v/>
      </c>
      <c r="AL349" s="345">
        <f>IF($A349="","",IF('Sep 2027'!I65="","",'Sep 2027'!I65))</f>
        <v/>
      </c>
      <c r="AM349" s="345">
        <f>IF($A349="","",IF('Sep 2027'!I66="","",'Sep 2027'!I66))</f>
        <v/>
      </c>
      <c r="AN349" s="345">
        <f>IF($A349="","",IF('Sep 2027'!I67="","",'Sep 2027'!I67))</f>
        <v/>
      </c>
      <c r="AO349" s="345">
        <f>IF($A349="",0,IF(AND($A349&gt;=TrackStart,$A349&lt;=TODAY()),1,0))</f>
        <v/>
      </c>
      <c r="AP349" s="345">
        <f>IF($A349="",0,IF(SUM(F349:AE349)+COUNT(AF349:AN349)&gt;0,1,0))</f>
        <v/>
      </c>
      <c r="AQ349" s="345">
        <f>IF($A349="","",INT(($A349-TrackStart)/7)+1)</f>
        <v/>
      </c>
      <c r="AR349" s="345">
        <f>IF($A349="","",IF(AQ349&lt;=1,Steps1,IF(AQ349=2,Steps2,Steps3)))</f>
        <v/>
      </c>
      <c r="AS349" s="345">
        <f>IF($A349="",0,IF(ISNUMBER(SEARCH(TEXT(D349,"0"),WorkDays&amp;"")),1,0))</f>
        <v/>
      </c>
      <c r="AT349" s="345">
        <f>IF($A349="",0,IF(ISNUMBER(SEARCH(TEXT(D349,"0"),StrDays&amp;"")),1,0))</f>
        <v/>
      </c>
      <c r="AU349" s="345">
        <f>IF($A349="",0,IF(ISNUMBER(AK349),IF(AK349&gt;=SleepMin,1,0),N349))</f>
        <v/>
      </c>
      <c r="AV349" s="345">
        <f>IF($A349="",0,MAX(I349,O349,S349,AC349))</f>
        <v/>
      </c>
      <c r="AW349" s="345">
        <f>IF($A349="",0,IF(ISNUMBER(AH349),IF(AH349&gt;=ProtHit,1,0),0))</f>
        <v/>
      </c>
      <c r="AX349" s="345">
        <f>IF($A349="",0,IF(ISNUMBER(AI349),IF(AI349&gt;=WaterHit,1,0),0))</f>
        <v/>
      </c>
      <c r="AY349" s="345">
        <f>IF($A349="",0,IF(ISNUMBER(AG349),IF(AG349&gt;=AR349,1,0),0))</f>
        <v/>
      </c>
      <c r="AZ349" s="345">
        <f>IF($A349="",0,G349)</f>
        <v/>
      </c>
      <c r="BA349" s="345">
        <f>IF($A349="",0,J349)</f>
        <v/>
      </c>
      <c r="BB349" s="345">
        <f>IF($A349="",0,K349)</f>
        <v/>
      </c>
      <c r="BC349" s="345">
        <f>IF($A349="",0,MAX(L349,AE349))</f>
        <v/>
      </c>
      <c r="BD349" s="344">
        <f>IF($A349="","",(AU349+AV349+AW349+AX349+AY349+AZ349+BB349+BC349+IF(AS349=1,BA349,0))/(8+AS349))</f>
        <v/>
      </c>
      <c r="BE349" s="344">
        <f>IF($A349="","",(IF(ISNUMBER(AI349),IF(AI349&gt;=WaterMVD,1,0),0)+AV349+IF(ISNUMBER(AH349),IF(AH349&gt;=ProtMVD,1,0),0)+MAX(H349,AD349)+AZ349+BB349+AU349)/7)</f>
        <v/>
      </c>
      <c r="BF349" s="344">
        <f>IF(AO349=0,"",IF(E349="S","",IF(AND(AP349=0,$A349=TODAY()),"",IF(E349="M",BE349,BD349))))</f>
        <v/>
      </c>
      <c r="BG349" s="344">
        <f>IF(AO349=0,"",IFERROR(AVERAGEIFS(Data!$BF$4:$BF$375,Data!$A$4:$A$375,"&gt;"&amp;($A349-7),Data!$A$4:$A$375,"&lt;="&amp;$A349),""))</f>
        <v/>
      </c>
      <c r="BH349" s="344">
        <f>IF(AO349=0,"",IFERROR(AVERAGEIFS(Data!$BF$4:$BF$375,Data!$A$4:$A$375,"&gt;"&amp;($A349-30),Data!$A$4:$A$375,"&lt;="&amp;$A349),""))</f>
        <v/>
      </c>
      <c r="BI349" s="359">
        <f>IF($A349="","",IFERROR(AVERAGEIFS(Data!$AF$4:$AF$375,Data!$A$4:$A$375,"&gt;"&amp;($A349-7),Data!$A$4:$A$375,"&lt;="&amp;$A349,Data!$AF$4:$AF$375,"&gt;0"),""))</f>
        <v/>
      </c>
      <c r="BJ349" s="345">
        <f>IF($A349="","",F349+G349+H349+I349+J349+K349+L349+M349+N349-IF(AS349=1,0,J349))</f>
        <v/>
      </c>
      <c r="BK349" s="345">
        <f>IF($A349="","",8+AS349)</f>
        <v/>
      </c>
      <c r="BL349" s="345">
        <f>IF(ISNUMBER(BF349),BF349,NA())</f>
        <v/>
      </c>
      <c r="BM349" s="345">
        <f>IF(ISNUMBER(AF349),AF349,NA())</f>
        <v/>
      </c>
      <c r="BN349" s="345">
        <f>IF(ISNUMBER(BI349),BI349,NA())</f>
        <v/>
      </c>
      <c r="BO349" s="345">
        <f>IF(ISNUMBER(AL349),AL349,NA())</f>
        <v/>
      </c>
      <c r="BP349" s="345">
        <f>IF(ISNUMBER(AM349),AM349,NA())</f>
        <v/>
      </c>
      <c r="BQ349" s="345">
        <f>IF(ISNUMBER(AN349),AN349,NA())</f>
        <v/>
      </c>
    </row>
    <row r="350">
      <c r="A350" s="358">
        <f>IF('Sep 2027'!J7="","",'Sep 2027'!J7)</f>
        <v/>
      </c>
      <c r="B350" s="345" t="n">
        <v>12</v>
      </c>
      <c r="C350" s="345">
        <f>IF($A350="","",6)</f>
        <v/>
      </c>
      <c r="D350" s="345">
        <f>IF($A350="","",WEEKDAY($A350,2))</f>
        <v/>
      </c>
      <c r="E350" s="345">
        <f>IF($A350="","",UPPER(TRIM('Sep 2027'!J8)))</f>
        <v/>
      </c>
      <c r="F350" s="345">
        <f>IF($A350="","",IF(OR('Sep 2027'!J10=TRUE,'Sep 2027'!J10="x",'Sep 2027'!J10="X"),1,0))</f>
        <v/>
      </c>
      <c r="G350" s="345">
        <f>IF($A350="","",IF(OR('Sep 2027'!J11=TRUE,'Sep 2027'!J11="x",'Sep 2027'!J11="X"),1,0))</f>
        <v/>
      </c>
      <c r="H350" s="345">
        <f>IF($A350="","",IF(OR('Sep 2027'!J12=TRUE,'Sep 2027'!J12="x",'Sep 2027'!J12="X"),1,0))</f>
        <v/>
      </c>
      <c r="I350" s="345">
        <f>IF($A350="","",IF(OR('Sep 2027'!J13=TRUE,'Sep 2027'!J13="x",'Sep 2027'!J13="X"),1,0))</f>
        <v/>
      </c>
      <c r="J350" s="345">
        <f>IF($A350="","",IF(OR('Sep 2027'!J14=TRUE,'Sep 2027'!J14="x",'Sep 2027'!J14="X"),1,0))</f>
        <v/>
      </c>
      <c r="K350" s="345">
        <f>IF($A350="","",IF(OR('Sep 2027'!J15=TRUE,'Sep 2027'!J15="x",'Sep 2027'!J15="X"),1,0))</f>
        <v/>
      </c>
      <c r="L350" s="345">
        <f>IF($A350="","",IF(OR('Sep 2027'!J16=TRUE,'Sep 2027'!J16="x",'Sep 2027'!J16="X"),1,0))</f>
        <v/>
      </c>
      <c r="M350" s="345">
        <f>IF($A350="","",IF(OR('Sep 2027'!J17=TRUE,'Sep 2027'!J17="x",'Sep 2027'!J17="X"),1,0))</f>
        <v/>
      </c>
      <c r="N350" s="345">
        <f>IF($A350="","",IF(OR('Sep 2027'!J18=TRUE,'Sep 2027'!J18="x",'Sep 2027'!J18="X"),1,0))</f>
        <v/>
      </c>
      <c r="O350" s="345">
        <f>IF($A350="","",IF(OR('Sep 2027'!J20=TRUE,'Sep 2027'!J20="x",'Sep 2027'!J20="X"),1,0))</f>
        <v/>
      </c>
      <c r="P350" s="345">
        <f>IF($A350="","",IF(OR('Sep 2027'!J21=TRUE,'Sep 2027'!J21="x",'Sep 2027'!J21="X"),1,0))</f>
        <v/>
      </c>
      <c r="Q350" s="345">
        <f>IF($A350="","",IF(OR('Sep 2027'!J22=TRUE,'Sep 2027'!J22="x",'Sep 2027'!J22="X"),1,0))</f>
        <v/>
      </c>
      <c r="R350" s="345">
        <f>IF($A350="","",IF(OR('Sep 2027'!J23=TRUE,'Sep 2027'!J23="x",'Sep 2027'!J23="X"),1,0))</f>
        <v/>
      </c>
      <c r="S350" s="345">
        <f>IF($A350="","",IF(OR('Sep 2027'!J24=TRUE,'Sep 2027'!J24="x",'Sep 2027'!J24="X"),1,0))</f>
        <v/>
      </c>
      <c r="T350" s="345">
        <f>IF($A350="","",IF(OR('Sep 2027'!J25=TRUE,'Sep 2027'!J25="x",'Sep 2027'!J25="X"),1,0))</f>
        <v/>
      </c>
      <c r="U350" s="345">
        <f>IF($A350="","",IF(OR('Sep 2027'!J26=TRUE,'Sep 2027'!J26="x",'Sep 2027'!J26="X"),1,0))</f>
        <v/>
      </c>
      <c r="V350" s="345">
        <f>IF($A350="","",IF(OR('Sep 2027'!J27=TRUE,'Sep 2027'!J27="x",'Sep 2027'!J27="X"),1,0))</f>
        <v/>
      </c>
      <c r="W350" s="345">
        <f>IF($A350="","",IF(OR('Sep 2027'!J28=TRUE,'Sep 2027'!J28="x",'Sep 2027'!J28="X"),1,0))</f>
        <v/>
      </c>
      <c r="X350" s="345">
        <f>IF($A350="","",IF(OR('Sep 2027'!J29=TRUE,'Sep 2027'!J29="x",'Sep 2027'!J29="X"),1,0))</f>
        <v/>
      </c>
      <c r="Y350" s="345">
        <f>IF($A350="","",IF(OR('Sep 2027'!J30=TRUE,'Sep 2027'!J30="x",'Sep 2027'!J30="X"),1,0))</f>
        <v/>
      </c>
      <c r="Z350" s="345">
        <f>IF($A350="","",IF(OR('Sep 2027'!J31=TRUE,'Sep 2027'!J31="x",'Sep 2027'!J31="X"),1,0))</f>
        <v/>
      </c>
      <c r="AA350" s="345">
        <f>IF($A350="","",IF(OR('Sep 2027'!J32=TRUE,'Sep 2027'!J32="x",'Sep 2027'!J32="X"),1,0))</f>
        <v/>
      </c>
      <c r="AB350" s="345">
        <f>IF($A350="","",IF(OR('Sep 2027'!J34=TRUE,'Sep 2027'!J34="x",'Sep 2027'!J34="X"),1,0))</f>
        <v/>
      </c>
      <c r="AC350" s="345">
        <f>IF($A350="","",IF(OR('Sep 2027'!J35=TRUE,'Sep 2027'!J35="x",'Sep 2027'!J35="X"),1,0))</f>
        <v/>
      </c>
      <c r="AD350" s="345">
        <f>IF($A350="","",IF(OR('Sep 2027'!J36=TRUE,'Sep 2027'!J36="x",'Sep 2027'!J36="X"),1,0))</f>
        <v/>
      </c>
      <c r="AE350" s="345">
        <f>IF($A350="","",IF(OR('Sep 2027'!J37=TRUE,'Sep 2027'!J37="x",'Sep 2027'!J37="X"),1,0))</f>
        <v/>
      </c>
      <c r="AF350" s="345">
        <f>IF($A350="","",IF('Sep 2027'!J59="","",'Sep 2027'!J59))</f>
        <v/>
      </c>
      <c r="AG350" s="345">
        <f>IF($A350="","",IF('Sep 2027'!J60="","",'Sep 2027'!J60))</f>
        <v/>
      </c>
      <c r="AH350" s="345">
        <f>IF($A350="","",IF('Sep 2027'!J61="","",'Sep 2027'!J61))</f>
        <v/>
      </c>
      <c r="AI350" s="345">
        <f>IF($A350="","",IF('Sep 2027'!J62="","",'Sep 2027'!J62))</f>
        <v/>
      </c>
      <c r="AJ350" s="345">
        <f>IF($A350="","",IF('Sep 2027'!J63="","",'Sep 2027'!J63))</f>
        <v/>
      </c>
      <c r="AK350" s="345">
        <f>IF($A350="","",IF('Sep 2027'!J64="","",'Sep 2027'!J64))</f>
        <v/>
      </c>
      <c r="AL350" s="345">
        <f>IF($A350="","",IF('Sep 2027'!J65="","",'Sep 2027'!J65))</f>
        <v/>
      </c>
      <c r="AM350" s="345">
        <f>IF($A350="","",IF('Sep 2027'!J66="","",'Sep 2027'!J66))</f>
        <v/>
      </c>
      <c r="AN350" s="345">
        <f>IF($A350="","",IF('Sep 2027'!J67="","",'Sep 2027'!J67))</f>
        <v/>
      </c>
      <c r="AO350" s="345">
        <f>IF($A350="",0,IF(AND($A350&gt;=TrackStart,$A350&lt;=TODAY()),1,0))</f>
        <v/>
      </c>
      <c r="AP350" s="345">
        <f>IF($A350="",0,IF(SUM(F350:AE350)+COUNT(AF350:AN350)&gt;0,1,0))</f>
        <v/>
      </c>
      <c r="AQ350" s="345">
        <f>IF($A350="","",INT(($A350-TrackStart)/7)+1)</f>
        <v/>
      </c>
      <c r="AR350" s="345">
        <f>IF($A350="","",IF(AQ350&lt;=1,Steps1,IF(AQ350=2,Steps2,Steps3)))</f>
        <v/>
      </c>
      <c r="AS350" s="345">
        <f>IF($A350="",0,IF(ISNUMBER(SEARCH(TEXT(D350,"0"),WorkDays&amp;"")),1,0))</f>
        <v/>
      </c>
      <c r="AT350" s="345">
        <f>IF($A350="",0,IF(ISNUMBER(SEARCH(TEXT(D350,"0"),StrDays&amp;"")),1,0))</f>
        <v/>
      </c>
      <c r="AU350" s="345">
        <f>IF($A350="",0,IF(ISNUMBER(AK350),IF(AK350&gt;=SleepMin,1,0),N350))</f>
        <v/>
      </c>
      <c r="AV350" s="345">
        <f>IF($A350="",0,MAX(I350,O350,S350,AC350))</f>
        <v/>
      </c>
      <c r="AW350" s="345">
        <f>IF($A350="",0,IF(ISNUMBER(AH350),IF(AH350&gt;=ProtHit,1,0),0))</f>
        <v/>
      </c>
      <c r="AX350" s="345">
        <f>IF($A350="",0,IF(ISNUMBER(AI350),IF(AI350&gt;=WaterHit,1,0),0))</f>
        <v/>
      </c>
      <c r="AY350" s="345">
        <f>IF($A350="",0,IF(ISNUMBER(AG350),IF(AG350&gt;=AR350,1,0),0))</f>
        <v/>
      </c>
      <c r="AZ350" s="345">
        <f>IF($A350="",0,G350)</f>
        <v/>
      </c>
      <c r="BA350" s="345">
        <f>IF($A350="",0,J350)</f>
        <v/>
      </c>
      <c r="BB350" s="345">
        <f>IF($A350="",0,K350)</f>
        <v/>
      </c>
      <c r="BC350" s="345">
        <f>IF($A350="",0,MAX(L350,AE350))</f>
        <v/>
      </c>
      <c r="BD350" s="344">
        <f>IF($A350="","",(AU350+AV350+AW350+AX350+AY350+AZ350+BB350+BC350+IF(AS350=1,BA350,0))/(8+AS350))</f>
        <v/>
      </c>
      <c r="BE350" s="344">
        <f>IF($A350="","",(IF(ISNUMBER(AI350),IF(AI350&gt;=WaterMVD,1,0),0)+AV350+IF(ISNUMBER(AH350),IF(AH350&gt;=ProtMVD,1,0),0)+MAX(H350,AD350)+AZ350+BB350+AU350)/7)</f>
        <v/>
      </c>
      <c r="BF350" s="344">
        <f>IF(AO350=0,"",IF(E350="S","",IF(AND(AP350=0,$A350=TODAY()),"",IF(E350="M",BE350,BD350))))</f>
        <v/>
      </c>
      <c r="BG350" s="344">
        <f>IF(AO350=0,"",IFERROR(AVERAGEIFS(Data!$BF$4:$BF$375,Data!$A$4:$A$375,"&gt;"&amp;($A350-7),Data!$A$4:$A$375,"&lt;="&amp;$A350),""))</f>
        <v/>
      </c>
      <c r="BH350" s="344">
        <f>IF(AO350=0,"",IFERROR(AVERAGEIFS(Data!$BF$4:$BF$375,Data!$A$4:$A$375,"&gt;"&amp;($A350-30),Data!$A$4:$A$375,"&lt;="&amp;$A350),""))</f>
        <v/>
      </c>
      <c r="BI350" s="359">
        <f>IF($A350="","",IFERROR(AVERAGEIFS(Data!$AF$4:$AF$375,Data!$A$4:$A$375,"&gt;"&amp;($A350-7),Data!$A$4:$A$375,"&lt;="&amp;$A350,Data!$AF$4:$AF$375,"&gt;0"),""))</f>
        <v/>
      </c>
      <c r="BJ350" s="345">
        <f>IF($A350="","",F350+G350+H350+I350+J350+K350+L350+M350+N350-IF(AS350=1,0,J350))</f>
        <v/>
      </c>
      <c r="BK350" s="345">
        <f>IF($A350="","",8+AS350)</f>
        <v/>
      </c>
      <c r="BL350" s="345">
        <f>IF(ISNUMBER(BF350),BF350,NA())</f>
        <v/>
      </c>
      <c r="BM350" s="345">
        <f>IF(ISNUMBER(AF350),AF350,NA())</f>
        <v/>
      </c>
      <c r="BN350" s="345">
        <f>IF(ISNUMBER(BI350),BI350,NA())</f>
        <v/>
      </c>
      <c r="BO350" s="345">
        <f>IF(ISNUMBER(AL350),AL350,NA())</f>
        <v/>
      </c>
      <c r="BP350" s="345">
        <f>IF(ISNUMBER(AM350),AM350,NA())</f>
        <v/>
      </c>
      <c r="BQ350" s="345">
        <f>IF(ISNUMBER(AN350),AN350,NA())</f>
        <v/>
      </c>
    </row>
    <row r="351">
      <c r="A351" s="358">
        <f>IF('Sep 2027'!K7="","",'Sep 2027'!K7)</f>
        <v/>
      </c>
      <c r="B351" s="345" t="n">
        <v>12</v>
      </c>
      <c r="C351" s="345">
        <f>IF($A351="","",7)</f>
        <v/>
      </c>
      <c r="D351" s="345">
        <f>IF($A351="","",WEEKDAY($A351,2))</f>
        <v/>
      </c>
      <c r="E351" s="345">
        <f>IF($A351="","",UPPER(TRIM('Sep 2027'!K8)))</f>
        <v/>
      </c>
      <c r="F351" s="345">
        <f>IF($A351="","",IF(OR('Sep 2027'!K10=TRUE,'Sep 2027'!K10="x",'Sep 2027'!K10="X"),1,0))</f>
        <v/>
      </c>
      <c r="G351" s="345">
        <f>IF($A351="","",IF(OR('Sep 2027'!K11=TRUE,'Sep 2027'!K11="x",'Sep 2027'!K11="X"),1,0))</f>
        <v/>
      </c>
      <c r="H351" s="345">
        <f>IF($A351="","",IF(OR('Sep 2027'!K12=TRUE,'Sep 2027'!K12="x",'Sep 2027'!K12="X"),1,0))</f>
        <v/>
      </c>
      <c r="I351" s="345">
        <f>IF($A351="","",IF(OR('Sep 2027'!K13=TRUE,'Sep 2027'!K13="x",'Sep 2027'!K13="X"),1,0))</f>
        <v/>
      </c>
      <c r="J351" s="345">
        <f>IF($A351="","",IF(OR('Sep 2027'!K14=TRUE,'Sep 2027'!K14="x",'Sep 2027'!K14="X"),1,0))</f>
        <v/>
      </c>
      <c r="K351" s="345">
        <f>IF($A351="","",IF(OR('Sep 2027'!K15=TRUE,'Sep 2027'!K15="x",'Sep 2027'!K15="X"),1,0))</f>
        <v/>
      </c>
      <c r="L351" s="345">
        <f>IF($A351="","",IF(OR('Sep 2027'!K16=TRUE,'Sep 2027'!K16="x",'Sep 2027'!K16="X"),1,0))</f>
        <v/>
      </c>
      <c r="M351" s="345">
        <f>IF($A351="","",IF(OR('Sep 2027'!K17=TRUE,'Sep 2027'!K17="x",'Sep 2027'!K17="X"),1,0))</f>
        <v/>
      </c>
      <c r="N351" s="345">
        <f>IF($A351="","",IF(OR('Sep 2027'!K18=TRUE,'Sep 2027'!K18="x",'Sep 2027'!K18="X"),1,0))</f>
        <v/>
      </c>
      <c r="O351" s="345">
        <f>IF($A351="","",IF(OR('Sep 2027'!K20=TRUE,'Sep 2027'!K20="x",'Sep 2027'!K20="X"),1,0))</f>
        <v/>
      </c>
      <c r="P351" s="345">
        <f>IF($A351="","",IF(OR('Sep 2027'!K21=TRUE,'Sep 2027'!K21="x",'Sep 2027'!K21="X"),1,0))</f>
        <v/>
      </c>
      <c r="Q351" s="345">
        <f>IF($A351="","",IF(OR('Sep 2027'!K22=TRUE,'Sep 2027'!K22="x",'Sep 2027'!K22="X"),1,0))</f>
        <v/>
      </c>
      <c r="R351" s="345">
        <f>IF($A351="","",IF(OR('Sep 2027'!K23=TRUE,'Sep 2027'!K23="x",'Sep 2027'!K23="X"),1,0))</f>
        <v/>
      </c>
      <c r="S351" s="345">
        <f>IF($A351="","",IF(OR('Sep 2027'!K24=TRUE,'Sep 2027'!K24="x",'Sep 2027'!K24="X"),1,0))</f>
        <v/>
      </c>
      <c r="T351" s="345">
        <f>IF($A351="","",IF(OR('Sep 2027'!K25=TRUE,'Sep 2027'!K25="x",'Sep 2027'!K25="X"),1,0))</f>
        <v/>
      </c>
      <c r="U351" s="345">
        <f>IF($A351="","",IF(OR('Sep 2027'!K26=TRUE,'Sep 2027'!K26="x",'Sep 2027'!K26="X"),1,0))</f>
        <v/>
      </c>
      <c r="V351" s="345">
        <f>IF($A351="","",IF(OR('Sep 2027'!K27=TRUE,'Sep 2027'!K27="x",'Sep 2027'!K27="X"),1,0))</f>
        <v/>
      </c>
      <c r="W351" s="345">
        <f>IF($A351="","",IF(OR('Sep 2027'!K28=TRUE,'Sep 2027'!K28="x",'Sep 2027'!K28="X"),1,0))</f>
        <v/>
      </c>
      <c r="X351" s="345">
        <f>IF($A351="","",IF(OR('Sep 2027'!K29=TRUE,'Sep 2027'!K29="x",'Sep 2027'!K29="X"),1,0))</f>
        <v/>
      </c>
      <c r="Y351" s="345">
        <f>IF($A351="","",IF(OR('Sep 2027'!K30=TRUE,'Sep 2027'!K30="x",'Sep 2027'!K30="X"),1,0))</f>
        <v/>
      </c>
      <c r="Z351" s="345">
        <f>IF($A351="","",IF(OR('Sep 2027'!K31=TRUE,'Sep 2027'!K31="x",'Sep 2027'!K31="X"),1,0))</f>
        <v/>
      </c>
      <c r="AA351" s="345">
        <f>IF($A351="","",IF(OR('Sep 2027'!K32=TRUE,'Sep 2027'!K32="x",'Sep 2027'!K32="X"),1,0))</f>
        <v/>
      </c>
      <c r="AB351" s="345">
        <f>IF($A351="","",IF(OR('Sep 2027'!K34=TRUE,'Sep 2027'!K34="x",'Sep 2027'!K34="X"),1,0))</f>
        <v/>
      </c>
      <c r="AC351" s="345">
        <f>IF($A351="","",IF(OR('Sep 2027'!K35=TRUE,'Sep 2027'!K35="x",'Sep 2027'!K35="X"),1,0))</f>
        <v/>
      </c>
      <c r="AD351" s="345">
        <f>IF($A351="","",IF(OR('Sep 2027'!K36=TRUE,'Sep 2027'!K36="x",'Sep 2027'!K36="X"),1,0))</f>
        <v/>
      </c>
      <c r="AE351" s="345">
        <f>IF($A351="","",IF(OR('Sep 2027'!K37=TRUE,'Sep 2027'!K37="x",'Sep 2027'!K37="X"),1,0))</f>
        <v/>
      </c>
      <c r="AF351" s="345">
        <f>IF($A351="","",IF('Sep 2027'!K59="","",'Sep 2027'!K59))</f>
        <v/>
      </c>
      <c r="AG351" s="345">
        <f>IF($A351="","",IF('Sep 2027'!K60="","",'Sep 2027'!K60))</f>
        <v/>
      </c>
      <c r="AH351" s="345">
        <f>IF($A351="","",IF('Sep 2027'!K61="","",'Sep 2027'!K61))</f>
        <v/>
      </c>
      <c r="AI351" s="345">
        <f>IF($A351="","",IF('Sep 2027'!K62="","",'Sep 2027'!K62))</f>
        <v/>
      </c>
      <c r="AJ351" s="345">
        <f>IF($A351="","",IF('Sep 2027'!K63="","",'Sep 2027'!K63))</f>
        <v/>
      </c>
      <c r="AK351" s="345">
        <f>IF($A351="","",IF('Sep 2027'!K64="","",'Sep 2027'!K64))</f>
        <v/>
      </c>
      <c r="AL351" s="345">
        <f>IF($A351="","",IF('Sep 2027'!K65="","",'Sep 2027'!K65))</f>
        <v/>
      </c>
      <c r="AM351" s="345">
        <f>IF($A351="","",IF('Sep 2027'!K66="","",'Sep 2027'!K66))</f>
        <v/>
      </c>
      <c r="AN351" s="345">
        <f>IF($A351="","",IF('Sep 2027'!K67="","",'Sep 2027'!K67))</f>
        <v/>
      </c>
      <c r="AO351" s="345">
        <f>IF($A351="",0,IF(AND($A351&gt;=TrackStart,$A351&lt;=TODAY()),1,0))</f>
        <v/>
      </c>
      <c r="AP351" s="345">
        <f>IF($A351="",0,IF(SUM(F351:AE351)+COUNT(AF351:AN351)&gt;0,1,0))</f>
        <v/>
      </c>
      <c r="AQ351" s="345">
        <f>IF($A351="","",INT(($A351-TrackStart)/7)+1)</f>
        <v/>
      </c>
      <c r="AR351" s="345">
        <f>IF($A351="","",IF(AQ351&lt;=1,Steps1,IF(AQ351=2,Steps2,Steps3)))</f>
        <v/>
      </c>
      <c r="AS351" s="345">
        <f>IF($A351="",0,IF(ISNUMBER(SEARCH(TEXT(D351,"0"),WorkDays&amp;"")),1,0))</f>
        <v/>
      </c>
      <c r="AT351" s="345">
        <f>IF($A351="",0,IF(ISNUMBER(SEARCH(TEXT(D351,"0"),StrDays&amp;"")),1,0))</f>
        <v/>
      </c>
      <c r="AU351" s="345">
        <f>IF($A351="",0,IF(ISNUMBER(AK351),IF(AK351&gt;=SleepMin,1,0),N351))</f>
        <v/>
      </c>
      <c r="AV351" s="345">
        <f>IF($A351="",0,MAX(I351,O351,S351,AC351))</f>
        <v/>
      </c>
      <c r="AW351" s="345">
        <f>IF($A351="",0,IF(ISNUMBER(AH351),IF(AH351&gt;=ProtHit,1,0),0))</f>
        <v/>
      </c>
      <c r="AX351" s="345">
        <f>IF($A351="",0,IF(ISNUMBER(AI351),IF(AI351&gt;=WaterHit,1,0),0))</f>
        <v/>
      </c>
      <c r="AY351" s="345">
        <f>IF($A351="",0,IF(ISNUMBER(AG351),IF(AG351&gt;=AR351,1,0),0))</f>
        <v/>
      </c>
      <c r="AZ351" s="345">
        <f>IF($A351="",0,G351)</f>
        <v/>
      </c>
      <c r="BA351" s="345">
        <f>IF($A351="",0,J351)</f>
        <v/>
      </c>
      <c r="BB351" s="345">
        <f>IF($A351="",0,K351)</f>
        <v/>
      </c>
      <c r="BC351" s="345">
        <f>IF($A351="",0,MAX(L351,AE351))</f>
        <v/>
      </c>
      <c r="BD351" s="344">
        <f>IF($A351="","",(AU351+AV351+AW351+AX351+AY351+AZ351+BB351+BC351+IF(AS351=1,BA351,0))/(8+AS351))</f>
        <v/>
      </c>
      <c r="BE351" s="344">
        <f>IF($A351="","",(IF(ISNUMBER(AI351),IF(AI351&gt;=WaterMVD,1,0),0)+AV351+IF(ISNUMBER(AH351),IF(AH351&gt;=ProtMVD,1,0),0)+MAX(H351,AD351)+AZ351+BB351+AU351)/7)</f>
        <v/>
      </c>
      <c r="BF351" s="344">
        <f>IF(AO351=0,"",IF(E351="S","",IF(AND(AP351=0,$A351=TODAY()),"",IF(E351="M",BE351,BD351))))</f>
        <v/>
      </c>
      <c r="BG351" s="344">
        <f>IF(AO351=0,"",IFERROR(AVERAGEIFS(Data!$BF$4:$BF$375,Data!$A$4:$A$375,"&gt;"&amp;($A351-7),Data!$A$4:$A$375,"&lt;="&amp;$A351),""))</f>
        <v/>
      </c>
      <c r="BH351" s="344">
        <f>IF(AO351=0,"",IFERROR(AVERAGEIFS(Data!$BF$4:$BF$375,Data!$A$4:$A$375,"&gt;"&amp;($A351-30),Data!$A$4:$A$375,"&lt;="&amp;$A351),""))</f>
        <v/>
      </c>
      <c r="BI351" s="359">
        <f>IF($A351="","",IFERROR(AVERAGEIFS(Data!$AF$4:$AF$375,Data!$A$4:$A$375,"&gt;"&amp;($A351-7),Data!$A$4:$A$375,"&lt;="&amp;$A351,Data!$AF$4:$AF$375,"&gt;0"),""))</f>
        <v/>
      </c>
      <c r="BJ351" s="345">
        <f>IF($A351="","",F351+G351+H351+I351+J351+K351+L351+M351+N351-IF(AS351=1,0,J351))</f>
        <v/>
      </c>
      <c r="BK351" s="345">
        <f>IF($A351="","",8+AS351)</f>
        <v/>
      </c>
      <c r="BL351" s="345">
        <f>IF(ISNUMBER(BF351),BF351,NA())</f>
        <v/>
      </c>
      <c r="BM351" s="345">
        <f>IF(ISNUMBER(AF351),AF351,NA())</f>
        <v/>
      </c>
      <c r="BN351" s="345">
        <f>IF(ISNUMBER(BI351),BI351,NA())</f>
        <v/>
      </c>
      <c r="BO351" s="345">
        <f>IF(ISNUMBER(AL351),AL351,NA())</f>
        <v/>
      </c>
      <c r="BP351" s="345">
        <f>IF(ISNUMBER(AM351),AM351,NA())</f>
        <v/>
      </c>
      <c r="BQ351" s="345">
        <f>IF(ISNUMBER(AN351),AN351,NA())</f>
        <v/>
      </c>
    </row>
    <row r="352">
      <c r="A352" s="358">
        <f>IF('Sep 2027'!L7="","",'Sep 2027'!L7)</f>
        <v/>
      </c>
      <c r="B352" s="345" t="n">
        <v>12</v>
      </c>
      <c r="C352" s="345">
        <f>IF($A352="","",8)</f>
        <v/>
      </c>
      <c r="D352" s="345">
        <f>IF($A352="","",WEEKDAY($A352,2))</f>
        <v/>
      </c>
      <c r="E352" s="345">
        <f>IF($A352="","",UPPER(TRIM('Sep 2027'!L8)))</f>
        <v/>
      </c>
      <c r="F352" s="345">
        <f>IF($A352="","",IF(OR('Sep 2027'!L10=TRUE,'Sep 2027'!L10="x",'Sep 2027'!L10="X"),1,0))</f>
        <v/>
      </c>
      <c r="G352" s="345">
        <f>IF($A352="","",IF(OR('Sep 2027'!L11=TRUE,'Sep 2027'!L11="x",'Sep 2027'!L11="X"),1,0))</f>
        <v/>
      </c>
      <c r="H352" s="345">
        <f>IF($A352="","",IF(OR('Sep 2027'!L12=TRUE,'Sep 2027'!L12="x",'Sep 2027'!L12="X"),1,0))</f>
        <v/>
      </c>
      <c r="I352" s="345">
        <f>IF($A352="","",IF(OR('Sep 2027'!L13=TRUE,'Sep 2027'!L13="x",'Sep 2027'!L13="X"),1,0))</f>
        <v/>
      </c>
      <c r="J352" s="345">
        <f>IF($A352="","",IF(OR('Sep 2027'!L14=TRUE,'Sep 2027'!L14="x",'Sep 2027'!L14="X"),1,0))</f>
        <v/>
      </c>
      <c r="K352" s="345">
        <f>IF($A352="","",IF(OR('Sep 2027'!L15=TRUE,'Sep 2027'!L15="x",'Sep 2027'!L15="X"),1,0))</f>
        <v/>
      </c>
      <c r="L352" s="345">
        <f>IF($A352="","",IF(OR('Sep 2027'!L16=TRUE,'Sep 2027'!L16="x",'Sep 2027'!L16="X"),1,0))</f>
        <v/>
      </c>
      <c r="M352" s="345">
        <f>IF($A352="","",IF(OR('Sep 2027'!L17=TRUE,'Sep 2027'!L17="x",'Sep 2027'!L17="X"),1,0))</f>
        <v/>
      </c>
      <c r="N352" s="345">
        <f>IF($A352="","",IF(OR('Sep 2027'!L18=TRUE,'Sep 2027'!L18="x",'Sep 2027'!L18="X"),1,0))</f>
        <v/>
      </c>
      <c r="O352" s="345">
        <f>IF($A352="","",IF(OR('Sep 2027'!L20=TRUE,'Sep 2027'!L20="x",'Sep 2027'!L20="X"),1,0))</f>
        <v/>
      </c>
      <c r="P352" s="345">
        <f>IF($A352="","",IF(OR('Sep 2027'!L21=TRUE,'Sep 2027'!L21="x",'Sep 2027'!L21="X"),1,0))</f>
        <v/>
      </c>
      <c r="Q352" s="345">
        <f>IF($A352="","",IF(OR('Sep 2027'!L22=TRUE,'Sep 2027'!L22="x",'Sep 2027'!L22="X"),1,0))</f>
        <v/>
      </c>
      <c r="R352" s="345">
        <f>IF($A352="","",IF(OR('Sep 2027'!L23=TRUE,'Sep 2027'!L23="x",'Sep 2027'!L23="X"),1,0))</f>
        <v/>
      </c>
      <c r="S352" s="345">
        <f>IF($A352="","",IF(OR('Sep 2027'!L24=TRUE,'Sep 2027'!L24="x",'Sep 2027'!L24="X"),1,0))</f>
        <v/>
      </c>
      <c r="T352" s="345">
        <f>IF($A352="","",IF(OR('Sep 2027'!L25=TRUE,'Sep 2027'!L25="x",'Sep 2027'!L25="X"),1,0))</f>
        <v/>
      </c>
      <c r="U352" s="345">
        <f>IF($A352="","",IF(OR('Sep 2027'!L26=TRUE,'Sep 2027'!L26="x",'Sep 2027'!L26="X"),1,0))</f>
        <v/>
      </c>
      <c r="V352" s="345">
        <f>IF($A352="","",IF(OR('Sep 2027'!L27=TRUE,'Sep 2027'!L27="x",'Sep 2027'!L27="X"),1,0))</f>
        <v/>
      </c>
      <c r="W352" s="345">
        <f>IF($A352="","",IF(OR('Sep 2027'!L28=TRUE,'Sep 2027'!L28="x",'Sep 2027'!L28="X"),1,0))</f>
        <v/>
      </c>
      <c r="X352" s="345">
        <f>IF($A352="","",IF(OR('Sep 2027'!L29=TRUE,'Sep 2027'!L29="x",'Sep 2027'!L29="X"),1,0))</f>
        <v/>
      </c>
      <c r="Y352" s="345">
        <f>IF($A352="","",IF(OR('Sep 2027'!L30=TRUE,'Sep 2027'!L30="x",'Sep 2027'!L30="X"),1,0))</f>
        <v/>
      </c>
      <c r="Z352" s="345">
        <f>IF($A352="","",IF(OR('Sep 2027'!L31=TRUE,'Sep 2027'!L31="x",'Sep 2027'!L31="X"),1,0))</f>
        <v/>
      </c>
      <c r="AA352" s="345">
        <f>IF($A352="","",IF(OR('Sep 2027'!L32=TRUE,'Sep 2027'!L32="x",'Sep 2027'!L32="X"),1,0))</f>
        <v/>
      </c>
      <c r="AB352" s="345">
        <f>IF($A352="","",IF(OR('Sep 2027'!L34=TRUE,'Sep 2027'!L34="x",'Sep 2027'!L34="X"),1,0))</f>
        <v/>
      </c>
      <c r="AC352" s="345">
        <f>IF($A352="","",IF(OR('Sep 2027'!L35=TRUE,'Sep 2027'!L35="x",'Sep 2027'!L35="X"),1,0))</f>
        <v/>
      </c>
      <c r="AD352" s="345">
        <f>IF($A352="","",IF(OR('Sep 2027'!L36=TRUE,'Sep 2027'!L36="x",'Sep 2027'!L36="X"),1,0))</f>
        <v/>
      </c>
      <c r="AE352" s="345">
        <f>IF($A352="","",IF(OR('Sep 2027'!L37=TRUE,'Sep 2027'!L37="x",'Sep 2027'!L37="X"),1,0))</f>
        <v/>
      </c>
      <c r="AF352" s="345">
        <f>IF($A352="","",IF('Sep 2027'!L59="","",'Sep 2027'!L59))</f>
        <v/>
      </c>
      <c r="AG352" s="345">
        <f>IF($A352="","",IF('Sep 2027'!L60="","",'Sep 2027'!L60))</f>
        <v/>
      </c>
      <c r="AH352" s="345">
        <f>IF($A352="","",IF('Sep 2027'!L61="","",'Sep 2027'!L61))</f>
        <v/>
      </c>
      <c r="AI352" s="345">
        <f>IF($A352="","",IF('Sep 2027'!L62="","",'Sep 2027'!L62))</f>
        <v/>
      </c>
      <c r="AJ352" s="345">
        <f>IF($A352="","",IF('Sep 2027'!L63="","",'Sep 2027'!L63))</f>
        <v/>
      </c>
      <c r="AK352" s="345">
        <f>IF($A352="","",IF('Sep 2027'!L64="","",'Sep 2027'!L64))</f>
        <v/>
      </c>
      <c r="AL352" s="345">
        <f>IF($A352="","",IF('Sep 2027'!L65="","",'Sep 2027'!L65))</f>
        <v/>
      </c>
      <c r="AM352" s="345">
        <f>IF($A352="","",IF('Sep 2027'!L66="","",'Sep 2027'!L66))</f>
        <v/>
      </c>
      <c r="AN352" s="345">
        <f>IF($A352="","",IF('Sep 2027'!L67="","",'Sep 2027'!L67))</f>
        <v/>
      </c>
      <c r="AO352" s="345">
        <f>IF($A352="",0,IF(AND($A352&gt;=TrackStart,$A352&lt;=TODAY()),1,0))</f>
        <v/>
      </c>
      <c r="AP352" s="345">
        <f>IF($A352="",0,IF(SUM(F352:AE352)+COUNT(AF352:AN352)&gt;0,1,0))</f>
        <v/>
      </c>
      <c r="AQ352" s="345">
        <f>IF($A352="","",INT(($A352-TrackStart)/7)+1)</f>
        <v/>
      </c>
      <c r="AR352" s="345">
        <f>IF($A352="","",IF(AQ352&lt;=1,Steps1,IF(AQ352=2,Steps2,Steps3)))</f>
        <v/>
      </c>
      <c r="AS352" s="345">
        <f>IF($A352="",0,IF(ISNUMBER(SEARCH(TEXT(D352,"0"),WorkDays&amp;"")),1,0))</f>
        <v/>
      </c>
      <c r="AT352" s="345">
        <f>IF($A352="",0,IF(ISNUMBER(SEARCH(TEXT(D352,"0"),StrDays&amp;"")),1,0))</f>
        <v/>
      </c>
      <c r="AU352" s="345">
        <f>IF($A352="",0,IF(ISNUMBER(AK352),IF(AK352&gt;=SleepMin,1,0),N352))</f>
        <v/>
      </c>
      <c r="AV352" s="345">
        <f>IF($A352="",0,MAX(I352,O352,S352,AC352))</f>
        <v/>
      </c>
      <c r="AW352" s="345">
        <f>IF($A352="",0,IF(ISNUMBER(AH352),IF(AH352&gt;=ProtHit,1,0),0))</f>
        <v/>
      </c>
      <c r="AX352" s="345">
        <f>IF($A352="",0,IF(ISNUMBER(AI352),IF(AI352&gt;=WaterHit,1,0),0))</f>
        <v/>
      </c>
      <c r="AY352" s="345">
        <f>IF($A352="",0,IF(ISNUMBER(AG352),IF(AG352&gt;=AR352,1,0),0))</f>
        <v/>
      </c>
      <c r="AZ352" s="345">
        <f>IF($A352="",0,G352)</f>
        <v/>
      </c>
      <c r="BA352" s="345">
        <f>IF($A352="",0,J352)</f>
        <v/>
      </c>
      <c r="BB352" s="345">
        <f>IF($A352="",0,K352)</f>
        <v/>
      </c>
      <c r="BC352" s="345">
        <f>IF($A352="",0,MAX(L352,AE352))</f>
        <v/>
      </c>
      <c r="BD352" s="344">
        <f>IF($A352="","",(AU352+AV352+AW352+AX352+AY352+AZ352+BB352+BC352+IF(AS352=1,BA352,0))/(8+AS352))</f>
        <v/>
      </c>
      <c r="BE352" s="344">
        <f>IF($A352="","",(IF(ISNUMBER(AI352),IF(AI352&gt;=WaterMVD,1,0),0)+AV352+IF(ISNUMBER(AH352),IF(AH352&gt;=ProtMVD,1,0),0)+MAX(H352,AD352)+AZ352+BB352+AU352)/7)</f>
        <v/>
      </c>
      <c r="BF352" s="344">
        <f>IF(AO352=0,"",IF(E352="S","",IF(AND(AP352=0,$A352=TODAY()),"",IF(E352="M",BE352,BD352))))</f>
        <v/>
      </c>
      <c r="BG352" s="344">
        <f>IF(AO352=0,"",IFERROR(AVERAGEIFS(Data!$BF$4:$BF$375,Data!$A$4:$A$375,"&gt;"&amp;($A352-7),Data!$A$4:$A$375,"&lt;="&amp;$A352),""))</f>
        <v/>
      </c>
      <c r="BH352" s="344">
        <f>IF(AO352=0,"",IFERROR(AVERAGEIFS(Data!$BF$4:$BF$375,Data!$A$4:$A$375,"&gt;"&amp;($A352-30),Data!$A$4:$A$375,"&lt;="&amp;$A352),""))</f>
        <v/>
      </c>
      <c r="BI352" s="359">
        <f>IF($A352="","",IFERROR(AVERAGEIFS(Data!$AF$4:$AF$375,Data!$A$4:$A$375,"&gt;"&amp;($A352-7),Data!$A$4:$A$375,"&lt;="&amp;$A352,Data!$AF$4:$AF$375,"&gt;0"),""))</f>
        <v/>
      </c>
      <c r="BJ352" s="345">
        <f>IF($A352="","",F352+G352+H352+I352+J352+K352+L352+M352+N352-IF(AS352=1,0,J352))</f>
        <v/>
      </c>
      <c r="BK352" s="345">
        <f>IF($A352="","",8+AS352)</f>
        <v/>
      </c>
      <c r="BL352" s="345">
        <f>IF(ISNUMBER(BF352),BF352,NA())</f>
        <v/>
      </c>
      <c r="BM352" s="345">
        <f>IF(ISNUMBER(AF352),AF352,NA())</f>
        <v/>
      </c>
      <c r="BN352" s="345">
        <f>IF(ISNUMBER(BI352),BI352,NA())</f>
        <v/>
      </c>
      <c r="BO352" s="345">
        <f>IF(ISNUMBER(AL352),AL352,NA())</f>
        <v/>
      </c>
      <c r="BP352" s="345">
        <f>IF(ISNUMBER(AM352),AM352,NA())</f>
        <v/>
      </c>
      <c r="BQ352" s="345">
        <f>IF(ISNUMBER(AN352),AN352,NA())</f>
        <v/>
      </c>
    </row>
    <row r="353">
      <c r="A353" s="358">
        <f>IF('Sep 2027'!M7="","",'Sep 2027'!M7)</f>
        <v/>
      </c>
      <c r="B353" s="345" t="n">
        <v>12</v>
      </c>
      <c r="C353" s="345">
        <f>IF($A353="","",9)</f>
        <v/>
      </c>
      <c r="D353" s="345">
        <f>IF($A353="","",WEEKDAY($A353,2))</f>
        <v/>
      </c>
      <c r="E353" s="345">
        <f>IF($A353="","",UPPER(TRIM('Sep 2027'!M8)))</f>
        <v/>
      </c>
      <c r="F353" s="345">
        <f>IF($A353="","",IF(OR('Sep 2027'!M10=TRUE,'Sep 2027'!M10="x",'Sep 2027'!M10="X"),1,0))</f>
        <v/>
      </c>
      <c r="G353" s="345">
        <f>IF($A353="","",IF(OR('Sep 2027'!M11=TRUE,'Sep 2027'!M11="x",'Sep 2027'!M11="X"),1,0))</f>
        <v/>
      </c>
      <c r="H353" s="345">
        <f>IF($A353="","",IF(OR('Sep 2027'!M12=TRUE,'Sep 2027'!M12="x",'Sep 2027'!M12="X"),1,0))</f>
        <v/>
      </c>
      <c r="I353" s="345">
        <f>IF($A353="","",IF(OR('Sep 2027'!M13=TRUE,'Sep 2027'!M13="x",'Sep 2027'!M13="X"),1,0))</f>
        <v/>
      </c>
      <c r="J353" s="345">
        <f>IF($A353="","",IF(OR('Sep 2027'!M14=TRUE,'Sep 2027'!M14="x",'Sep 2027'!M14="X"),1,0))</f>
        <v/>
      </c>
      <c r="K353" s="345">
        <f>IF($A353="","",IF(OR('Sep 2027'!M15=TRUE,'Sep 2027'!M15="x",'Sep 2027'!M15="X"),1,0))</f>
        <v/>
      </c>
      <c r="L353" s="345">
        <f>IF($A353="","",IF(OR('Sep 2027'!M16=TRUE,'Sep 2027'!M16="x",'Sep 2027'!M16="X"),1,0))</f>
        <v/>
      </c>
      <c r="M353" s="345">
        <f>IF($A353="","",IF(OR('Sep 2027'!M17=TRUE,'Sep 2027'!M17="x",'Sep 2027'!M17="X"),1,0))</f>
        <v/>
      </c>
      <c r="N353" s="345">
        <f>IF($A353="","",IF(OR('Sep 2027'!M18=TRUE,'Sep 2027'!M18="x",'Sep 2027'!M18="X"),1,0))</f>
        <v/>
      </c>
      <c r="O353" s="345">
        <f>IF($A353="","",IF(OR('Sep 2027'!M20=TRUE,'Sep 2027'!M20="x",'Sep 2027'!M20="X"),1,0))</f>
        <v/>
      </c>
      <c r="P353" s="345">
        <f>IF($A353="","",IF(OR('Sep 2027'!M21=TRUE,'Sep 2027'!M21="x",'Sep 2027'!M21="X"),1,0))</f>
        <v/>
      </c>
      <c r="Q353" s="345">
        <f>IF($A353="","",IF(OR('Sep 2027'!M22=TRUE,'Sep 2027'!M22="x",'Sep 2027'!M22="X"),1,0))</f>
        <v/>
      </c>
      <c r="R353" s="345">
        <f>IF($A353="","",IF(OR('Sep 2027'!M23=TRUE,'Sep 2027'!M23="x",'Sep 2027'!M23="X"),1,0))</f>
        <v/>
      </c>
      <c r="S353" s="345">
        <f>IF($A353="","",IF(OR('Sep 2027'!M24=TRUE,'Sep 2027'!M24="x",'Sep 2027'!M24="X"),1,0))</f>
        <v/>
      </c>
      <c r="T353" s="345">
        <f>IF($A353="","",IF(OR('Sep 2027'!M25=TRUE,'Sep 2027'!M25="x",'Sep 2027'!M25="X"),1,0))</f>
        <v/>
      </c>
      <c r="U353" s="345">
        <f>IF($A353="","",IF(OR('Sep 2027'!M26=TRUE,'Sep 2027'!M26="x",'Sep 2027'!M26="X"),1,0))</f>
        <v/>
      </c>
      <c r="V353" s="345">
        <f>IF($A353="","",IF(OR('Sep 2027'!M27=TRUE,'Sep 2027'!M27="x",'Sep 2027'!M27="X"),1,0))</f>
        <v/>
      </c>
      <c r="W353" s="345">
        <f>IF($A353="","",IF(OR('Sep 2027'!M28=TRUE,'Sep 2027'!M28="x",'Sep 2027'!M28="X"),1,0))</f>
        <v/>
      </c>
      <c r="X353" s="345">
        <f>IF($A353="","",IF(OR('Sep 2027'!M29=TRUE,'Sep 2027'!M29="x",'Sep 2027'!M29="X"),1,0))</f>
        <v/>
      </c>
      <c r="Y353" s="345">
        <f>IF($A353="","",IF(OR('Sep 2027'!M30=TRUE,'Sep 2027'!M30="x",'Sep 2027'!M30="X"),1,0))</f>
        <v/>
      </c>
      <c r="Z353" s="345">
        <f>IF($A353="","",IF(OR('Sep 2027'!M31=TRUE,'Sep 2027'!M31="x",'Sep 2027'!M31="X"),1,0))</f>
        <v/>
      </c>
      <c r="AA353" s="345">
        <f>IF($A353="","",IF(OR('Sep 2027'!M32=TRUE,'Sep 2027'!M32="x",'Sep 2027'!M32="X"),1,0))</f>
        <v/>
      </c>
      <c r="AB353" s="345">
        <f>IF($A353="","",IF(OR('Sep 2027'!M34=TRUE,'Sep 2027'!M34="x",'Sep 2027'!M34="X"),1,0))</f>
        <v/>
      </c>
      <c r="AC353" s="345">
        <f>IF($A353="","",IF(OR('Sep 2027'!M35=TRUE,'Sep 2027'!M35="x",'Sep 2027'!M35="X"),1,0))</f>
        <v/>
      </c>
      <c r="AD353" s="345">
        <f>IF($A353="","",IF(OR('Sep 2027'!M36=TRUE,'Sep 2027'!M36="x",'Sep 2027'!M36="X"),1,0))</f>
        <v/>
      </c>
      <c r="AE353" s="345">
        <f>IF($A353="","",IF(OR('Sep 2027'!M37=TRUE,'Sep 2027'!M37="x",'Sep 2027'!M37="X"),1,0))</f>
        <v/>
      </c>
      <c r="AF353" s="345">
        <f>IF($A353="","",IF('Sep 2027'!M59="","",'Sep 2027'!M59))</f>
        <v/>
      </c>
      <c r="AG353" s="345">
        <f>IF($A353="","",IF('Sep 2027'!M60="","",'Sep 2027'!M60))</f>
        <v/>
      </c>
      <c r="AH353" s="345">
        <f>IF($A353="","",IF('Sep 2027'!M61="","",'Sep 2027'!M61))</f>
        <v/>
      </c>
      <c r="AI353" s="345">
        <f>IF($A353="","",IF('Sep 2027'!M62="","",'Sep 2027'!M62))</f>
        <v/>
      </c>
      <c r="AJ353" s="345">
        <f>IF($A353="","",IF('Sep 2027'!M63="","",'Sep 2027'!M63))</f>
        <v/>
      </c>
      <c r="AK353" s="345">
        <f>IF($A353="","",IF('Sep 2027'!M64="","",'Sep 2027'!M64))</f>
        <v/>
      </c>
      <c r="AL353" s="345">
        <f>IF($A353="","",IF('Sep 2027'!M65="","",'Sep 2027'!M65))</f>
        <v/>
      </c>
      <c r="AM353" s="345">
        <f>IF($A353="","",IF('Sep 2027'!M66="","",'Sep 2027'!M66))</f>
        <v/>
      </c>
      <c r="AN353" s="345">
        <f>IF($A353="","",IF('Sep 2027'!M67="","",'Sep 2027'!M67))</f>
        <v/>
      </c>
      <c r="AO353" s="345">
        <f>IF($A353="",0,IF(AND($A353&gt;=TrackStart,$A353&lt;=TODAY()),1,0))</f>
        <v/>
      </c>
      <c r="AP353" s="345">
        <f>IF($A353="",0,IF(SUM(F353:AE353)+COUNT(AF353:AN353)&gt;0,1,0))</f>
        <v/>
      </c>
      <c r="AQ353" s="345">
        <f>IF($A353="","",INT(($A353-TrackStart)/7)+1)</f>
        <v/>
      </c>
      <c r="AR353" s="345">
        <f>IF($A353="","",IF(AQ353&lt;=1,Steps1,IF(AQ353=2,Steps2,Steps3)))</f>
        <v/>
      </c>
      <c r="AS353" s="345">
        <f>IF($A353="",0,IF(ISNUMBER(SEARCH(TEXT(D353,"0"),WorkDays&amp;"")),1,0))</f>
        <v/>
      </c>
      <c r="AT353" s="345">
        <f>IF($A353="",0,IF(ISNUMBER(SEARCH(TEXT(D353,"0"),StrDays&amp;"")),1,0))</f>
        <v/>
      </c>
      <c r="AU353" s="345">
        <f>IF($A353="",0,IF(ISNUMBER(AK353),IF(AK353&gt;=SleepMin,1,0),N353))</f>
        <v/>
      </c>
      <c r="AV353" s="345">
        <f>IF($A353="",0,MAX(I353,O353,S353,AC353))</f>
        <v/>
      </c>
      <c r="AW353" s="345">
        <f>IF($A353="",0,IF(ISNUMBER(AH353),IF(AH353&gt;=ProtHit,1,0),0))</f>
        <v/>
      </c>
      <c r="AX353" s="345">
        <f>IF($A353="",0,IF(ISNUMBER(AI353),IF(AI353&gt;=WaterHit,1,0),0))</f>
        <v/>
      </c>
      <c r="AY353" s="345">
        <f>IF($A353="",0,IF(ISNUMBER(AG353),IF(AG353&gt;=AR353,1,0),0))</f>
        <v/>
      </c>
      <c r="AZ353" s="345">
        <f>IF($A353="",0,G353)</f>
        <v/>
      </c>
      <c r="BA353" s="345">
        <f>IF($A353="",0,J353)</f>
        <v/>
      </c>
      <c r="BB353" s="345">
        <f>IF($A353="",0,K353)</f>
        <v/>
      </c>
      <c r="BC353" s="345">
        <f>IF($A353="",0,MAX(L353,AE353))</f>
        <v/>
      </c>
      <c r="BD353" s="344">
        <f>IF($A353="","",(AU353+AV353+AW353+AX353+AY353+AZ353+BB353+BC353+IF(AS353=1,BA353,0))/(8+AS353))</f>
        <v/>
      </c>
      <c r="BE353" s="344">
        <f>IF($A353="","",(IF(ISNUMBER(AI353),IF(AI353&gt;=WaterMVD,1,0),0)+AV353+IF(ISNUMBER(AH353),IF(AH353&gt;=ProtMVD,1,0),0)+MAX(H353,AD353)+AZ353+BB353+AU353)/7)</f>
        <v/>
      </c>
      <c r="BF353" s="344">
        <f>IF(AO353=0,"",IF(E353="S","",IF(AND(AP353=0,$A353=TODAY()),"",IF(E353="M",BE353,BD353))))</f>
        <v/>
      </c>
      <c r="BG353" s="344">
        <f>IF(AO353=0,"",IFERROR(AVERAGEIFS(Data!$BF$4:$BF$375,Data!$A$4:$A$375,"&gt;"&amp;($A353-7),Data!$A$4:$A$375,"&lt;="&amp;$A353),""))</f>
        <v/>
      </c>
      <c r="BH353" s="344">
        <f>IF(AO353=0,"",IFERROR(AVERAGEIFS(Data!$BF$4:$BF$375,Data!$A$4:$A$375,"&gt;"&amp;($A353-30),Data!$A$4:$A$375,"&lt;="&amp;$A353),""))</f>
        <v/>
      </c>
      <c r="BI353" s="359">
        <f>IF($A353="","",IFERROR(AVERAGEIFS(Data!$AF$4:$AF$375,Data!$A$4:$A$375,"&gt;"&amp;($A353-7),Data!$A$4:$A$375,"&lt;="&amp;$A353,Data!$AF$4:$AF$375,"&gt;0"),""))</f>
        <v/>
      </c>
      <c r="BJ353" s="345">
        <f>IF($A353="","",F353+G353+H353+I353+J353+K353+L353+M353+N353-IF(AS353=1,0,J353))</f>
        <v/>
      </c>
      <c r="BK353" s="345">
        <f>IF($A353="","",8+AS353)</f>
        <v/>
      </c>
      <c r="BL353" s="345">
        <f>IF(ISNUMBER(BF353),BF353,NA())</f>
        <v/>
      </c>
      <c r="BM353" s="345">
        <f>IF(ISNUMBER(AF353),AF353,NA())</f>
        <v/>
      </c>
      <c r="BN353" s="345">
        <f>IF(ISNUMBER(BI353),BI353,NA())</f>
        <v/>
      </c>
      <c r="BO353" s="345">
        <f>IF(ISNUMBER(AL353),AL353,NA())</f>
        <v/>
      </c>
      <c r="BP353" s="345">
        <f>IF(ISNUMBER(AM353),AM353,NA())</f>
        <v/>
      </c>
      <c r="BQ353" s="345">
        <f>IF(ISNUMBER(AN353),AN353,NA())</f>
        <v/>
      </c>
    </row>
    <row r="354">
      <c r="A354" s="358">
        <f>IF('Sep 2027'!N7="","",'Sep 2027'!N7)</f>
        <v/>
      </c>
      <c r="B354" s="345" t="n">
        <v>12</v>
      </c>
      <c r="C354" s="345">
        <f>IF($A354="","",10)</f>
        <v/>
      </c>
      <c r="D354" s="345">
        <f>IF($A354="","",WEEKDAY($A354,2))</f>
        <v/>
      </c>
      <c r="E354" s="345">
        <f>IF($A354="","",UPPER(TRIM('Sep 2027'!N8)))</f>
        <v/>
      </c>
      <c r="F354" s="345">
        <f>IF($A354="","",IF(OR('Sep 2027'!N10=TRUE,'Sep 2027'!N10="x",'Sep 2027'!N10="X"),1,0))</f>
        <v/>
      </c>
      <c r="G354" s="345">
        <f>IF($A354="","",IF(OR('Sep 2027'!N11=TRUE,'Sep 2027'!N11="x",'Sep 2027'!N11="X"),1,0))</f>
        <v/>
      </c>
      <c r="H354" s="345">
        <f>IF($A354="","",IF(OR('Sep 2027'!N12=TRUE,'Sep 2027'!N12="x",'Sep 2027'!N12="X"),1,0))</f>
        <v/>
      </c>
      <c r="I354" s="345">
        <f>IF($A354="","",IF(OR('Sep 2027'!N13=TRUE,'Sep 2027'!N13="x",'Sep 2027'!N13="X"),1,0))</f>
        <v/>
      </c>
      <c r="J354" s="345">
        <f>IF($A354="","",IF(OR('Sep 2027'!N14=TRUE,'Sep 2027'!N14="x",'Sep 2027'!N14="X"),1,0))</f>
        <v/>
      </c>
      <c r="K354" s="345">
        <f>IF($A354="","",IF(OR('Sep 2027'!N15=TRUE,'Sep 2027'!N15="x",'Sep 2027'!N15="X"),1,0))</f>
        <v/>
      </c>
      <c r="L354" s="345">
        <f>IF($A354="","",IF(OR('Sep 2027'!N16=TRUE,'Sep 2027'!N16="x",'Sep 2027'!N16="X"),1,0))</f>
        <v/>
      </c>
      <c r="M354" s="345">
        <f>IF($A354="","",IF(OR('Sep 2027'!N17=TRUE,'Sep 2027'!N17="x",'Sep 2027'!N17="X"),1,0))</f>
        <v/>
      </c>
      <c r="N354" s="345">
        <f>IF($A354="","",IF(OR('Sep 2027'!N18=TRUE,'Sep 2027'!N18="x",'Sep 2027'!N18="X"),1,0))</f>
        <v/>
      </c>
      <c r="O354" s="345">
        <f>IF($A354="","",IF(OR('Sep 2027'!N20=TRUE,'Sep 2027'!N20="x",'Sep 2027'!N20="X"),1,0))</f>
        <v/>
      </c>
      <c r="P354" s="345">
        <f>IF($A354="","",IF(OR('Sep 2027'!N21=TRUE,'Sep 2027'!N21="x",'Sep 2027'!N21="X"),1,0))</f>
        <v/>
      </c>
      <c r="Q354" s="345">
        <f>IF($A354="","",IF(OR('Sep 2027'!N22=TRUE,'Sep 2027'!N22="x",'Sep 2027'!N22="X"),1,0))</f>
        <v/>
      </c>
      <c r="R354" s="345">
        <f>IF($A354="","",IF(OR('Sep 2027'!N23=TRUE,'Sep 2027'!N23="x",'Sep 2027'!N23="X"),1,0))</f>
        <v/>
      </c>
      <c r="S354" s="345">
        <f>IF($A354="","",IF(OR('Sep 2027'!N24=TRUE,'Sep 2027'!N24="x",'Sep 2027'!N24="X"),1,0))</f>
        <v/>
      </c>
      <c r="T354" s="345">
        <f>IF($A354="","",IF(OR('Sep 2027'!N25=TRUE,'Sep 2027'!N25="x",'Sep 2027'!N25="X"),1,0))</f>
        <v/>
      </c>
      <c r="U354" s="345">
        <f>IF($A354="","",IF(OR('Sep 2027'!N26=TRUE,'Sep 2027'!N26="x",'Sep 2027'!N26="X"),1,0))</f>
        <v/>
      </c>
      <c r="V354" s="345">
        <f>IF($A354="","",IF(OR('Sep 2027'!N27=TRUE,'Sep 2027'!N27="x",'Sep 2027'!N27="X"),1,0))</f>
        <v/>
      </c>
      <c r="W354" s="345">
        <f>IF($A354="","",IF(OR('Sep 2027'!N28=TRUE,'Sep 2027'!N28="x",'Sep 2027'!N28="X"),1,0))</f>
        <v/>
      </c>
      <c r="X354" s="345">
        <f>IF($A354="","",IF(OR('Sep 2027'!N29=TRUE,'Sep 2027'!N29="x",'Sep 2027'!N29="X"),1,0))</f>
        <v/>
      </c>
      <c r="Y354" s="345">
        <f>IF($A354="","",IF(OR('Sep 2027'!N30=TRUE,'Sep 2027'!N30="x",'Sep 2027'!N30="X"),1,0))</f>
        <v/>
      </c>
      <c r="Z354" s="345">
        <f>IF($A354="","",IF(OR('Sep 2027'!N31=TRUE,'Sep 2027'!N31="x",'Sep 2027'!N31="X"),1,0))</f>
        <v/>
      </c>
      <c r="AA354" s="345">
        <f>IF($A354="","",IF(OR('Sep 2027'!N32=TRUE,'Sep 2027'!N32="x",'Sep 2027'!N32="X"),1,0))</f>
        <v/>
      </c>
      <c r="AB354" s="345">
        <f>IF($A354="","",IF(OR('Sep 2027'!N34=TRUE,'Sep 2027'!N34="x",'Sep 2027'!N34="X"),1,0))</f>
        <v/>
      </c>
      <c r="AC354" s="345">
        <f>IF($A354="","",IF(OR('Sep 2027'!N35=TRUE,'Sep 2027'!N35="x",'Sep 2027'!N35="X"),1,0))</f>
        <v/>
      </c>
      <c r="AD354" s="345">
        <f>IF($A354="","",IF(OR('Sep 2027'!N36=TRUE,'Sep 2027'!N36="x",'Sep 2027'!N36="X"),1,0))</f>
        <v/>
      </c>
      <c r="AE354" s="345">
        <f>IF($A354="","",IF(OR('Sep 2027'!N37=TRUE,'Sep 2027'!N37="x",'Sep 2027'!N37="X"),1,0))</f>
        <v/>
      </c>
      <c r="AF354" s="345">
        <f>IF($A354="","",IF('Sep 2027'!N59="","",'Sep 2027'!N59))</f>
        <v/>
      </c>
      <c r="AG354" s="345">
        <f>IF($A354="","",IF('Sep 2027'!N60="","",'Sep 2027'!N60))</f>
        <v/>
      </c>
      <c r="AH354" s="345">
        <f>IF($A354="","",IF('Sep 2027'!N61="","",'Sep 2027'!N61))</f>
        <v/>
      </c>
      <c r="AI354" s="345">
        <f>IF($A354="","",IF('Sep 2027'!N62="","",'Sep 2027'!N62))</f>
        <v/>
      </c>
      <c r="AJ354" s="345">
        <f>IF($A354="","",IF('Sep 2027'!N63="","",'Sep 2027'!N63))</f>
        <v/>
      </c>
      <c r="AK354" s="345">
        <f>IF($A354="","",IF('Sep 2027'!N64="","",'Sep 2027'!N64))</f>
        <v/>
      </c>
      <c r="AL354" s="345">
        <f>IF($A354="","",IF('Sep 2027'!N65="","",'Sep 2027'!N65))</f>
        <v/>
      </c>
      <c r="AM354" s="345">
        <f>IF($A354="","",IF('Sep 2027'!N66="","",'Sep 2027'!N66))</f>
        <v/>
      </c>
      <c r="AN354" s="345">
        <f>IF($A354="","",IF('Sep 2027'!N67="","",'Sep 2027'!N67))</f>
        <v/>
      </c>
      <c r="AO354" s="345">
        <f>IF($A354="",0,IF(AND($A354&gt;=TrackStart,$A354&lt;=TODAY()),1,0))</f>
        <v/>
      </c>
      <c r="AP354" s="345">
        <f>IF($A354="",0,IF(SUM(F354:AE354)+COUNT(AF354:AN354)&gt;0,1,0))</f>
        <v/>
      </c>
      <c r="AQ354" s="345">
        <f>IF($A354="","",INT(($A354-TrackStart)/7)+1)</f>
        <v/>
      </c>
      <c r="AR354" s="345">
        <f>IF($A354="","",IF(AQ354&lt;=1,Steps1,IF(AQ354=2,Steps2,Steps3)))</f>
        <v/>
      </c>
      <c r="AS354" s="345">
        <f>IF($A354="",0,IF(ISNUMBER(SEARCH(TEXT(D354,"0"),WorkDays&amp;"")),1,0))</f>
        <v/>
      </c>
      <c r="AT354" s="345">
        <f>IF($A354="",0,IF(ISNUMBER(SEARCH(TEXT(D354,"0"),StrDays&amp;"")),1,0))</f>
        <v/>
      </c>
      <c r="AU354" s="345">
        <f>IF($A354="",0,IF(ISNUMBER(AK354),IF(AK354&gt;=SleepMin,1,0),N354))</f>
        <v/>
      </c>
      <c r="AV354" s="345">
        <f>IF($A354="",0,MAX(I354,O354,S354,AC354))</f>
        <v/>
      </c>
      <c r="AW354" s="345">
        <f>IF($A354="",0,IF(ISNUMBER(AH354),IF(AH354&gt;=ProtHit,1,0),0))</f>
        <v/>
      </c>
      <c r="AX354" s="345">
        <f>IF($A354="",0,IF(ISNUMBER(AI354),IF(AI354&gt;=WaterHit,1,0),0))</f>
        <v/>
      </c>
      <c r="AY354" s="345">
        <f>IF($A354="",0,IF(ISNUMBER(AG354),IF(AG354&gt;=AR354,1,0),0))</f>
        <v/>
      </c>
      <c r="AZ354" s="345">
        <f>IF($A354="",0,G354)</f>
        <v/>
      </c>
      <c r="BA354" s="345">
        <f>IF($A354="",0,J354)</f>
        <v/>
      </c>
      <c r="BB354" s="345">
        <f>IF($A354="",0,K354)</f>
        <v/>
      </c>
      <c r="BC354" s="345">
        <f>IF($A354="",0,MAX(L354,AE354))</f>
        <v/>
      </c>
      <c r="BD354" s="344">
        <f>IF($A354="","",(AU354+AV354+AW354+AX354+AY354+AZ354+BB354+BC354+IF(AS354=1,BA354,0))/(8+AS354))</f>
        <v/>
      </c>
      <c r="BE354" s="344">
        <f>IF($A354="","",(IF(ISNUMBER(AI354),IF(AI354&gt;=WaterMVD,1,0),0)+AV354+IF(ISNUMBER(AH354),IF(AH354&gt;=ProtMVD,1,0),0)+MAX(H354,AD354)+AZ354+BB354+AU354)/7)</f>
        <v/>
      </c>
      <c r="BF354" s="344">
        <f>IF(AO354=0,"",IF(E354="S","",IF(AND(AP354=0,$A354=TODAY()),"",IF(E354="M",BE354,BD354))))</f>
        <v/>
      </c>
      <c r="BG354" s="344">
        <f>IF(AO354=0,"",IFERROR(AVERAGEIFS(Data!$BF$4:$BF$375,Data!$A$4:$A$375,"&gt;"&amp;($A354-7),Data!$A$4:$A$375,"&lt;="&amp;$A354),""))</f>
        <v/>
      </c>
      <c r="BH354" s="344">
        <f>IF(AO354=0,"",IFERROR(AVERAGEIFS(Data!$BF$4:$BF$375,Data!$A$4:$A$375,"&gt;"&amp;($A354-30),Data!$A$4:$A$375,"&lt;="&amp;$A354),""))</f>
        <v/>
      </c>
      <c r="BI354" s="359">
        <f>IF($A354="","",IFERROR(AVERAGEIFS(Data!$AF$4:$AF$375,Data!$A$4:$A$375,"&gt;"&amp;($A354-7),Data!$A$4:$A$375,"&lt;="&amp;$A354,Data!$AF$4:$AF$375,"&gt;0"),""))</f>
        <v/>
      </c>
      <c r="BJ354" s="345">
        <f>IF($A354="","",F354+G354+H354+I354+J354+K354+L354+M354+N354-IF(AS354=1,0,J354))</f>
        <v/>
      </c>
      <c r="BK354" s="345">
        <f>IF($A354="","",8+AS354)</f>
        <v/>
      </c>
      <c r="BL354" s="345">
        <f>IF(ISNUMBER(BF354),BF354,NA())</f>
        <v/>
      </c>
      <c r="BM354" s="345">
        <f>IF(ISNUMBER(AF354),AF354,NA())</f>
        <v/>
      </c>
      <c r="BN354" s="345">
        <f>IF(ISNUMBER(BI354),BI354,NA())</f>
        <v/>
      </c>
      <c r="BO354" s="345">
        <f>IF(ISNUMBER(AL354),AL354,NA())</f>
        <v/>
      </c>
      <c r="BP354" s="345">
        <f>IF(ISNUMBER(AM354),AM354,NA())</f>
        <v/>
      </c>
      <c r="BQ354" s="345">
        <f>IF(ISNUMBER(AN354),AN354,NA())</f>
        <v/>
      </c>
    </row>
    <row r="355">
      <c r="A355" s="358">
        <f>IF('Sep 2027'!O7="","",'Sep 2027'!O7)</f>
        <v/>
      </c>
      <c r="B355" s="345" t="n">
        <v>12</v>
      </c>
      <c r="C355" s="345">
        <f>IF($A355="","",11)</f>
        <v/>
      </c>
      <c r="D355" s="345">
        <f>IF($A355="","",WEEKDAY($A355,2))</f>
        <v/>
      </c>
      <c r="E355" s="345">
        <f>IF($A355="","",UPPER(TRIM('Sep 2027'!O8)))</f>
        <v/>
      </c>
      <c r="F355" s="345">
        <f>IF($A355="","",IF(OR('Sep 2027'!O10=TRUE,'Sep 2027'!O10="x",'Sep 2027'!O10="X"),1,0))</f>
        <v/>
      </c>
      <c r="G355" s="345">
        <f>IF($A355="","",IF(OR('Sep 2027'!O11=TRUE,'Sep 2027'!O11="x",'Sep 2027'!O11="X"),1,0))</f>
        <v/>
      </c>
      <c r="H355" s="345">
        <f>IF($A355="","",IF(OR('Sep 2027'!O12=TRUE,'Sep 2027'!O12="x",'Sep 2027'!O12="X"),1,0))</f>
        <v/>
      </c>
      <c r="I355" s="345">
        <f>IF($A355="","",IF(OR('Sep 2027'!O13=TRUE,'Sep 2027'!O13="x",'Sep 2027'!O13="X"),1,0))</f>
        <v/>
      </c>
      <c r="J355" s="345">
        <f>IF($A355="","",IF(OR('Sep 2027'!O14=TRUE,'Sep 2027'!O14="x",'Sep 2027'!O14="X"),1,0))</f>
        <v/>
      </c>
      <c r="K355" s="345">
        <f>IF($A355="","",IF(OR('Sep 2027'!O15=TRUE,'Sep 2027'!O15="x",'Sep 2027'!O15="X"),1,0))</f>
        <v/>
      </c>
      <c r="L355" s="345">
        <f>IF($A355="","",IF(OR('Sep 2027'!O16=TRUE,'Sep 2027'!O16="x",'Sep 2027'!O16="X"),1,0))</f>
        <v/>
      </c>
      <c r="M355" s="345">
        <f>IF($A355="","",IF(OR('Sep 2027'!O17=TRUE,'Sep 2027'!O17="x",'Sep 2027'!O17="X"),1,0))</f>
        <v/>
      </c>
      <c r="N355" s="345">
        <f>IF($A355="","",IF(OR('Sep 2027'!O18=TRUE,'Sep 2027'!O18="x",'Sep 2027'!O18="X"),1,0))</f>
        <v/>
      </c>
      <c r="O355" s="345">
        <f>IF($A355="","",IF(OR('Sep 2027'!O20=TRUE,'Sep 2027'!O20="x",'Sep 2027'!O20="X"),1,0))</f>
        <v/>
      </c>
      <c r="P355" s="345">
        <f>IF($A355="","",IF(OR('Sep 2027'!O21=TRUE,'Sep 2027'!O21="x",'Sep 2027'!O21="X"),1,0))</f>
        <v/>
      </c>
      <c r="Q355" s="345">
        <f>IF($A355="","",IF(OR('Sep 2027'!O22=TRUE,'Sep 2027'!O22="x",'Sep 2027'!O22="X"),1,0))</f>
        <v/>
      </c>
      <c r="R355" s="345">
        <f>IF($A355="","",IF(OR('Sep 2027'!O23=TRUE,'Sep 2027'!O23="x",'Sep 2027'!O23="X"),1,0))</f>
        <v/>
      </c>
      <c r="S355" s="345">
        <f>IF($A355="","",IF(OR('Sep 2027'!O24=TRUE,'Sep 2027'!O24="x",'Sep 2027'!O24="X"),1,0))</f>
        <v/>
      </c>
      <c r="T355" s="345">
        <f>IF($A355="","",IF(OR('Sep 2027'!O25=TRUE,'Sep 2027'!O25="x",'Sep 2027'!O25="X"),1,0))</f>
        <v/>
      </c>
      <c r="U355" s="345">
        <f>IF($A355="","",IF(OR('Sep 2027'!O26=TRUE,'Sep 2027'!O26="x",'Sep 2027'!O26="X"),1,0))</f>
        <v/>
      </c>
      <c r="V355" s="345">
        <f>IF($A355="","",IF(OR('Sep 2027'!O27=TRUE,'Sep 2027'!O27="x",'Sep 2027'!O27="X"),1,0))</f>
        <v/>
      </c>
      <c r="W355" s="345">
        <f>IF($A355="","",IF(OR('Sep 2027'!O28=TRUE,'Sep 2027'!O28="x",'Sep 2027'!O28="X"),1,0))</f>
        <v/>
      </c>
      <c r="X355" s="345">
        <f>IF($A355="","",IF(OR('Sep 2027'!O29=TRUE,'Sep 2027'!O29="x",'Sep 2027'!O29="X"),1,0))</f>
        <v/>
      </c>
      <c r="Y355" s="345">
        <f>IF($A355="","",IF(OR('Sep 2027'!O30=TRUE,'Sep 2027'!O30="x",'Sep 2027'!O30="X"),1,0))</f>
        <v/>
      </c>
      <c r="Z355" s="345">
        <f>IF($A355="","",IF(OR('Sep 2027'!O31=TRUE,'Sep 2027'!O31="x",'Sep 2027'!O31="X"),1,0))</f>
        <v/>
      </c>
      <c r="AA355" s="345">
        <f>IF($A355="","",IF(OR('Sep 2027'!O32=TRUE,'Sep 2027'!O32="x",'Sep 2027'!O32="X"),1,0))</f>
        <v/>
      </c>
      <c r="AB355" s="345">
        <f>IF($A355="","",IF(OR('Sep 2027'!O34=TRUE,'Sep 2027'!O34="x",'Sep 2027'!O34="X"),1,0))</f>
        <v/>
      </c>
      <c r="AC355" s="345">
        <f>IF($A355="","",IF(OR('Sep 2027'!O35=TRUE,'Sep 2027'!O35="x",'Sep 2027'!O35="X"),1,0))</f>
        <v/>
      </c>
      <c r="AD355" s="345">
        <f>IF($A355="","",IF(OR('Sep 2027'!O36=TRUE,'Sep 2027'!O36="x",'Sep 2027'!O36="X"),1,0))</f>
        <v/>
      </c>
      <c r="AE355" s="345">
        <f>IF($A355="","",IF(OR('Sep 2027'!O37=TRUE,'Sep 2027'!O37="x",'Sep 2027'!O37="X"),1,0))</f>
        <v/>
      </c>
      <c r="AF355" s="345">
        <f>IF($A355="","",IF('Sep 2027'!O59="","",'Sep 2027'!O59))</f>
        <v/>
      </c>
      <c r="AG355" s="345">
        <f>IF($A355="","",IF('Sep 2027'!O60="","",'Sep 2027'!O60))</f>
        <v/>
      </c>
      <c r="AH355" s="345">
        <f>IF($A355="","",IF('Sep 2027'!O61="","",'Sep 2027'!O61))</f>
        <v/>
      </c>
      <c r="AI355" s="345">
        <f>IF($A355="","",IF('Sep 2027'!O62="","",'Sep 2027'!O62))</f>
        <v/>
      </c>
      <c r="AJ355" s="345">
        <f>IF($A355="","",IF('Sep 2027'!O63="","",'Sep 2027'!O63))</f>
        <v/>
      </c>
      <c r="AK355" s="345">
        <f>IF($A355="","",IF('Sep 2027'!O64="","",'Sep 2027'!O64))</f>
        <v/>
      </c>
      <c r="AL355" s="345">
        <f>IF($A355="","",IF('Sep 2027'!O65="","",'Sep 2027'!O65))</f>
        <v/>
      </c>
      <c r="AM355" s="345">
        <f>IF($A355="","",IF('Sep 2027'!O66="","",'Sep 2027'!O66))</f>
        <v/>
      </c>
      <c r="AN355" s="345">
        <f>IF($A355="","",IF('Sep 2027'!O67="","",'Sep 2027'!O67))</f>
        <v/>
      </c>
      <c r="AO355" s="345">
        <f>IF($A355="",0,IF(AND($A355&gt;=TrackStart,$A355&lt;=TODAY()),1,0))</f>
        <v/>
      </c>
      <c r="AP355" s="345">
        <f>IF($A355="",0,IF(SUM(F355:AE355)+COUNT(AF355:AN355)&gt;0,1,0))</f>
        <v/>
      </c>
      <c r="AQ355" s="345">
        <f>IF($A355="","",INT(($A355-TrackStart)/7)+1)</f>
        <v/>
      </c>
      <c r="AR355" s="345">
        <f>IF($A355="","",IF(AQ355&lt;=1,Steps1,IF(AQ355=2,Steps2,Steps3)))</f>
        <v/>
      </c>
      <c r="AS355" s="345">
        <f>IF($A355="",0,IF(ISNUMBER(SEARCH(TEXT(D355,"0"),WorkDays&amp;"")),1,0))</f>
        <v/>
      </c>
      <c r="AT355" s="345">
        <f>IF($A355="",0,IF(ISNUMBER(SEARCH(TEXT(D355,"0"),StrDays&amp;"")),1,0))</f>
        <v/>
      </c>
      <c r="AU355" s="345">
        <f>IF($A355="",0,IF(ISNUMBER(AK355),IF(AK355&gt;=SleepMin,1,0),N355))</f>
        <v/>
      </c>
      <c r="AV355" s="345">
        <f>IF($A355="",0,MAX(I355,O355,S355,AC355))</f>
        <v/>
      </c>
      <c r="AW355" s="345">
        <f>IF($A355="",0,IF(ISNUMBER(AH355),IF(AH355&gt;=ProtHit,1,0),0))</f>
        <v/>
      </c>
      <c r="AX355" s="345">
        <f>IF($A355="",0,IF(ISNUMBER(AI355),IF(AI355&gt;=WaterHit,1,0),0))</f>
        <v/>
      </c>
      <c r="AY355" s="345">
        <f>IF($A355="",0,IF(ISNUMBER(AG355),IF(AG355&gt;=AR355,1,0),0))</f>
        <v/>
      </c>
      <c r="AZ355" s="345">
        <f>IF($A355="",0,G355)</f>
        <v/>
      </c>
      <c r="BA355" s="345">
        <f>IF($A355="",0,J355)</f>
        <v/>
      </c>
      <c r="BB355" s="345">
        <f>IF($A355="",0,K355)</f>
        <v/>
      </c>
      <c r="BC355" s="345">
        <f>IF($A355="",0,MAX(L355,AE355))</f>
        <v/>
      </c>
      <c r="BD355" s="344">
        <f>IF($A355="","",(AU355+AV355+AW355+AX355+AY355+AZ355+BB355+BC355+IF(AS355=1,BA355,0))/(8+AS355))</f>
        <v/>
      </c>
      <c r="BE355" s="344">
        <f>IF($A355="","",(IF(ISNUMBER(AI355),IF(AI355&gt;=WaterMVD,1,0),0)+AV355+IF(ISNUMBER(AH355),IF(AH355&gt;=ProtMVD,1,0),0)+MAX(H355,AD355)+AZ355+BB355+AU355)/7)</f>
        <v/>
      </c>
      <c r="BF355" s="344">
        <f>IF(AO355=0,"",IF(E355="S","",IF(AND(AP355=0,$A355=TODAY()),"",IF(E355="M",BE355,BD355))))</f>
        <v/>
      </c>
      <c r="BG355" s="344">
        <f>IF(AO355=0,"",IFERROR(AVERAGEIFS(Data!$BF$4:$BF$375,Data!$A$4:$A$375,"&gt;"&amp;($A355-7),Data!$A$4:$A$375,"&lt;="&amp;$A355),""))</f>
        <v/>
      </c>
      <c r="BH355" s="344">
        <f>IF(AO355=0,"",IFERROR(AVERAGEIFS(Data!$BF$4:$BF$375,Data!$A$4:$A$375,"&gt;"&amp;($A355-30),Data!$A$4:$A$375,"&lt;="&amp;$A355),""))</f>
        <v/>
      </c>
      <c r="BI355" s="359">
        <f>IF($A355="","",IFERROR(AVERAGEIFS(Data!$AF$4:$AF$375,Data!$A$4:$A$375,"&gt;"&amp;($A355-7),Data!$A$4:$A$375,"&lt;="&amp;$A355,Data!$AF$4:$AF$375,"&gt;0"),""))</f>
        <v/>
      </c>
      <c r="BJ355" s="345">
        <f>IF($A355="","",F355+G355+H355+I355+J355+K355+L355+M355+N355-IF(AS355=1,0,J355))</f>
        <v/>
      </c>
      <c r="BK355" s="345">
        <f>IF($A355="","",8+AS355)</f>
        <v/>
      </c>
      <c r="BL355" s="345">
        <f>IF(ISNUMBER(BF355),BF355,NA())</f>
        <v/>
      </c>
      <c r="BM355" s="345">
        <f>IF(ISNUMBER(AF355),AF355,NA())</f>
        <v/>
      </c>
      <c r="BN355" s="345">
        <f>IF(ISNUMBER(BI355),BI355,NA())</f>
        <v/>
      </c>
      <c r="BO355" s="345">
        <f>IF(ISNUMBER(AL355),AL355,NA())</f>
        <v/>
      </c>
      <c r="BP355" s="345">
        <f>IF(ISNUMBER(AM355),AM355,NA())</f>
        <v/>
      </c>
      <c r="BQ355" s="345">
        <f>IF(ISNUMBER(AN355),AN355,NA())</f>
        <v/>
      </c>
    </row>
    <row r="356">
      <c r="A356" s="358">
        <f>IF('Sep 2027'!P7="","",'Sep 2027'!P7)</f>
        <v/>
      </c>
      <c r="B356" s="345" t="n">
        <v>12</v>
      </c>
      <c r="C356" s="345">
        <f>IF($A356="","",12)</f>
        <v/>
      </c>
      <c r="D356" s="345">
        <f>IF($A356="","",WEEKDAY($A356,2))</f>
        <v/>
      </c>
      <c r="E356" s="345">
        <f>IF($A356="","",UPPER(TRIM('Sep 2027'!P8)))</f>
        <v/>
      </c>
      <c r="F356" s="345">
        <f>IF($A356="","",IF(OR('Sep 2027'!P10=TRUE,'Sep 2027'!P10="x",'Sep 2027'!P10="X"),1,0))</f>
        <v/>
      </c>
      <c r="G356" s="345">
        <f>IF($A356="","",IF(OR('Sep 2027'!P11=TRUE,'Sep 2027'!P11="x",'Sep 2027'!P11="X"),1,0))</f>
        <v/>
      </c>
      <c r="H356" s="345">
        <f>IF($A356="","",IF(OR('Sep 2027'!P12=TRUE,'Sep 2027'!P12="x",'Sep 2027'!P12="X"),1,0))</f>
        <v/>
      </c>
      <c r="I356" s="345">
        <f>IF($A356="","",IF(OR('Sep 2027'!P13=TRUE,'Sep 2027'!P13="x",'Sep 2027'!P13="X"),1,0))</f>
        <v/>
      </c>
      <c r="J356" s="345">
        <f>IF($A356="","",IF(OR('Sep 2027'!P14=TRUE,'Sep 2027'!P14="x",'Sep 2027'!P14="X"),1,0))</f>
        <v/>
      </c>
      <c r="K356" s="345">
        <f>IF($A356="","",IF(OR('Sep 2027'!P15=TRUE,'Sep 2027'!P15="x",'Sep 2027'!P15="X"),1,0))</f>
        <v/>
      </c>
      <c r="L356" s="345">
        <f>IF($A356="","",IF(OR('Sep 2027'!P16=TRUE,'Sep 2027'!P16="x",'Sep 2027'!P16="X"),1,0))</f>
        <v/>
      </c>
      <c r="M356" s="345">
        <f>IF($A356="","",IF(OR('Sep 2027'!P17=TRUE,'Sep 2027'!P17="x",'Sep 2027'!P17="X"),1,0))</f>
        <v/>
      </c>
      <c r="N356" s="345">
        <f>IF($A356="","",IF(OR('Sep 2027'!P18=TRUE,'Sep 2027'!P18="x",'Sep 2027'!P18="X"),1,0))</f>
        <v/>
      </c>
      <c r="O356" s="345">
        <f>IF($A356="","",IF(OR('Sep 2027'!P20=TRUE,'Sep 2027'!P20="x",'Sep 2027'!P20="X"),1,0))</f>
        <v/>
      </c>
      <c r="P356" s="345">
        <f>IF($A356="","",IF(OR('Sep 2027'!P21=TRUE,'Sep 2027'!P21="x",'Sep 2027'!P21="X"),1,0))</f>
        <v/>
      </c>
      <c r="Q356" s="345">
        <f>IF($A356="","",IF(OR('Sep 2027'!P22=TRUE,'Sep 2027'!P22="x",'Sep 2027'!P22="X"),1,0))</f>
        <v/>
      </c>
      <c r="R356" s="345">
        <f>IF($A356="","",IF(OR('Sep 2027'!P23=TRUE,'Sep 2027'!P23="x",'Sep 2027'!P23="X"),1,0))</f>
        <v/>
      </c>
      <c r="S356" s="345">
        <f>IF($A356="","",IF(OR('Sep 2027'!P24=TRUE,'Sep 2027'!P24="x",'Sep 2027'!P24="X"),1,0))</f>
        <v/>
      </c>
      <c r="T356" s="345">
        <f>IF($A356="","",IF(OR('Sep 2027'!P25=TRUE,'Sep 2027'!P25="x",'Sep 2027'!P25="X"),1,0))</f>
        <v/>
      </c>
      <c r="U356" s="345">
        <f>IF($A356="","",IF(OR('Sep 2027'!P26=TRUE,'Sep 2027'!P26="x",'Sep 2027'!P26="X"),1,0))</f>
        <v/>
      </c>
      <c r="V356" s="345">
        <f>IF($A356="","",IF(OR('Sep 2027'!P27=TRUE,'Sep 2027'!P27="x",'Sep 2027'!P27="X"),1,0))</f>
        <v/>
      </c>
      <c r="W356" s="345">
        <f>IF($A356="","",IF(OR('Sep 2027'!P28=TRUE,'Sep 2027'!P28="x",'Sep 2027'!P28="X"),1,0))</f>
        <v/>
      </c>
      <c r="X356" s="345">
        <f>IF($A356="","",IF(OR('Sep 2027'!P29=TRUE,'Sep 2027'!P29="x",'Sep 2027'!P29="X"),1,0))</f>
        <v/>
      </c>
      <c r="Y356" s="345">
        <f>IF($A356="","",IF(OR('Sep 2027'!P30=TRUE,'Sep 2027'!P30="x",'Sep 2027'!P30="X"),1,0))</f>
        <v/>
      </c>
      <c r="Z356" s="345">
        <f>IF($A356="","",IF(OR('Sep 2027'!P31=TRUE,'Sep 2027'!P31="x",'Sep 2027'!P31="X"),1,0))</f>
        <v/>
      </c>
      <c r="AA356" s="345">
        <f>IF($A356="","",IF(OR('Sep 2027'!P32=TRUE,'Sep 2027'!P32="x",'Sep 2027'!P32="X"),1,0))</f>
        <v/>
      </c>
      <c r="AB356" s="345">
        <f>IF($A356="","",IF(OR('Sep 2027'!P34=TRUE,'Sep 2027'!P34="x",'Sep 2027'!P34="X"),1,0))</f>
        <v/>
      </c>
      <c r="AC356" s="345">
        <f>IF($A356="","",IF(OR('Sep 2027'!P35=TRUE,'Sep 2027'!P35="x",'Sep 2027'!P35="X"),1,0))</f>
        <v/>
      </c>
      <c r="AD356" s="345">
        <f>IF($A356="","",IF(OR('Sep 2027'!P36=TRUE,'Sep 2027'!P36="x",'Sep 2027'!P36="X"),1,0))</f>
        <v/>
      </c>
      <c r="AE356" s="345">
        <f>IF($A356="","",IF(OR('Sep 2027'!P37=TRUE,'Sep 2027'!P37="x",'Sep 2027'!P37="X"),1,0))</f>
        <v/>
      </c>
      <c r="AF356" s="345">
        <f>IF($A356="","",IF('Sep 2027'!P59="","",'Sep 2027'!P59))</f>
        <v/>
      </c>
      <c r="AG356" s="345">
        <f>IF($A356="","",IF('Sep 2027'!P60="","",'Sep 2027'!P60))</f>
        <v/>
      </c>
      <c r="AH356" s="345">
        <f>IF($A356="","",IF('Sep 2027'!P61="","",'Sep 2027'!P61))</f>
        <v/>
      </c>
      <c r="AI356" s="345">
        <f>IF($A356="","",IF('Sep 2027'!P62="","",'Sep 2027'!P62))</f>
        <v/>
      </c>
      <c r="AJ356" s="345">
        <f>IF($A356="","",IF('Sep 2027'!P63="","",'Sep 2027'!P63))</f>
        <v/>
      </c>
      <c r="AK356" s="345">
        <f>IF($A356="","",IF('Sep 2027'!P64="","",'Sep 2027'!P64))</f>
        <v/>
      </c>
      <c r="AL356" s="345">
        <f>IF($A356="","",IF('Sep 2027'!P65="","",'Sep 2027'!P65))</f>
        <v/>
      </c>
      <c r="AM356" s="345">
        <f>IF($A356="","",IF('Sep 2027'!P66="","",'Sep 2027'!P66))</f>
        <v/>
      </c>
      <c r="AN356" s="345">
        <f>IF($A356="","",IF('Sep 2027'!P67="","",'Sep 2027'!P67))</f>
        <v/>
      </c>
      <c r="AO356" s="345">
        <f>IF($A356="",0,IF(AND($A356&gt;=TrackStart,$A356&lt;=TODAY()),1,0))</f>
        <v/>
      </c>
      <c r="AP356" s="345">
        <f>IF($A356="",0,IF(SUM(F356:AE356)+COUNT(AF356:AN356)&gt;0,1,0))</f>
        <v/>
      </c>
      <c r="AQ356" s="345">
        <f>IF($A356="","",INT(($A356-TrackStart)/7)+1)</f>
        <v/>
      </c>
      <c r="AR356" s="345">
        <f>IF($A356="","",IF(AQ356&lt;=1,Steps1,IF(AQ356=2,Steps2,Steps3)))</f>
        <v/>
      </c>
      <c r="AS356" s="345">
        <f>IF($A356="",0,IF(ISNUMBER(SEARCH(TEXT(D356,"0"),WorkDays&amp;"")),1,0))</f>
        <v/>
      </c>
      <c r="AT356" s="345">
        <f>IF($A356="",0,IF(ISNUMBER(SEARCH(TEXT(D356,"0"),StrDays&amp;"")),1,0))</f>
        <v/>
      </c>
      <c r="AU356" s="345">
        <f>IF($A356="",0,IF(ISNUMBER(AK356),IF(AK356&gt;=SleepMin,1,0),N356))</f>
        <v/>
      </c>
      <c r="AV356" s="345">
        <f>IF($A356="",0,MAX(I356,O356,S356,AC356))</f>
        <v/>
      </c>
      <c r="AW356" s="345">
        <f>IF($A356="",0,IF(ISNUMBER(AH356),IF(AH356&gt;=ProtHit,1,0),0))</f>
        <v/>
      </c>
      <c r="AX356" s="345">
        <f>IF($A356="",0,IF(ISNUMBER(AI356),IF(AI356&gt;=WaterHit,1,0),0))</f>
        <v/>
      </c>
      <c r="AY356" s="345">
        <f>IF($A356="",0,IF(ISNUMBER(AG356),IF(AG356&gt;=AR356,1,0),0))</f>
        <v/>
      </c>
      <c r="AZ356" s="345">
        <f>IF($A356="",0,G356)</f>
        <v/>
      </c>
      <c r="BA356" s="345">
        <f>IF($A356="",0,J356)</f>
        <v/>
      </c>
      <c r="BB356" s="345">
        <f>IF($A356="",0,K356)</f>
        <v/>
      </c>
      <c r="BC356" s="345">
        <f>IF($A356="",0,MAX(L356,AE356))</f>
        <v/>
      </c>
      <c r="BD356" s="344">
        <f>IF($A356="","",(AU356+AV356+AW356+AX356+AY356+AZ356+BB356+BC356+IF(AS356=1,BA356,0))/(8+AS356))</f>
        <v/>
      </c>
      <c r="BE356" s="344">
        <f>IF($A356="","",(IF(ISNUMBER(AI356),IF(AI356&gt;=WaterMVD,1,0),0)+AV356+IF(ISNUMBER(AH356),IF(AH356&gt;=ProtMVD,1,0),0)+MAX(H356,AD356)+AZ356+BB356+AU356)/7)</f>
        <v/>
      </c>
      <c r="BF356" s="344">
        <f>IF(AO356=0,"",IF(E356="S","",IF(AND(AP356=0,$A356=TODAY()),"",IF(E356="M",BE356,BD356))))</f>
        <v/>
      </c>
      <c r="BG356" s="344">
        <f>IF(AO356=0,"",IFERROR(AVERAGEIFS(Data!$BF$4:$BF$375,Data!$A$4:$A$375,"&gt;"&amp;($A356-7),Data!$A$4:$A$375,"&lt;="&amp;$A356),""))</f>
        <v/>
      </c>
      <c r="BH356" s="344">
        <f>IF(AO356=0,"",IFERROR(AVERAGEIFS(Data!$BF$4:$BF$375,Data!$A$4:$A$375,"&gt;"&amp;($A356-30),Data!$A$4:$A$375,"&lt;="&amp;$A356),""))</f>
        <v/>
      </c>
      <c r="BI356" s="359">
        <f>IF($A356="","",IFERROR(AVERAGEIFS(Data!$AF$4:$AF$375,Data!$A$4:$A$375,"&gt;"&amp;($A356-7),Data!$A$4:$A$375,"&lt;="&amp;$A356,Data!$AF$4:$AF$375,"&gt;0"),""))</f>
        <v/>
      </c>
      <c r="BJ356" s="345">
        <f>IF($A356="","",F356+G356+H356+I356+J356+K356+L356+M356+N356-IF(AS356=1,0,J356))</f>
        <v/>
      </c>
      <c r="BK356" s="345">
        <f>IF($A356="","",8+AS356)</f>
        <v/>
      </c>
      <c r="BL356" s="345">
        <f>IF(ISNUMBER(BF356),BF356,NA())</f>
        <v/>
      </c>
      <c r="BM356" s="345">
        <f>IF(ISNUMBER(AF356),AF356,NA())</f>
        <v/>
      </c>
      <c r="BN356" s="345">
        <f>IF(ISNUMBER(BI356),BI356,NA())</f>
        <v/>
      </c>
      <c r="BO356" s="345">
        <f>IF(ISNUMBER(AL356),AL356,NA())</f>
        <v/>
      </c>
      <c r="BP356" s="345">
        <f>IF(ISNUMBER(AM356),AM356,NA())</f>
        <v/>
      </c>
      <c r="BQ356" s="345">
        <f>IF(ISNUMBER(AN356),AN356,NA())</f>
        <v/>
      </c>
    </row>
    <row r="357">
      <c r="A357" s="358">
        <f>IF('Sep 2027'!Q7="","",'Sep 2027'!Q7)</f>
        <v/>
      </c>
      <c r="B357" s="345" t="n">
        <v>12</v>
      </c>
      <c r="C357" s="345">
        <f>IF($A357="","",13)</f>
        <v/>
      </c>
      <c r="D357" s="345">
        <f>IF($A357="","",WEEKDAY($A357,2))</f>
        <v/>
      </c>
      <c r="E357" s="345">
        <f>IF($A357="","",UPPER(TRIM('Sep 2027'!Q8)))</f>
        <v/>
      </c>
      <c r="F357" s="345">
        <f>IF($A357="","",IF(OR('Sep 2027'!Q10=TRUE,'Sep 2027'!Q10="x",'Sep 2027'!Q10="X"),1,0))</f>
        <v/>
      </c>
      <c r="G357" s="345">
        <f>IF($A357="","",IF(OR('Sep 2027'!Q11=TRUE,'Sep 2027'!Q11="x",'Sep 2027'!Q11="X"),1,0))</f>
        <v/>
      </c>
      <c r="H357" s="345">
        <f>IF($A357="","",IF(OR('Sep 2027'!Q12=TRUE,'Sep 2027'!Q12="x",'Sep 2027'!Q12="X"),1,0))</f>
        <v/>
      </c>
      <c r="I357" s="345">
        <f>IF($A357="","",IF(OR('Sep 2027'!Q13=TRUE,'Sep 2027'!Q13="x",'Sep 2027'!Q13="X"),1,0))</f>
        <v/>
      </c>
      <c r="J357" s="345">
        <f>IF($A357="","",IF(OR('Sep 2027'!Q14=TRUE,'Sep 2027'!Q14="x",'Sep 2027'!Q14="X"),1,0))</f>
        <v/>
      </c>
      <c r="K357" s="345">
        <f>IF($A357="","",IF(OR('Sep 2027'!Q15=TRUE,'Sep 2027'!Q15="x",'Sep 2027'!Q15="X"),1,0))</f>
        <v/>
      </c>
      <c r="L357" s="345">
        <f>IF($A357="","",IF(OR('Sep 2027'!Q16=TRUE,'Sep 2027'!Q16="x",'Sep 2027'!Q16="X"),1,0))</f>
        <v/>
      </c>
      <c r="M357" s="345">
        <f>IF($A357="","",IF(OR('Sep 2027'!Q17=TRUE,'Sep 2027'!Q17="x",'Sep 2027'!Q17="X"),1,0))</f>
        <v/>
      </c>
      <c r="N357" s="345">
        <f>IF($A357="","",IF(OR('Sep 2027'!Q18=TRUE,'Sep 2027'!Q18="x",'Sep 2027'!Q18="X"),1,0))</f>
        <v/>
      </c>
      <c r="O357" s="345">
        <f>IF($A357="","",IF(OR('Sep 2027'!Q20=TRUE,'Sep 2027'!Q20="x",'Sep 2027'!Q20="X"),1,0))</f>
        <v/>
      </c>
      <c r="P357" s="345">
        <f>IF($A357="","",IF(OR('Sep 2027'!Q21=TRUE,'Sep 2027'!Q21="x",'Sep 2027'!Q21="X"),1,0))</f>
        <v/>
      </c>
      <c r="Q357" s="345">
        <f>IF($A357="","",IF(OR('Sep 2027'!Q22=TRUE,'Sep 2027'!Q22="x",'Sep 2027'!Q22="X"),1,0))</f>
        <v/>
      </c>
      <c r="R357" s="345">
        <f>IF($A357="","",IF(OR('Sep 2027'!Q23=TRUE,'Sep 2027'!Q23="x",'Sep 2027'!Q23="X"),1,0))</f>
        <v/>
      </c>
      <c r="S357" s="345">
        <f>IF($A357="","",IF(OR('Sep 2027'!Q24=TRUE,'Sep 2027'!Q24="x",'Sep 2027'!Q24="X"),1,0))</f>
        <v/>
      </c>
      <c r="T357" s="345">
        <f>IF($A357="","",IF(OR('Sep 2027'!Q25=TRUE,'Sep 2027'!Q25="x",'Sep 2027'!Q25="X"),1,0))</f>
        <v/>
      </c>
      <c r="U357" s="345">
        <f>IF($A357="","",IF(OR('Sep 2027'!Q26=TRUE,'Sep 2027'!Q26="x",'Sep 2027'!Q26="X"),1,0))</f>
        <v/>
      </c>
      <c r="V357" s="345">
        <f>IF($A357="","",IF(OR('Sep 2027'!Q27=TRUE,'Sep 2027'!Q27="x",'Sep 2027'!Q27="X"),1,0))</f>
        <v/>
      </c>
      <c r="W357" s="345">
        <f>IF($A357="","",IF(OR('Sep 2027'!Q28=TRUE,'Sep 2027'!Q28="x",'Sep 2027'!Q28="X"),1,0))</f>
        <v/>
      </c>
      <c r="X357" s="345">
        <f>IF($A357="","",IF(OR('Sep 2027'!Q29=TRUE,'Sep 2027'!Q29="x",'Sep 2027'!Q29="X"),1,0))</f>
        <v/>
      </c>
      <c r="Y357" s="345">
        <f>IF($A357="","",IF(OR('Sep 2027'!Q30=TRUE,'Sep 2027'!Q30="x",'Sep 2027'!Q30="X"),1,0))</f>
        <v/>
      </c>
      <c r="Z357" s="345">
        <f>IF($A357="","",IF(OR('Sep 2027'!Q31=TRUE,'Sep 2027'!Q31="x",'Sep 2027'!Q31="X"),1,0))</f>
        <v/>
      </c>
      <c r="AA357" s="345">
        <f>IF($A357="","",IF(OR('Sep 2027'!Q32=TRUE,'Sep 2027'!Q32="x",'Sep 2027'!Q32="X"),1,0))</f>
        <v/>
      </c>
      <c r="AB357" s="345">
        <f>IF($A357="","",IF(OR('Sep 2027'!Q34=TRUE,'Sep 2027'!Q34="x",'Sep 2027'!Q34="X"),1,0))</f>
        <v/>
      </c>
      <c r="AC357" s="345">
        <f>IF($A357="","",IF(OR('Sep 2027'!Q35=TRUE,'Sep 2027'!Q35="x",'Sep 2027'!Q35="X"),1,0))</f>
        <v/>
      </c>
      <c r="AD357" s="345">
        <f>IF($A357="","",IF(OR('Sep 2027'!Q36=TRUE,'Sep 2027'!Q36="x",'Sep 2027'!Q36="X"),1,0))</f>
        <v/>
      </c>
      <c r="AE357" s="345">
        <f>IF($A357="","",IF(OR('Sep 2027'!Q37=TRUE,'Sep 2027'!Q37="x",'Sep 2027'!Q37="X"),1,0))</f>
        <v/>
      </c>
      <c r="AF357" s="345">
        <f>IF($A357="","",IF('Sep 2027'!Q59="","",'Sep 2027'!Q59))</f>
        <v/>
      </c>
      <c r="AG357" s="345">
        <f>IF($A357="","",IF('Sep 2027'!Q60="","",'Sep 2027'!Q60))</f>
        <v/>
      </c>
      <c r="AH357" s="345">
        <f>IF($A357="","",IF('Sep 2027'!Q61="","",'Sep 2027'!Q61))</f>
        <v/>
      </c>
      <c r="AI357" s="345">
        <f>IF($A357="","",IF('Sep 2027'!Q62="","",'Sep 2027'!Q62))</f>
        <v/>
      </c>
      <c r="AJ357" s="345">
        <f>IF($A357="","",IF('Sep 2027'!Q63="","",'Sep 2027'!Q63))</f>
        <v/>
      </c>
      <c r="AK357" s="345">
        <f>IF($A357="","",IF('Sep 2027'!Q64="","",'Sep 2027'!Q64))</f>
        <v/>
      </c>
      <c r="AL357" s="345">
        <f>IF($A357="","",IF('Sep 2027'!Q65="","",'Sep 2027'!Q65))</f>
        <v/>
      </c>
      <c r="AM357" s="345">
        <f>IF($A357="","",IF('Sep 2027'!Q66="","",'Sep 2027'!Q66))</f>
        <v/>
      </c>
      <c r="AN357" s="345">
        <f>IF($A357="","",IF('Sep 2027'!Q67="","",'Sep 2027'!Q67))</f>
        <v/>
      </c>
      <c r="AO357" s="345">
        <f>IF($A357="",0,IF(AND($A357&gt;=TrackStart,$A357&lt;=TODAY()),1,0))</f>
        <v/>
      </c>
      <c r="AP357" s="345">
        <f>IF($A357="",0,IF(SUM(F357:AE357)+COUNT(AF357:AN357)&gt;0,1,0))</f>
        <v/>
      </c>
      <c r="AQ357" s="345">
        <f>IF($A357="","",INT(($A357-TrackStart)/7)+1)</f>
        <v/>
      </c>
      <c r="AR357" s="345">
        <f>IF($A357="","",IF(AQ357&lt;=1,Steps1,IF(AQ357=2,Steps2,Steps3)))</f>
        <v/>
      </c>
      <c r="AS357" s="345">
        <f>IF($A357="",0,IF(ISNUMBER(SEARCH(TEXT(D357,"0"),WorkDays&amp;"")),1,0))</f>
        <v/>
      </c>
      <c r="AT357" s="345">
        <f>IF($A357="",0,IF(ISNUMBER(SEARCH(TEXT(D357,"0"),StrDays&amp;"")),1,0))</f>
        <v/>
      </c>
      <c r="AU357" s="345">
        <f>IF($A357="",0,IF(ISNUMBER(AK357),IF(AK357&gt;=SleepMin,1,0),N357))</f>
        <v/>
      </c>
      <c r="AV357" s="345">
        <f>IF($A357="",0,MAX(I357,O357,S357,AC357))</f>
        <v/>
      </c>
      <c r="AW357" s="345">
        <f>IF($A357="",0,IF(ISNUMBER(AH357),IF(AH357&gt;=ProtHit,1,0),0))</f>
        <v/>
      </c>
      <c r="AX357" s="345">
        <f>IF($A357="",0,IF(ISNUMBER(AI357),IF(AI357&gt;=WaterHit,1,0),0))</f>
        <v/>
      </c>
      <c r="AY357" s="345">
        <f>IF($A357="",0,IF(ISNUMBER(AG357),IF(AG357&gt;=AR357,1,0),0))</f>
        <v/>
      </c>
      <c r="AZ357" s="345">
        <f>IF($A357="",0,G357)</f>
        <v/>
      </c>
      <c r="BA357" s="345">
        <f>IF($A357="",0,J357)</f>
        <v/>
      </c>
      <c r="BB357" s="345">
        <f>IF($A357="",0,K357)</f>
        <v/>
      </c>
      <c r="BC357" s="345">
        <f>IF($A357="",0,MAX(L357,AE357))</f>
        <v/>
      </c>
      <c r="BD357" s="344">
        <f>IF($A357="","",(AU357+AV357+AW357+AX357+AY357+AZ357+BB357+BC357+IF(AS357=1,BA357,0))/(8+AS357))</f>
        <v/>
      </c>
      <c r="BE357" s="344">
        <f>IF($A357="","",(IF(ISNUMBER(AI357),IF(AI357&gt;=WaterMVD,1,0),0)+AV357+IF(ISNUMBER(AH357),IF(AH357&gt;=ProtMVD,1,0),0)+MAX(H357,AD357)+AZ357+BB357+AU357)/7)</f>
        <v/>
      </c>
      <c r="BF357" s="344">
        <f>IF(AO357=0,"",IF(E357="S","",IF(AND(AP357=0,$A357=TODAY()),"",IF(E357="M",BE357,BD357))))</f>
        <v/>
      </c>
      <c r="BG357" s="344">
        <f>IF(AO357=0,"",IFERROR(AVERAGEIFS(Data!$BF$4:$BF$375,Data!$A$4:$A$375,"&gt;"&amp;($A357-7),Data!$A$4:$A$375,"&lt;="&amp;$A357),""))</f>
        <v/>
      </c>
      <c r="BH357" s="344">
        <f>IF(AO357=0,"",IFERROR(AVERAGEIFS(Data!$BF$4:$BF$375,Data!$A$4:$A$375,"&gt;"&amp;($A357-30),Data!$A$4:$A$375,"&lt;="&amp;$A357),""))</f>
        <v/>
      </c>
      <c r="BI357" s="359">
        <f>IF($A357="","",IFERROR(AVERAGEIFS(Data!$AF$4:$AF$375,Data!$A$4:$A$375,"&gt;"&amp;($A357-7),Data!$A$4:$A$375,"&lt;="&amp;$A357,Data!$AF$4:$AF$375,"&gt;0"),""))</f>
        <v/>
      </c>
      <c r="BJ357" s="345">
        <f>IF($A357="","",F357+G357+H357+I357+J357+K357+L357+M357+N357-IF(AS357=1,0,J357))</f>
        <v/>
      </c>
      <c r="BK357" s="345">
        <f>IF($A357="","",8+AS357)</f>
        <v/>
      </c>
      <c r="BL357" s="345">
        <f>IF(ISNUMBER(BF357),BF357,NA())</f>
        <v/>
      </c>
      <c r="BM357" s="345">
        <f>IF(ISNUMBER(AF357),AF357,NA())</f>
        <v/>
      </c>
      <c r="BN357" s="345">
        <f>IF(ISNUMBER(BI357),BI357,NA())</f>
        <v/>
      </c>
      <c r="BO357" s="345">
        <f>IF(ISNUMBER(AL357),AL357,NA())</f>
        <v/>
      </c>
      <c r="BP357" s="345">
        <f>IF(ISNUMBER(AM357),AM357,NA())</f>
        <v/>
      </c>
      <c r="BQ357" s="345">
        <f>IF(ISNUMBER(AN357),AN357,NA())</f>
        <v/>
      </c>
    </row>
    <row r="358">
      <c r="A358" s="358">
        <f>IF('Sep 2027'!R7="","",'Sep 2027'!R7)</f>
        <v/>
      </c>
      <c r="B358" s="345" t="n">
        <v>12</v>
      </c>
      <c r="C358" s="345">
        <f>IF($A358="","",14)</f>
        <v/>
      </c>
      <c r="D358" s="345">
        <f>IF($A358="","",WEEKDAY($A358,2))</f>
        <v/>
      </c>
      <c r="E358" s="345">
        <f>IF($A358="","",UPPER(TRIM('Sep 2027'!R8)))</f>
        <v/>
      </c>
      <c r="F358" s="345">
        <f>IF($A358="","",IF(OR('Sep 2027'!R10=TRUE,'Sep 2027'!R10="x",'Sep 2027'!R10="X"),1,0))</f>
        <v/>
      </c>
      <c r="G358" s="345">
        <f>IF($A358="","",IF(OR('Sep 2027'!R11=TRUE,'Sep 2027'!R11="x",'Sep 2027'!R11="X"),1,0))</f>
        <v/>
      </c>
      <c r="H358" s="345">
        <f>IF($A358="","",IF(OR('Sep 2027'!R12=TRUE,'Sep 2027'!R12="x",'Sep 2027'!R12="X"),1,0))</f>
        <v/>
      </c>
      <c r="I358" s="345">
        <f>IF($A358="","",IF(OR('Sep 2027'!R13=TRUE,'Sep 2027'!R13="x",'Sep 2027'!R13="X"),1,0))</f>
        <v/>
      </c>
      <c r="J358" s="345">
        <f>IF($A358="","",IF(OR('Sep 2027'!R14=TRUE,'Sep 2027'!R14="x",'Sep 2027'!R14="X"),1,0))</f>
        <v/>
      </c>
      <c r="K358" s="345">
        <f>IF($A358="","",IF(OR('Sep 2027'!R15=TRUE,'Sep 2027'!R15="x",'Sep 2027'!R15="X"),1,0))</f>
        <v/>
      </c>
      <c r="L358" s="345">
        <f>IF($A358="","",IF(OR('Sep 2027'!R16=TRUE,'Sep 2027'!R16="x",'Sep 2027'!R16="X"),1,0))</f>
        <v/>
      </c>
      <c r="M358" s="345">
        <f>IF($A358="","",IF(OR('Sep 2027'!R17=TRUE,'Sep 2027'!R17="x",'Sep 2027'!R17="X"),1,0))</f>
        <v/>
      </c>
      <c r="N358" s="345">
        <f>IF($A358="","",IF(OR('Sep 2027'!R18=TRUE,'Sep 2027'!R18="x",'Sep 2027'!R18="X"),1,0))</f>
        <v/>
      </c>
      <c r="O358" s="345">
        <f>IF($A358="","",IF(OR('Sep 2027'!R20=TRUE,'Sep 2027'!R20="x",'Sep 2027'!R20="X"),1,0))</f>
        <v/>
      </c>
      <c r="P358" s="345">
        <f>IF($A358="","",IF(OR('Sep 2027'!R21=TRUE,'Sep 2027'!R21="x",'Sep 2027'!R21="X"),1,0))</f>
        <v/>
      </c>
      <c r="Q358" s="345">
        <f>IF($A358="","",IF(OR('Sep 2027'!R22=TRUE,'Sep 2027'!R22="x",'Sep 2027'!R22="X"),1,0))</f>
        <v/>
      </c>
      <c r="R358" s="345">
        <f>IF($A358="","",IF(OR('Sep 2027'!R23=TRUE,'Sep 2027'!R23="x",'Sep 2027'!R23="X"),1,0))</f>
        <v/>
      </c>
      <c r="S358" s="345">
        <f>IF($A358="","",IF(OR('Sep 2027'!R24=TRUE,'Sep 2027'!R24="x",'Sep 2027'!R24="X"),1,0))</f>
        <v/>
      </c>
      <c r="T358" s="345">
        <f>IF($A358="","",IF(OR('Sep 2027'!R25=TRUE,'Sep 2027'!R25="x",'Sep 2027'!R25="X"),1,0))</f>
        <v/>
      </c>
      <c r="U358" s="345">
        <f>IF($A358="","",IF(OR('Sep 2027'!R26=TRUE,'Sep 2027'!R26="x",'Sep 2027'!R26="X"),1,0))</f>
        <v/>
      </c>
      <c r="V358" s="345">
        <f>IF($A358="","",IF(OR('Sep 2027'!R27=TRUE,'Sep 2027'!R27="x",'Sep 2027'!R27="X"),1,0))</f>
        <v/>
      </c>
      <c r="W358" s="345">
        <f>IF($A358="","",IF(OR('Sep 2027'!R28=TRUE,'Sep 2027'!R28="x",'Sep 2027'!R28="X"),1,0))</f>
        <v/>
      </c>
      <c r="X358" s="345">
        <f>IF($A358="","",IF(OR('Sep 2027'!R29=TRUE,'Sep 2027'!R29="x",'Sep 2027'!R29="X"),1,0))</f>
        <v/>
      </c>
      <c r="Y358" s="345">
        <f>IF($A358="","",IF(OR('Sep 2027'!R30=TRUE,'Sep 2027'!R30="x",'Sep 2027'!R30="X"),1,0))</f>
        <v/>
      </c>
      <c r="Z358" s="345">
        <f>IF($A358="","",IF(OR('Sep 2027'!R31=TRUE,'Sep 2027'!R31="x",'Sep 2027'!R31="X"),1,0))</f>
        <v/>
      </c>
      <c r="AA358" s="345">
        <f>IF($A358="","",IF(OR('Sep 2027'!R32=TRUE,'Sep 2027'!R32="x",'Sep 2027'!R32="X"),1,0))</f>
        <v/>
      </c>
      <c r="AB358" s="345">
        <f>IF($A358="","",IF(OR('Sep 2027'!R34=TRUE,'Sep 2027'!R34="x",'Sep 2027'!R34="X"),1,0))</f>
        <v/>
      </c>
      <c r="AC358" s="345">
        <f>IF($A358="","",IF(OR('Sep 2027'!R35=TRUE,'Sep 2027'!R35="x",'Sep 2027'!R35="X"),1,0))</f>
        <v/>
      </c>
      <c r="AD358" s="345">
        <f>IF($A358="","",IF(OR('Sep 2027'!R36=TRUE,'Sep 2027'!R36="x",'Sep 2027'!R36="X"),1,0))</f>
        <v/>
      </c>
      <c r="AE358" s="345">
        <f>IF($A358="","",IF(OR('Sep 2027'!R37=TRUE,'Sep 2027'!R37="x",'Sep 2027'!R37="X"),1,0))</f>
        <v/>
      </c>
      <c r="AF358" s="345">
        <f>IF($A358="","",IF('Sep 2027'!R59="","",'Sep 2027'!R59))</f>
        <v/>
      </c>
      <c r="AG358" s="345">
        <f>IF($A358="","",IF('Sep 2027'!R60="","",'Sep 2027'!R60))</f>
        <v/>
      </c>
      <c r="AH358" s="345">
        <f>IF($A358="","",IF('Sep 2027'!R61="","",'Sep 2027'!R61))</f>
        <v/>
      </c>
      <c r="AI358" s="345">
        <f>IF($A358="","",IF('Sep 2027'!R62="","",'Sep 2027'!R62))</f>
        <v/>
      </c>
      <c r="AJ358" s="345">
        <f>IF($A358="","",IF('Sep 2027'!R63="","",'Sep 2027'!R63))</f>
        <v/>
      </c>
      <c r="AK358" s="345">
        <f>IF($A358="","",IF('Sep 2027'!R64="","",'Sep 2027'!R64))</f>
        <v/>
      </c>
      <c r="AL358" s="345">
        <f>IF($A358="","",IF('Sep 2027'!R65="","",'Sep 2027'!R65))</f>
        <v/>
      </c>
      <c r="AM358" s="345">
        <f>IF($A358="","",IF('Sep 2027'!R66="","",'Sep 2027'!R66))</f>
        <v/>
      </c>
      <c r="AN358" s="345">
        <f>IF($A358="","",IF('Sep 2027'!R67="","",'Sep 2027'!R67))</f>
        <v/>
      </c>
      <c r="AO358" s="345">
        <f>IF($A358="",0,IF(AND($A358&gt;=TrackStart,$A358&lt;=TODAY()),1,0))</f>
        <v/>
      </c>
      <c r="AP358" s="345">
        <f>IF($A358="",0,IF(SUM(F358:AE358)+COUNT(AF358:AN358)&gt;0,1,0))</f>
        <v/>
      </c>
      <c r="AQ358" s="345">
        <f>IF($A358="","",INT(($A358-TrackStart)/7)+1)</f>
        <v/>
      </c>
      <c r="AR358" s="345">
        <f>IF($A358="","",IF(AQ358&lt;=1,Steps1,IF(AQ358=2,Steps2,Steps3)))</f>
        <v/>
      </c>
      <c r="AS358" s="345">
        <f>IF($A358="",0,IF(ISNUMBER(SEARCH(TEXT(D358,"0"),WorkDays&amp;"")),1,0))</f>
        <v/>
      </c>
      <c r="AT358" s="345">
        <f>IF($A358="",0,IF(ISNUMBER(SEARCH(TEXT(D358,"0"),StrDays&amp;"")),1,0))</f>
        <v/>
      </c>
      <c r="AU358" s="345">
        <f>IF($A358="",0,IF(ISNUMBER(AK358),IF(AK358&gt;=SleepMin,1,0),N358))</f>
        <v/>
      </c>
      <c r="AV358" s="345">
        <f>IF($A358="",0,MAX(I358,O358,S358,AC358))</f>
        <v/>
      </c>
      <c r="AW358" s="345">
        <f>IF($A358="",0,IF(ISNUMBER(AH358),IF(AH358&gt;=ProtHit,1,0),0))</f>
        <v/>
      </c>
      <c r="AX358" s="345">
        <f>IF($A358="",0,IF(ISNUMBER(AI358),IF(AI358&gt;=WaterHit,1,0),0))</f>
        <v/>
      </c>
      <c r="AY358" s="345">
        <f>IF($A358="",0,IF(ISNUMBER(AG358),IF(AG358&gt;=AR358,1,0),0))</f>
        <v/>
      </c>
      <c r="AZ358" s="345">
        <f>IF($A358="",0,G358)</f>
        <v/>
      </c>
      <c r="BA358" s="345">
        <f>IF($A358="",0,J358)</f>
        <v/>
      </c>
      <c r="BB358" s="345">
        <f>IF($A358="",0,K358)</f>
        <v/>
      </c>
      <c r="BC358" s="345">
        <f>IF($A358="",0,MAX(L358,AE358))</f>
        <v/>
      </c>
      <c r="BD358" s="344">
        <f>IF($A358="","",(AU358+AV358+AW358+AX358+AY358+AZ358+BB358+BC358+IF(AS358=1,BA358,0))/(8+AS358))</f>
        <v/>
      </c>
      <c r="BE358" s="344">
        <f>IF($A358="","",(IF(ISNUMBER(AI358),IF(AI358&gt;=WaterMVD,1,0),0)+AV358+IF(ISNUMBER(AH358),IF(AH358&gt;=ProtMVD,1,0),0)+MAX(H358,AD358)+AZ358+BB358+AU358)/7)</f>
        <v/>
      </c>
      <c r="BF358" s="344">
        <f>IF(AO358=0,"",IF(E358="S","",IF(AND(AP358=0,$A358=TODAY()),"",IF(E358="M",BE358,BD358))))</f>
        <v/>
      </c>
      <c r="BG358" s="344">
        <f>IF(AO358=0,"",IFERROR(AVERAGEIFS(Data!$BF$4:$BF$375,Data!$A$4:$A$375,"&gt;"&amp;($A358-7),Data!$A$4:$A$375,"&lt;="&amp;$A358),""))</f>
        <v/>
      </c>
      <c r="BH358" s="344">
        <f>IF(AO358=0,"",IFERROR(AVERAGEIFS(Data!$BF$4:$BF$375,Data!$A$4:$A$375,"&gt;"&amp;($A358-30),Data!$A$4:$A$375,"&lt;="&amp;$A358),""))</f>
        <v/>
      </c>
      <c r="BI358" s="359">
        <f>IF($A358="","",IFERROR(AVERAGEIFS(Data!$AF$4:$AF$375,Data!$A$4:$A$375,"&gt;"&amp;($A358-7),Data!$A$4:$A$375,"&lt;="&amp;$A358,Data!$AF$4:$AF$375,"&gt;0"),""))</f>
        <v/>
      </c>
      <c r="BJ358" s="345">
        <f>IF($A358="","",F358+G358+H358+I358+J358+K358+L358+M358+N358-IF(AS358=1,0,J358))</f>
        <v/>
      </c>
      <c r="BK358" s="345">
        <f>IF($A358="","",8+AS358)</f>
        <v/>
      </c>
      <c r="BL358" s="345">
        <f>IF(ISNUMBER(BF358),BF358,NA())</f>
        <v/>
      </c>
      <c r="BM358" s="345">
        <f>IF(ISNUMBER(AF358),AF358,NA())</f>
        <v/>
      </c>
      <c r="BN358" s="345">
        <f>IF(ISNUMBER(BI358),BI358,NA())</f>
        <v/>
      </c>
      <c r="BO358" s="345">
        <f>IF(ISNUMBER(AL358),AL358,NA())</f>
        <v/>
      </c>
      <c r="BP358" s="345">
        <f>IF(ISNUMBER(AM358),AM358,NA())</f>
        <v/>
      </c>
      <c r="BQ358" s="345">
        <f>IF(ISNUMBER(AN358),AN358,NA())</f>
        <v/>
      </c>
    </row>
    <row r="359">
      <c r="A359" s="358">
        <f>IF('Sep 2027'!S7="","",'Sep 2027'!S7)</f>
        <v/>
      </c>
      <c r="B359" s="345" t="n">
        <v>12</v>
      </c>
      <c r="C359" s="345">
        <f>IF($A359="","",15)</f>
        <v/>
      </c>
      <c r="D359" s="345">
        <f>IF($A359="","",WEEKDAY($A359,2))</f>
        <v/>
      </c>
      <c r="E359" s="345">
        <f>IF($A359="","",UPPER(TRIM('Sep 2027'!S8)))</f>
        <v/>
      </c>
      <c r="F359" s="345">
        <f>IF($A359="","",IF(OR('Sep 2027'!S10=TRUE,'Sep 2027'!S10="x",'Sep 2027'!S10="X"),1,0))</f>
        <v/>
      </c>
      <c r="G359" s="345">
        <f>IF($A359="","",IF(OR('Sep 2027'!S11=TRUE,'Sep 2027'!S11="x",'Sep 2027'!S11="X"),1,0))</f>
        <v/>
      </c>
      <c r="H359" s="345">
        <f>IF($A359="","",IF(OR('Sep 2027'!S12=TRUE,'Sep 2027'!S12="x",'Sep 2027'!S12="X"),1,0))</f>
        <v/>
      </c>
      <c r="I359" s="345">
        <f>IF($A359="","",IF(OR('Sep 2027'!S13=TRUE,'Sep 2027'!S13="x",'Sep 2027'!S13="X"),1,0))</f>
        <v/>
      </c>
      <c r="J359" s="345">
        <f>IF($A359="","",IF(OR('Sep 2027'!S14=TRUE,'Sep 2027'!S14="x",'Sep 2027'!S14="X"),1,0))</f>
        <v/>
      </c>
      <c r="K359" s="345">
        <f>IF($A359="","",IF(OR('Sep 2027'!S15=TRUE,'Sep 2027'!S15="x",'Sep 2027'!S15="X"),1,0))</f>
        <v/>
      </c>
      <c r="L359" s="345">
        <f>IF($A359="","",IF(OR('Sep 2027'!S16=TRUE,'Sep 2027'!S16="x",'Sep 2027'!S16="X"),1,0))</f>
        <v/>
      </c>
      <c r="M359" s="345">
        <f>IF($A359="","",IF(OR('Sep 2027'!S17=TRUE,'Sep 2027'!S17="x",'Sep 2027'!S17="X"),1,0))</f>
        <v/>
      </c>
      <c r="N359" s="345">
        <f>IF($A359="","",IF(OR('Sep 2027'!S18=TRUE,'Sep 2027'!S18="x",'Sep 2027'!S18="X"),1,0))</f>
        <v/>
      </c>
      <c r="O359" s="345">
        <f>IF($A359="","",IF(OR('Sep 2027'!S20=TRUE,'Sep 2027'!S20="x",'Sep 2027'!S20="X"),1,0))</f>
        <v/>
      </c>
      <c r="P359" s="345">
        <f>IF($A359="","",IF(OR('Sep 2027'!S21=TRUE,'Sep 2027'!S21="x",'Sep 2027'!S21="X"),1,0))</f>
        <v/>
      </c>
      <c r="Q359" s="345">
        <f>IF($A359="","",IF(OR('Sep 2027'!S22=TRUE,'Sep 2027'!S22="x",'Sep 2027'!S22="X"),1,0))</f>
        <v/>
      </c>
      <c r="R359" s="345">
        <f>IF($A359="","",IF(OR('Sep 2027'!S23=TRUE,'Sep 2027'!S23="x",'Sep 2027'!S23="X"),1,0))</f>
        <v/>
      </c>
      <c r="S359" s="345">
        <f>IF($A359="","",IF(OR('Sep 2027'!S24=TRUE,'Sep 2027'!S24="x",'Sep 2027'!S24="X"),1,0))</f>
        <v/>
      </c>
      <c r="T359" s="345">
        <f>IF($A359="","",IF(OR('Sep 2027'!S25=TRUE,'Sep 2027'!S25="x",'Sep 2027'!S25="X"),1,0))</f>
        <v/>
      </c>
      <c r="U359" s="345">
        <f>IF($A359="","",IF(OR('Sep 2027'!S26=TRUE,'Sep 2027'!S26="x",'Sep 2027'!S26="X"),1,0))</f>
        <v/>
      </c>
      <c r="V359" s="345">
        <f>IF($A359="","",IF(OR('Sep 2027'!S27=TRUE,'Sep 2027'!S27="x",'Sep 2027'!S27="X"),1,0))</f>
        <v/>
      </c>
      <c r="W359" s="345">
        <f>IF($A359="","",IF(OR('Sep 2027'!S28=TRUE,'Sep 2027'!S28="x",'Sep 2027'!S28="X"),1,0))</f>
        <v/>
      </c>
      <c r="X359" s="345">
        <f>IF($A359="","",IF(OR('Sep 2027'!S29=TRUE,'Sep 2027'!S29="x",'Sep 2027'!S29="X"),1,0))</f>
        <v/>
      </c>
      <c r="Y359" s="345">
        <f>IF($A359="","",IF(OR('Sep 2027'!S30=TRUE,'Sep 2027'!S30="x",'Sep 2027'!S30="X"),1,0))</f>
        <v/>
      </c>
      <c r="Z359" s="345">
        <f>IF($A359="","",IF(OR('Sep 2027'!S31=TRUE,'Sep 2027'!S31="x",'Sep 2027'!S31="X"),1,0))</f>
        <v/>
      </c>
      <c r="AA359" s="345">
        <f>IF($A359="","",IF(OR('Sep 2027'!S32=TRUE,'Sep 2027'!S32="x",'Sep 2027'!S32="X"),1,0))</f>
        <v/>
      </c>
      <c r="AB359" s="345">
        <f>IF($A359="","",IF(OR('Sep 2027'!S34=TRUE,'Sep 2027'!S34="x",'Sep 2027'!S34="X"),1,0))</f>
        <v/>
      </c>
      <c r="AC359" s="345">
        <f>IF($A359="","",IF(OR('Sep 2027'!S35=TRUE,'Sep 2027'!S35="x",'Sep 2027'!S35="X"),1,0))</f>
        <v/>
      </c>
      <c r="AD359" s="345">
        <f>IF($A359="","",IF(OR('Sep 2027'!S36=TRUE,'Sep 2027'!S36="x",'Sep 2027'!S36="X"),1,0))</f>
        <v/>
      </c>
      <c r="AE359" s="345">
        <f>IF($A359="","",IF(OR('Sep 2027'!S37=TRUE,'Sep 2027'!S37="x",'Sep 2027'!S37="X"),1,0))</f>
        <v/>
      </c>
      <c r="AF359" s="345">
        <f>IF($A359="","",IF('Sep 2027'!S59="","",'Sep 2027'!S59))</f>
        <v/>
      </c>
      <c r="AG359" s="345">
        <f>IF($A359="","",IF('Sep 2027'!S60="","",'Sep 2027'!S60))</f>
        <v/>
      </c>
      <c r="AH359" s="345">
        <f>IF($A359="","",IF('Sep 2027'!S61="","",'Sep 2027'!S61))</f>
        <v/>
      </c>
      <c r="AI359" s="345">
        <f>IF($A359="","",IF('Sep 2027'!S62="","",'Sep 2027'!S62))</f>
        <v/>
      </c>
      <c r="AJ359" s="345">
        <f>IF($A359="","",IF('Sep 2027'!S63="","",'Sep 2027'!S63))</f>
        <v/>
      </c>
      <c r="AK359" s="345">
        <f>IF($A359="","",IF('Sep 2027'!S64="","",'Sep 2027'!S64))</f>
        <v/>
      </c>
      <c r="AL359" s="345">
        <f>IF($A359="","",IF('Sep 2027'!S65="","",'Sep 2027'!S65))</f>
        <v/>
      </c>
      <c r="AM359" s="345">
        <f>IF($A359="","",IF('Sep 2027'!S66="","",'Sep 2027'!S66))</f>
        <v/>
      </c>
      <c r="AN359" s="345">
        <f>IF($A359="","",IF('Sep 2027'!S67="","",'Sep 2027'!S67))</f>
        <v/>
      </c>
      <c r="AO359" s="345">
        <f>IF($A359="",0,IF(AND($A359&gt;=TrackStart,$A359&lt;=TODAY()),1,0))</f>
        <v/>
      </c>
      <c r="AP359" s="345">
        <f>IF($A359="",0,IF(SUM(F359:AE359)+COUNT(AF359:AN359)&gt;0,1,0))</f>
        <v/>
      </c>
      <c r="AQ359" s="345">
        <f>IF($A359="","",INT(($A359-TrackStart)/7)+1)</f>
        <v/>
      </c>
      <c r="AR359" s="345">
        <f>IF($A359="","",IF(AQ359&lt;=1,Steps1,IF(AQ359=2,Steps2,Steps3)))</f>
        <v/>
      </c>
      <c r="AS359" s="345">
        <f>IF($A359="",0,IF(ISNUMBER(SEARCH(TEXT(D359,"0"),WorkDays&amp;"")),1,0))</f>
        <v/>
      </c>
      <c r="AT359" s="345">
        <f>IF($A359="",0,IF(ISNUMBER(SEARCH(TEXT(D359,"0"),StrDays&amp;"")),1,0))</f>
        <v/>
      </c>
      <c r="AU359" s="345">
        <f>IF($A359="",0,IF(ISNUMBER(AK359),IF(AK359&gt;=SleepMin,1,0),N359))</f>
        <v/>
      </c>
      <c r="AV359" s="345">
        <f>IF($A359="",0,MAX(I359,O359,S359,AC359))</f>
        <v/>
      </c>
      <c r="AW359" s="345">
        <f>IF($A359="",0,IF(ISNUMBER(AH359),IF(AH359&gt;=ProtHit,1,0),0))</f>
        <v/>
      </c>
      <c r="AX359" s="345">
        <f>IF($A359="",0,IF(ISNUMBER(AI359),IF(AI359&gt;=WaterHit,1,0),0))</f>
        <v/>
      </c>
      <c r="AY359" s="345">
        <f>IF($A359="",0,IF(ISNUMBER(AG359),IF(AG359&gt;=AR359,1,0),0))</f>
        <v/>
      </c>
      <c r="AZ359" s="345">
        <f>IF($A359="",0,G359)</f>
        <v/>
      </c>
      <c r="BA359" s="345">
        <f>IF($A359="",0,J359)</f>
        <v/>
      </c>
      <c r="BB359" s="345">
        <f>IF($A359="",0,K359)</f>
        <v/>
      </c>
      <c r="BC359" s="345">
        <f>IF($A359="",0,MAX(L359,AE359))</f>
        <v/>
      </c>
      <c r="BD359" s="344">
        <f>IF($A359="","",(AU359+AV359+AW359+AX359+AY359+AZ359+BB359+BC359+IF(AS359=1,BA359,0))/(8+AS359))</f>
        <v/>
      </c>
      <c r="BE359" s="344">
        <f>IF($A359="","",(IF(ISNUMBER(AI359),IF(AI359&gt;=WaterMVD,1,0),0)+AV359+IF(ISNUMBER(AH359),IF(AH359&gt;=ProtMVD,1,0),0)+MAX(H359,AD359)+AZ359+BB359+AU359)/7)</f>
        <v/>
      </c>
      <c r="BF359" s="344">
        <f>IF(AO359=0,"",IF(E359="S","",IF(AND(AP359=0,$A359=TODAY()),"",IF(E359="M",BE359,BD359))))</f>
        <v/>
      </c>
      <c r="BG359" s="344">
        <f>IF(AO359=0,"",IFERROR(AVERAGEIFS(Data!$BF$4:$BF$375,Data!$A$4:$A$375,"&gt;"&amp;($A359-7),Data!$A$4:$A$375,"&lt;="&amp;$A359),""))</f>
        <v/>
      </c>
      <c r="BH359" s="344">
        <f>IF(AO359=0,"",IFERROR(AVERAGEIFS(Data!$BF$4:$BF$375,Data!$A$4:$A$375,"&gt;"&amp;($A359-30),Data!$A$4:$A$375,"&lt;="&amp;$A359),""))</f>
        <v/>
      </c>
      <c r="BI359" s="359">
        <f>IF($A359="","",IFERROR(AVERAGEIFS(Data!$AF$4:$AF$375,Data!$A$4:$A$375,"&gt;"&amp;($A359-7),Data!$A$4:$A$375,"&lt;="&amp;$A359,Data!$AF$4:$AF$375,"&gt;0"),""))</f>
        <v/>
      </c>
      <c r="BJ359" s="345">
        <f>IF($A359="","",F359+G359+H359+I359+J359+K359+L359+M359+N359-IF(AS359=1,0,J359))</f>
        <v/>
      </c>
      <c r="BK359" s="345">
        <f>IF($A359="","",8+AS359)</f>
        <v/>
      </c>
      <c r="BL359" s="345">
        <f>IF(ISNUMBER(BF359),BF359,NA())</f>
        <v/>
      </c>
      <c r="BM359" s="345">
        <f>IF(ISNUMBER(AF359),AF359,NA())</f>
        <v/>
      </c>
      <c r="BN359" s="345">
        <f>IF(ISNUMBER(BI359),BI359,NA())</f>
        <v/>
      </c>
      <c r="BO359" s="345">
        <f>IF(ISNUMBER(AL359),AL359,NA())</f>
        <v/>
      </c>
      <c r="BP359" s="345">
        <f>IF(ISNUMBER(AM359),AM359,NA())</f>
        <v/>
      </c>
      <c r="BQ359" s="345">
        <f>IF(ISNUMBER(AN359),AN359,NA())</f>
        <v/>
      </c>
    </row>
    <row r="360">
      <c r="A360" s="358">
        <f>IF('Sep 2027'!T7="","",'Sep 2027'!T7)</f>
        <v/>
      </c>
      <c r="B360" s="345" t="n">
        <v>12</v>
      </c>
      <c r="C360" s="345">
        <f>IF($A360="","",16)</f>
        <v/>
      </c>
      <c r="D360" s="345">
        <f>IF($A360="","",WEEKDAY($A360,2))</f>
        <v/>
      </c>
      <c r="E360" s="345">
        <f>IF($A360="","",UPPER(TRIM('Sep 2027'!T8)))</f>
        <v/>
      </c>
      <c r="F360" s="345">
        <f>IF($A360="","",IF(OR('Sep 2027'!T10=TRUE,'Sep 2027'!T10="x",'Sep 2027'!T10="X"),1,0))</f>
        <v/>
      </c>
      <c r="G360" s="345">
        <f>IF($A360="","",IF(OR('Sep 2027'!T11=TRUE,'Sep 2027'!T11="x",'Sep 2027'!T11="X"),1,0))</f>
        <v/>
      </c>
      <c r="H360" s="345">
        <f>IF($A360="","",IF(OR('Sep 2027'!T12=TRUE,'Sep 2027'!T12="x",'Sep 2027'!T12="X"),1,0))</f>
        <v/>
      </c>
      <c r="I360" s="345">
        <f>IF($A360="","",IF(OR('Sep 2027'!T13=TRUE,'Sep 2027'!T13="x",'Sep 2027'!T13="X"),1,0))</f>
        <v/>
      </c>
      <c r="J360" s="345">
        <f>IF($A360="","",IF(OR('Sep 2027'!T14=TRUE,'Sep 2027'!T14="x",'Sep 2027'!T14="X"),1,0))</f>
        <v/>
      </c>
      <c r="K360" s="345">
        <f>IF($A360="","",IF(OR('Sep 2027'!T15=TRUE,'Sep 2027'!T15="x",'Sep 2027'!T15="X"),1,0))</f>
        <v/>
      </c>
      <c r="L360" s="345">
        <f>IF($A360="","",IF(OR('Sep 2027'!T16=TRUE,'Sep 2027'!T16="x",'Sep 2027'!T16="X"),1,0))</f>
        <v/>
      </c>
      <c r="M360" s="345">
        <f>IF($A360="","",IF(OR('Sep 2027'!T17=TRUE,'Sep 2027'!T17="x",'Sep 2027'!T17="X"),1,0))</f>
        <v/>
      </c>
      <c r="N360" s="345">
        <f>IF($A360="","",IF(OR('Sep 2027'!T18=TRUE,'Sep 2027'!T18="x",'Sep 2027'!T18="X"),1,0))</f>
        <v/>
      </c>
      <c r="O360" s="345">
        <f>IF($A360="","",IF(OR('Sep 2027'!T20=TRUE,'Sep 2027'!T20="x",'Sep 2027'!T20="X"),1,0))</f>
        <v/>
      </c>
      <c r="P360" s="345">
        <f>IF($A360="","",IF(OR('Sep 2027'!T21=TRUE,'Sep 2027'!T21="x",'Sep 2027'!T21="X"),1,0))</f>
        <v/>
      </c>
      <c r="Q360" s="345">
        <f>IF($A360="","",IF(OR('Sep 2027'!T22=TRUE,'Sep 2027'!T22="x",'Sep 2027'!T22="X"),1,0))</f>
        <v/>
      </c>
      <c r="R360" s="345">
        <f>IF($A360="","",IF(OR('Sep 2027'!T23=TRUE,'Sep 2027'!T23="x",'Sep 2027'!T23="X"),1,0))</f>
        <v/>
      </c>
      <c r="S360" s="345">
        <f>IF($A360="","",IF(OR('Sep 2027'!T24=TRUE,'Sep 2027'!T24="x",'Sep 2027'!T24="X"),1,0))</f>
        <v/>
      </c>
      <c r="T360" s="345">
        <f>IF($A360="","",IF(OR('Sep 2027'!T25=TRUE,'Sep 2027'!T25="x",'Sep 2027'!T25="X"),1,0))</f>
        <v/>
      </c>
      <c r="U360" s="345">
        <f>IF($A360="","",IF(OR('Sep 2027'!T26=TRUE,'Sep 2027'!T26="x",'Sep 2027'!T26="X"),1,0))</f>
        <v/>
      </c>
      <c r="V360" s="345">
        <f>IF($A360="","",IF(OR('Sep 2027'!T27=TRUE,'Sep 2027'!T27="x",'Sep 2027'!T27="X"),1,0))</f>
        <v/>
      </c>
      <c r="W360" s="345">
        <f>IF($A360="","",IF(OR('Sep 2027'!T28=TRUE,'Sep 2027'!T28="x",'Sep 2027'!T28="X"),1,0))</f>
        <v/>
      </c>
      <c r="X360" s="345">
        <f>IF($A360="","",IF(OR('Sep 2027'!T29=TRUE,'Sep 2027'!T29="x",'Sep 2027'!T29="X"),1,0))</f>
        <v/>
      </c>
      <c r="Y360" s="345">
        <f>IF($A360="","",IF(OR('Sep 2027'!T30=TRUE,'Sep 2027'!T30="x",'Sep 2027'!T30="X"),1,0))</f>
        <v/>
      </c>
      <c r="Z360" s="345">
        <f>IF($A360="","",IF(OR('Sep 2027'!T31=TRUE,'Sep 2027'!T31="x",'Sep 2027'!T31="X"),1,0))</f>
        <v/>
      </c>
      <c r="AA360" s="345">
        <f>IF($A360="","",IF(OR('Sep 2027'!T32=TRUE,'Sep 2027'!T32="x",'Sep 2027'!T32="X"),1,0))</f>
        <v/>
      </c>
      <c r="AB360" s="345">
        <f>IF($A360="","",IF(OR('Sep 2027'!T34=TRUE,'Sep 2027'!T34="x",'Sep 2027'!T34="X"),1,0))</f>
        <v/>
      </c>
      <c r="AC360" s="345">
        <f>IF($A360="","",IF(OR('Sep 2027'!T35=TRUE,'Sep 2027'!T35="x",'Sep 2027'!T35="X"),1,0))</f>
        <v/>
      </c>
      <c r="AD360" s="345">
        <f>IF($A360="","",IF(OR('Sep 2027'!T36=TRUE,'Sep 2027'!T36="x",'Sep 2027'!T36="X"),1,0))</f>
        <v/>
      </c>
      <c r="AE360" s="345">
        <f>IF($A360="","",IF(OR('Sep 2027'!T37=TRUE,'Sep 2027'!T37="x",'Sep 2027'!T37="X"),1,0))</f>
        <v/>
      </c>
      <c r="AF360" s="345">
        <f>IF($A360="","",IF('Sep 2027'!T59="","",'Sep 2027'!T59))</f>
        <v/>
      </c>
      <c r="AG360" s="345">
        <f>IF($A360="","",IF('Sep 2027'!T60="","",'Sep 2027'!T60))</f>
        <v/>
      </c>
      <c r="AH360" s="345">
        <f>IF($A360="","",IF('Sep 2027'!T61="","",'Sep 2027'!T61))</f>
        <v/>
      </c>
      <c r="AI360" s="345">
        <f>IF($A360="","",IF('Sep 2027'!T62="","",'Sep 2027'!T62))</f>
        <v/>
      </c>
      <c r="AJ360" s="345">
        <f>IF($A360="","",IF('Sep 2027'!T63="","",'Sep 2027'!T63))</f>
        <v/>
      </c>
      <c r="AK360" s="345">
        <f>IF($A360="","",IF('Sep 2027'!T64="","",'Sep 2027'!T64))</f>
        <v/>
      </c>
      <c r="AL360" s="345">
        <f>IF($A360="","",IF('Sep 2027'!T65="","",'Sep 2027'!T65))</f>
        <v/>
      </c>
      <c r="AM360" s="345">
        <f>IF($A360="","",IF('Sep 2027'!T66="","",'Sep 2027'!T66))</f>
        <v/>
      </c>
      <c r="AN360" s="345">
        <f>IF($A360="","",IF('Sep 2027'!T67="","",'Sep 2027'!T67))</f>
        <v/>
      </c>
      <c r="AO360" s="345">
        <f>IF($A360="",0,IF(AND($A360&gt;=TrackStart,$A360&lt;=TODAY()),1,0))</f>
        <v/>
      </c>
      <c r="AP360" s="345">
        <f>IF($A360="",0,IF(SUM(F360:AE360)+COUNT(AF360:AN360)&gt;0,1,0))</f>
        <v/>
      </c>
      <c r="AQ360" s="345">
        <f>IF($A360="","",INT(($A360-TrackStart)/7)+1)</f>
        <v/>
      </c>
      <c r="AR360" s="345">
        <f>IF($A360="","",IF(AQ360&lt;=1,Steps1,IF(AQ360=2,Steps2,Steps3)))</f>
        <v/>
      </c>
      <c r="AS360" s="345">
        <f>IF($A360="",0,IF(ISNUMBER(SEARCH(TEXT(D360,"0"),WorkDays&amp;"")),1,0))</f>
        <v/>
      </c>
      <c r="AT360" s="345">
        <f>IF($A360="",0,IF(ISNUMBER(SEARCH(TEXT(D360,"0"),StrDays&amp;"")),1,0))</f>
        <v/>
      </c>
      <c r="AU360" s="345">
        <f>IF($A360="",0,IF(ISNUMBER(AK360),IF(AK360&gt;=SleepMin,1,0),N360))</f>
        <v/>
      </c>
      <c r="AV360" s="345">
        <f>IF($A360="",0,MAX(I360,O360,S360,AC360))</f>
        <v/>
      </c>
      <c r="AW360" s="345">
        <f>IF($A360="",0,IF(ISNUMBER(AH360),IF(AH360&gt;=ProtHit,1,0),0))</f>
        <v/>
      </c>
      <c r="AX360" s="345">
        <f>IF($A360="",0,IF(ISNUMBER(AI360),IF(AI360&gt;=WaterHit,1,0),0))</f>
        <v/>
      </c>
      <c r="AY360" s="345">
        <f>IF($A360="",0,IF(ISNUMBER(AG360),IF(AG360&gt;=AR360,1,0),0))</f>
        <v/>
      </c>
      <c r="AZ360" s="345">
        <f>IF($A360="",0,G360)</f>
        <v/>
      </c>
      <c r="BA360" s="345">
        <f>IF($A360="",0,J360)</f>
        <v/>
      </c>
      <c r="BB360" s="345">
        <f>IF($A360="",0,K360)</f>
        <v/>
      </c>
      <c r="BC360" s="345">
        <f>IF($A360="",0,MAX(L360,AE360))</f>
        <v/>
      </c>
      <c r="BD360" s="344">
        <f>IF($A360="","",(AU360+AV360+AW360+AX360+AY360+AZ360+BB360+BC360+IF(AS360=1,BA360,0))/(8+AS360))</f>
        <v/>
      </c>
      <c r="BE360" s="344">
        <f>IF($A360="","",(IF(ISNUMBER(AI360),IF(AI360&gt;=WaterMVD,1,0),0)+AV360+IF(ISNUMBER(AH360),IF(AH360&gt;=ProtMVD,1,0),0)+MAX(H360,AD360)+AZ360+BB360+AU360)/7)</f>
        <v/>
      </c>
      <c r="BF360" s="344">
        <f>IF(AO360=0,"",IF(E360="S","",IF(AND(AP360=0,$A360=TODAY()),"",IF(E360="M",BE360,BD360))))</f>
        <v/>
      </c>
      <c r="BG360" s="344">
        <f>IF(AO360=0,"",IFERROR(AVERAGEIFS(Data!$BF$4:$BF$375,Data!$A$4:$A$375,"&gt;"&amp;($A360-7),Data!$A$4:$A$375,"&lt;="&amp;$A360),""))</f>
        <v/>
      </c>
      <c r="BH360" s="344">
        <f>IF(AO360=0,"",IFERROR(AVERAGEIFS(Data!$BF$4:$BF$375,Data!$A$4:$A$375,"&gt;"&amp;($A360-30),Data!$A$4:$A$375,"&lt;="&amp;$A360),""))</f>
        <v/>
      </c>
      <c r="BI360" s="359">
        <f>IF($A360="","",IFERROR(AVERAGEIFS(Data!$AF$4:$AF$375,Data!$A$4:$A$375,"&gt;"&amp;($A360-7),Data!$A$4:$A$375,"&lt;="&amp;$A360,Data!$AF$4:$AF$375,"&gt;0"),""))</f>
        <v/>
      </c>
      <c r="BJ360" s="345">
        <f>IF($A360="","",F360+G360+H360+I360+J360+K360+L360+M360+N360-IF(AS360=1,0,J360))</f>
        <v/>
      </c>
      <c r="BK360" s="345">
        <f>IF($A360="","",8+AS360)</f>
        <v/>
      </c>
      <c r="BL360" s="345">
        <f>IF(ISNUMBER(BF360),BF360,NA())</f>
        <v/>
      </c>
      <c r="BM360" s="345">
        <f>IF(ISNUMBER(AF360),AF360,NA())</f>
        <v/>
      </c>
      <c r="BN360" s="345">
        <f>IF(ISNUMBER(BI360),BI360,NA())</f>
        <v/>
      </c>
      <c r="BO360" s="345">
        <f>IF(ISNUMBER(AL360),AL360,NA())</f>
        <v/>
      </c>
      <c r="BP360" s="345">
        <f>IF(ISNUMBER(AM360),AM360,NA())</f>
        <v/>
      </c>
      <c r="BQ360" s="345">
        <f>IF(ISNUMBER(AN360),AN360,NA())</f>
        <v/>
      </c>
    </row>
    <row r="361">
      <c r="A361" s="358">
        <f>IF('Sep 2027'!U7="","",'Sep 2027'!U7)</f>
        <v/>
      </c>
      <c r="B361" s="345" t="n">
        <v>12</v>
      </c>
      <c r="C361" s="345">
        <f>IF($A361="","",17)</f>
        <v/>
      </c>
      <c r="D361" s="345">
        <f>IF($A361="","",WEEKDAY($A361,2))</f>
        <v/>
      </c>
      <c r="E361" s="345">
        <f>IF($A361="","",UPPER(TRIM('Sep 2027'!U8)))</f>
        <v/>
      </c>
      <c r="F361" s="345">
        <f>IF($A361="","",IF(OR('Sep 2027'!U10=TRUE,'Sep 2027'!U10="x",'Sep 2027'!U10="X"),1,0))</f>
        <v/>
      </c>
      <c r="G361" s="345">
        <f>IF($A361="","",IF(OR('Sep 2027'!U11=TRUE,'Sep 2027'!U11="x",'Sep 2027'!U11="X"),1,0))</f>
        <v/>
      </c>
      <c r="H361" s="345">
        <f>IF($A361="","",IF(OR('Sep 2027'!U12=TRUE,'Sep 2027'!U12="x",'Sep 2027'!U12="X"),1,0))</f>
        <v/>
      </c>
      <c r="I361" s="345">
        <f>IF($A361="","",IF(OR('Sep 2027'!U13=TRUE,'Sep 2027'!U13="x",'Sep 2027'!U13="X"),1,0))</f>
        <v/>
      </c>
      <c r="J361" s="345">
        <f>IF($A361="","",IF(OR('Sep 2027'!U14=TRUE,'Sep 2027'!U14="x",'Sep 2027'!U14="X"),1,0))</f>
        <v/>
      </c>
      <c r="K361" s="345">
        <f>IF($A361="","",IF(OR('Sep 2027'!U15=TRUE,'Sep 2027'!U15="x",'Sep 2027'!U15="X"),1,0))</f>
        <v/>
      </c>
      <c r="L361" s="345">
        <f>IF($A361="","",IF(OR('Sep 2027'!U16=TRUE,'Sep 2027'!U16="x",'Sep 2027'!U16="X"),1,0))</f>
        <v/>
      </c>
      <c r="M361" s="345">
        <f>IF($A361="","",IF(OR('Sep 2027'!U17=TRUE,'Sep 2027'!U17="x",'Sep 2027'!U17="X"),1,0))</f>
        <v/>
      </c>
      <c r="N361" s="345">
        <f>IF($A361="","",IF(OR('Sep 2027'!U18=TRUE,'Sep 2027'!U18="x",'Sep 2027'!U18="X"),1,0))</f>
        <v/>
      </c>
      <c r="O361" s="345">
        <f>IF($A361="","",IF(OR('Sep 2027'!U20=TRUE,'Sep 2027'!U20="x",'Sep 2027'!U20="X"),1,0))</f>
        <v/>
      </c>
      <c r="P361" s="345">
        <f>IF($A361="","",IF(OR('Sep 2027'!U21=TRUE,'Sep 2027'!U21="x",'Sep 2027'!U21="X"),1,0))</f>
        <v/>
      </c>
      <c r="Q361" s="345">
        <f>IF($A361="","",IF(OR('Sep 2027'!U22=TRUE,'Sep 2027'!U22="x",'Sep 2027'!U22="X"),1,0))</f>
        <v/>
      </c>
      <c r="R361" s="345">
        <f>IF($A361="","",IF(OR('Sep 2027'!U23=TRUE,'Sep 2027'!U23="x",'Sep 2027'!U23="X"),1,0))</f>
        <v/>
      </c>
      <c r="S361" s="345">
        <f>IF($A361="","",IF(OR('Sep 2027'!U24=TRUE,'Sep 2027'!U24="x",'Sep 2027'!U24="X"),1,0))</f>
        <v/>
      </c>
      <c r="T361" s="345">
        <f>IF($A361="","",IF(OR('Sep 2027'!U25=TRUE,'Sep 2027'!U25="x",'Sep 2027'!U25="X"),1,0))</f>
        <v/>
      </c>
      <c r="U361" s="345">
        <f>IF($A361="","",IF(OR('Sep 2027'!U26=TRUE,'Sep 2027'!U26="x",'Sep 2027'!U26="X"),1,0))</f>
        <v/>
      </c>
      <c r="V361" s="345">
        <f>IF($A361="","",IF(OR('Sep 2027'!U27=TRUE,'Sep 2027'!U27="x",'Sep 2027'!U27="X"),1,0))</f>
        <v/>
      </c>
      <c r="W361" s="345">
        <f>IF($A361="","",IF(OR('Sep 2027'!U28=TRUE,'Sep 2027'!U28="x",'Sep 2027'!U28="X"),1,0))</f>
        <v/>
      </c>
      <c r="X361" s="345">
        <f>IF($A361="","",IF(OR('Sep 2027'!U29=TRUE,'Sep 2027'!U29="x",'Sep 2027'!U29="X"),1,0))</f>
        <v/>
      </c>
      <c r="Y361" s="345">
        <f>IF($A361="","",IF(OR('Sep 2027'!U30=TRUE,'Sep 2027'!U30="x",'Sep 2027'!U30="X"),1,0))</f>
        <v/>
      </c>
      <c r="Z361" s="345">
        <f>IF($A361="","",IF(OR('Sep 2027'!U31=TRUE,'Sep 2027'!U31="x",'Sep 2027'!U31="X"),1,0))</f>
        <v/>
      </c>
      <c r="AA361" s="345">
        <f>IF($A361="","",IF(OR('Sep 2027'!U32=TRUE,'Sep 2027'!U32="x",'Sep 2027'!U32="X"),1,0))</f>
        <v/>
      </c>
      <c r="AB361" s="345">
        <f>IF($A361="","",IF(OR('Sep 2027'!U34=TRUE,'Sep 2027'!U34="x",'Sep 2027'!U34="X"),1,0))</f>
        <v/>
      </c>
      <c r="AC361" s="345">
        <f>IF($A361="","",IF(OR('Sep 2027'!U35=TRUE,'Sep 2027'!U35="x",'Sep 2027'!U35="X"),1,0))</f>
        <v/>
      </c>
      <c r="AD361" s="345">
        <f>IF($A361="","",IF(OR('Sep 2027'!U36=TRUE,'Sep 2027'!U36="x",'Sep 2027'!U36="X"),1,0))</f>
        <v/>
      </c>
      <c r="AE361" s="345">
        <f>IF($A361="","",IF(OR('Sep 2027'!U37=TRUE,'Sep 2027'!U37="x",'Sep 2027'!U37="X"),1,0))</f>
        <v/>
      </c>
      <c r="AF361" s="345">
        <f>IF($A361="","",IF('Sep 2027'!U59="","",'Sep 2027'!U59))</f>
        <v/>
      </c>
      <c r="AG361" s="345">
        <f>IF($A361="","",IF('Sep 2027'!U60="","",'Sep 2027'!U60))</f>
        <v/>
      </c>
      <c r="AH361" s="345">
        <f>IF($A361="","",IF('Sep 2027'!U61="","",'Sep 2027'!U61))</f>
        <v/>
      </c>
      <c r="AI361" s="345">
        <f>IF($A361="","",IF('Sep 2027'!U62="","",'Sep 2027'!U62))</f>
        <v/>
      </c>
      <c r="AJ361" s="345">
        <f>IF($A361="","",IF('Sep 2027'!U63="","",'Sep 2027'!U63))</f>
        <v/>
      </c>
      <c r="AK361" s="345">
        <f>IF($A361="","",IF('Sep 2027'!U64="","",'Sep 2027'!U64))</f>
        <v/>
      </c>
      <c r="AL361" s="345">
        <f>IF($A361="","",IF('Sep 2027'!U65="","",'Sep 2027'!U65))</f>
        <v/>
      </c>
      <c r="AM361" s="345">
        <f>IF($A361="","",IF('Sep 2027'!U66="","",'Sep 2027'!U66))</f>
        <v/>
      </c>
      <c r="AN361" s="345">
        <f>IF($A361="","",IF('Sep 2027'!U67="","",'Sep 2027'!U67))</f>
        <v/>
      </c>
      <c r="AO361" s="345">
        <f>IF($A361="",0,IF(AND($A361&gt;=TrackStart,$A361&lt;=TODAY()),1,0))</f>
        <v/>
      </c>
      <c r="AP361" s="345">
        <f>IF($A361="",0,IF(SUM(F361:AE361)+COUNT(AF361:AN361)&gt;0,1,0))</f>
        <v/>
      </c>
      <c r="AQ361" s="345">
        <f>IF($A361="","",INT(($A361-TrackStart)/7)+1)</f>
        <v/>
      </c>
      <c r="AR361" s="345">
        <f>IF($A361="","",IF(AQ361&lt;=1,Steps1,IF(AQ361=2,Steps2,Steps3)))</f>
        <v/>
      </c>
      <c r="AS361" s="345">
        <f>IF($A361="",0,IF(ISNUMBER(SEARCH(TEXT(D361,"0"),WorkDays&amp;"")),1,0))</f>
        <v/>
      </c>
      <c r="AT361" s="345">
        <f>IF($A361="",0,IF(ISNUMBER(SEARCH(TEXT(D361,"0"),StrDays&amp;"")),1,0))</f>
        <v/>
      </c>
      <c r="AU361" s="345">
        <f>IF($A361="",0,IF(ISNUMBER(AK361),IF(AK361&gt;=SleepMin,1,0),N361))</f>
        <v/>
      </c>
      <c r="AV361" s="345">
        <f>IF($A361="",0,MAX(I361,O361,S361,AC361))</f>
        <v/>
      </c>
      <c r="AW361" s="345">
        <f>IF($A361="",0,IF(ISNUMBER(AH361),IF(AH361&gt;=ProtHit,1,0),0))</f>
        <v/>
      </c>
      <c r="AX361" s="345">
        <f>IF($A361="",0,IF(ISNUMBER(AI361),IF(AI361&gt;=WaterHit,1,0),0))</f>
        <v/>
      </c>
      <c r="AY361" s="345">
        <f>IF($A361="",0,IF(ISNUMBER(AG361),IF(AG361&gt;=AR361,1,0),0))</f>
        <v/>
      </c>
      <c r="AZ361" s="345">
        <f>IF($A361="",0,G361)</f>
        <v/>
      </c>
      <c r="BA361" s="345">
        <f>IF($A361="",0,J361)</f>
        <v/>
      </c>
      <c r="BB361" s="345">
        <f>IF($A361="",0,K361)</f>
        <v/>
      </c>
      <c r="BC361" s="345">
        <f>IF($A361="",0,MAX(L361,AE361))</f>
        <v/>
      </c>
      <c r="BD361" s="344">
        <f>IF($A361="","",(AU361+AV361+AW361+AX361+AY361+AZ361+BB361+BC361+IF(AS361=1,BA361,0))/(8+AS361))</f>
        <v/>
      </c>
      <c r="BE361" s="344">
        <f>IF($A361="","",(IF(ISNUMBER(AI361),IF(AI361&gt;=WaterMVD,1,0),0)+AV361+IF(ISNUMBER(AH361),IF(AH361&gt;=ProtMVD,1,0),0)+MAX(H361,AD361)+AZ361+BB361+AU361)/7)</f>
        <v/>
      </c>
      <c r="BF361" s="344">
        <f>IF(AO361=0,"",IF(E361="S","",IF(AND(AP361=0,$A361=TODAY()),"",IF(E361="M",BE361,BD361))))</f>
        <v/>
      </c>
      <c r="BG361" s="344">
        <f>IF(AO361=0,"",IFERROR(AVERAGEIFS(Data!$BF$4:$BF$375,Data!$A$4:$A$375,"&gt;"&amp;($A361-7),Data!$A$4:$A$375,"&lt;="&amp;$A361),""))</f>
        <v/>
      </c>
      <c r="BH361" s="344">
        <f>IF(AO361=0,"",IFERROR(AVERAGEIFS(Data!$BF$4:$BF$375,Data!$A$4:$A$375,"&gt;"&amp;($A361-30),Data!$A$4:$A$375,"&lt;="&amp;$A361),""))</f>
        <v/>
      </c>
      <c r="BI361" s="359">
        <f>IF($A361="","",IFERROR(AVERAGEIFS(Data!$AF$4:$AF$375,Data!$A$4:$A$375,"&gt;"&amp;($A361-7),Data!$A$4:$A$375,"&lt;="&amp;$A361,Data!$AF$4:$AF$375,"&gt;0"),""))</f>
        <v/>
      </c>
      <c r="BJ361" s="345">
        <f>IF($A361="","",F361+G361+H361+I361+J361+K361+L361+M361+N361-IF(AS361=1,0,J361))</f>
        <v/>
      </c>
      <c r="BK361" s="345">
        <f>IF($A361="","",8+AS361)</f>
        <v/>
      </c>
      <c r="BL361" s="345">
        <f>IF(ISNUMBER(BF361),BF361,NA())</f>
        <v/>
      </c>
      <c r="BM361" s="345">
        <f>IF(ISNUMBER(AF361),AF361,NA())</f>
        <v/>
      </c>
      <c r="BN361" s="345">
        <f>IF(ISNUMBER(BI361),BI361,NA())</f>
        <v/>
      </c>
      <c r="BO361" s="345">
        <f>IF(ISNUMBER(AL361),AL361,NA())</f>
        <v/>
      </c>
      <c r="BP361" s="345">
        <f>IF(ISNUMBER(AM361),AM361,NA())</f>
        <v/>
      </c>
      <c r="BQ361" s="345">
        <f>IF(ISNUMBER(AN361),AN361,NA())</f>
        <v/>
      </c>
    </row>
    <row r="362">
      <c r="A362" s="358">
        <f>IF('Sep 2027'!V7="","",'Sep 2027'!V7)</f>
        <v/>
      </c>
      <c r="B362" s="345" t="n">
        <v>12</v>
      </c>
      <c r="C362" s="345">
        <f>IF($A362="","",18)</f>
        <v/>
      </c>
      <c r="D362" s="345">
        <f>IF($A362="","",WEEKDAY($A362,2))</f>
        <v/>
      </c>
      <c r="E362" s="345">
        <f>IF($A362="","",UPPER(TRIM('Sep 2027'!V8)))</f>
        <v/>
      </c>
      <c r="F362" s="345">
        <f>IF($A362="","",IF(OR('Sep 2027'!V10=TRUE,'Sep 2027'!V10="x",'Sep 2027'!V10="X"),1,0))</f>
        <v/>
      </c>
      <c r="G362" s="345">
        <f>IF($A362="","",IF(OR('Sep 2027'!V11=TRUE,'Sep 2027'!V11="x",'Sep 2027'!V11="X"),1,0))</f>
        <v/>
      </c>
      <c r="H362" s="345">
        <f>IF($A362="","",IF(OR('Sep 2027'!V12=TRUE,'Sep 2027'!V12="x",'Sep 2027'!V12="X"),1,0))</f>
        <v/>
      </c>
      <c r="I362" s="345">
        <f>IF($A362="","",IF(OR('Sep 2027'!V13=TRUE,'Sep 2027'!V13="x",'Sep 2027'!V13="X"),1,0))</f>
        <v/>
      </c>
      <c r="J362" s="345">
        <f>IF($A362="","",IF(OR('Sep 2027'!V14=TRUE,'Sep 2027'!V14="x",'Sep 2027'!V14="X"),1,0))</f>
        <v/>
      </c>
      <c r="K362" s="345">
        <f>IF($A362="","",IF(OR('Sep 2027'!V15=TRUE,'Sep 2027'!V15="x",'Sep 2027'!V15="X"),1,0))</f>
        <v/>
      </c>
      <c r="L362" s="345">
        <f>IF($A362="","",IF(OR('Sep 2027'!V16=TRUE,'Sep 2027'!V16="x",'Sep 2027'!V16="X"),1,0))</f>
        <v/>
      </c>
      <c r="M362" s="345">
        <f>IF($A362="","",IF(OR('Sep 2027'!V17=TRUE,'Sep 2027'!V17="x",'Sep 2027'!V17="X"),1,0))</f>
        <v/>
      </c>
      <c r="N362" s="345">
        <f>IF($A362="","",IF(OR('Sep 2027'!V18=TRUE,'Sep 2027'!V18="x",'Sep 2027'!V18="X"),1,0))</f>
        <v/>
      </c>
      <c r="O362" s="345">
        <f>IF($A362="","",IF(OR('Sep 2027'!V20=TRUE,'Sep 2027'!V20="x",'Sep 2027'!V20="X"),1,0))</f>
        <v/>
      </c>
      <c r="P362" s="345">
        <f>IF($A362="","",IF(OR('Sep 2027'!V21=TRUE,'Sep 2027'!V21="x",'Sep 2027'!V21="X"),1,0))</f>
        <v/>
      </c>
      <c r="Q362" s="345">
        <f>IF($A362="","",IF(OR('Sep 2027'!V22=TRUE,'Sep 2027'!V22="x",'Sep 2027'!V22="X"),1,0))</f>
        <v/>
      </c>
      <c r="R362" s="345">
        <f>IF($A362="","",IF(OR('Sep 2027'!V23=TRUE,'Sep 2027'!V23="x",'Sep 2027'!V23="X"),1,0))</f>
        <v/>
      </c>
      <c r="S362" s="345">
        <f>IF($A362="","",IF(OR('Sep 2027'!V24=TRUE,'Sep 2027'!V24="x",'Sep 2027'!V24="X"),1,0))</f>
        <v/>
      </c>
      <c r="T362" s="345">
        <f>IF($A362="","",IF(OR('Sep 2027'!V25=TRUE,'Sep 2027'!V25="x",'Sep 2027'!V25="X"),1,0))</f>
        <v/>
      </c>
      <c r="U362" s="345">
        <f>IF($A362="","",IF(OR('Sep 2027'!V26=TRUE,'Sep 2027'!V26="x",'Sep 2027'!V26="X"),1,0))</f>
        <v/>
      </c>
      <c r="V362" s="345">
        <f>IF($A362="","",IF(OR('Sep 2027'!V27=TRUE,'Sep 2027'!V27="x",'Sep 2027'!V27="X"),1,0))</f>
        <v/>
      </c>
      <c r="W362" s="345">
        <f>IF($A362="","",IF(OR('Sep 2027'!V28=TRUE,'Sep 2027'!V28="x",'Sep 2027'!V28="X"),1,0))</f>
        <v/>
      </c>
      <c r="X362" s="345">
        <f>IF($A362="","",IF(OR('Sep 2027'!V29=TRUE,'Sep 2027'!V29="x",'Sep 2027'!V29="X"),1,0))</f>
        <v/>
      </c>
      <c r="Y362" s="345">
        <f>IF($A362="","",IF(OR('Sep 2027'!V30=TRUE,'Sep 2027'!V30="x",'Sep 2027'!V30="X"),1,0))</f>
        <v/>
      </c>
      <c r="Z362" s="345">
        <f>IF($A362="","",IF(OR('Sep 2027'!V31=TRUE,'Sep 2027'!V31="x",'Sep 2027'!V31="X"),1,0))</f>
        <v/>
      </c>
      <c r="AA362" s="345">
        <f>IF($A362="","",IF(OR('Sep 2027'!V32=TRUE,'Sep 2027'!V32="x",'Sep 2027'!V32="X"),1,0))</f>
        <v/>
      </c>
      <c r="AB362" s="345">
        <f>IF($A362="","",IF(OR('Sep 2027'!V34=TRUE,'Sep 2027'!V34="x",'Sep 2027'!V34="X"),1,0))</f>
        <v/>
      </c>
      <c r="AC362" s="345">
        <f>IF($A362="","",IF(OR('Sep 2027'!V35=TRUE,'Sep 2027'!V35="x",'Sep 2027'!V35="X"),1,0))</f>
        <v/>
      </c>
      <c r="AD362" s="345">
        <f>IF($A362="","",IF(OR('Sep 2027'!V36=TRUE,'Sep 2027'!V36="x",'Sep 2027'!V36="X"),1,0))</f>
        <v/>
      </c>
      <c r="AE362" s="345">
        <f>IF($A362="","",IF(OR('Sep 2027'!V37=TRUE,'Sep 2027'!V37="x",'Sep 2027'!V37="X"),1,0))</f>
        <v/>
      </c>
      <c r="AF362" s="345">
        <f>IF($A362="","",IF('Sep 2027'!V59="","",'Sep 2027'!V59))</f>
        <v/>
      </c>
      <c r="AG362" s="345">
        <f>IF($A362="","",IF('Sep 2027'!V60="","",'Sep 2027'!V60))</f>
        <v/>
      </c>
      <c r="AH362" s="345">
        <f>IF($A362="","",IF('Sep 2027'!V61="","",'Sep 2027'!V61))</f>
        <v/>
      </c>
      <c r="AI362" s="345">
        <f>IF($A362="","",IF('Sep 2027'!V62="","",'Sep 2027'!V62))</f>
        <v/>
      </c>
      <c r="AJ362" s="345">
        <f>IF($A362="","",IF('Sep 2027'!V63="","",'Sep 2027'!V63))</f>
        <v/>
      </c>
      <c r="AK362" s="345">
        <f>IF($A362="","",IF('Sep 2027'!V64="","",'Sep 2027'!V64))</f>
        <v/>
      </c>
      <c r="AL362" s="345">
        <f>IF($A362="","",IF('Sep 2027'!V65="","",'Sep 2027'!V65))</f>
        <v/>
      </c>
      <c r="AM362" s="345">
        <f>IF($A362="","",IF('Sep 2027'!V66="","",'Sep 2027'!V66))</f>
        <v/>
      </c>
      <c r="AN362" s="345">
        <f>IF($A362="","",IF('Sep 2027'!V67="","",'Sep 2027'!V67))</f>
        <v/>
      </c>
      <c r="AO362" s="345">
        <f>IF($A362="",0,IF(AND($A362&gt;=TrackStart,$A362&lt;=TODAY()),1,0))</f>
        <v/>
      </c>
      <c r="AP362" s="345">
        <f>IF($A362="",0,IF(SUM(F362:AE362)+COUNT(AF362:AN362)&gt;0,1,0))</f>
        <v/>
      </c>
      <c r="AQ362" s="345">
        <f>IF($A362="","",INT(($A362-TrackStart)/7)+1)</f>
        <v/>
      </c>
      <c r="AR362" s="345">
        <f>IF($A362="","",IF(AQ362&lt;=1,Steps1,IF(AQ362=2,Steps2,Steps3)))</f>
        <v/>
      </c>
      <c r="AS362" s="345">
        <f>IF($A362="",0,IF(ISNUMBER(SEARCH(TEXT(D362,"0"),WorkDays&amp;"")),1,0))</f>
        <v/>
      </c>
      <c r="AT362" s="345">
        <f>IF($A362="",0,IF(ISNUMBER(SEARCH(TEXT(D362,"0"),StrDays&amp;"")),1,0))</f>
        <v/>
      </c>
      <c r="AU362" s="345">
        <f>IF($A362="",0,IF(ISNUMBER(AK362),IF(AK362&gt;=SleepMin,1,0),N362))</f>
        <v/>
      </c>
      <c r="AV362" s="345">
        <f>IF($A362="",0,MAX(I362,O362,S362,AC362))</f>
        <v/>
      </c>
      <c r="AW362" s="345">
        <f>IF($A362="",0,IF(ISNUMBER(AH362),IF(AH362&gt;=ProtHit,1,0),0))</f>
        <v/>
      </c>
      <c r="AX362" s="345">
        <f>IF($A362="",0,IF(ISNUMBER(AI362),IF(AI362&gt;=WaterHit,1,0),0))</f>
        <v/>
      </c>
      <c r="AY362" s="345">
        <f>IF($A362="",0,IF(ISNUMBER(AG362),IF(AG362&gt;=AR362,1,0),0))</f>
        <v/>
      </c>
      <c r="AZ362" s="345">
        <f>IF($A362="",0,G362)</f>
        <v/>
      </c>
      <c r="BA362" s="345">
        <f>IF($A362="",0,J362)</f>
        <v/>
      </c>
      <c r="BB362" s="345">
        <f>IF($A362="",0,K362)</f>
        <v/>
      </c>
      <c r="BC362" s="345">
        <f>IF($A362="",0,MAX(L362,AE362))</f>
        <v/>
      </c>
      <c r="BD362" s="344">
        <f>IF($A362="","",(AU362+AV362+AW362+AX362+AY362+AZ362+BB362+BC362+IF(AS362=1,BA362,0))/(8+AS362))</f>
        <v/>
      </c>
      <c r="BE362" s="344">
        <f>IF($A362="","",(IF(ISNUMBER(AI362),IF(AI362&gt;=WaterMVD,1,0),0)+AV362+IF(ISNUMBER(AH362),IF(AH362&gt;=ProtMVD,1,0),0)+MAX(H362,AD362)+AZ362+BB362+AU362)/7)</f>
        <v/>
      </c>
      <c r="BF362" s="344">
        <f>IF(AO362=0,"",IF(E362="S","",IF(AND(AP362=0,$A362=TODAY()),"",IF(E362="M",BE362,BD362))))</f>
        <v/>
      </c>
      <c r="BG362" s="344">
        <f>IF(AO362=0,"",IFERROR(AVERAGEIFS(Data!$BF$4:$BF$375,Data!$A$4:$A$375,"&gt;"&amp;($A362-7),Data!$A$4:$A$375,"&lt;="&amp;$A362),""))</f>
        <v/>
      </c>
      <c r="BH362" s="344">
        <f>IF(AO362=0,"",IFERROR(AVERAGEIFS(Data!$BF$4:$BF$375,Data!$A$4:$A$375,"&gt;"&amp;($A362-30),Data!$A$4:$A$375,"&lt;="&amp;$A362),""))</f>
        <v/>
      </c>
      <c r="BI362" s="359">
        <f>IF($A362="","",IFERROR(AVERAGEIFS(Data!$AF$4:$AF$375,Data!$A$4:$A$375,"&gt;"&amp;($A362-7),Data!$A$4:$A$375,"&lt;="&amp;$A362,Data!$AF$4:$AF$375,"&gt;0"),""))</f>
        <v/>
      </c>
      <c r="BJ362" s="345">
        <f>IF($A362="","",F362+G362+H362+I362+J362+K362+L362+M362+N362-IF(AS362=1,0,J362))</f>
        <v/>
      </c>
      <c r="BK362" s="345">
        <f>IF($A362="","",8+AS362)</f>
        <v/>
      </c>
      <c r="BL362" s="345">
        <f>IF(ISNUMBER(BF362),BF362,NA())</f>
        <v/>
      </c>
      <c r="BM362" s="345">
        <f>IF(ISNUMBER(AF362),AF362,NA())</f>
        <v/>
      </c>
      <c r="BN362" s="345">
        <f>IF(ISNUMBER(BI362),BI362,NA())</f>
        <v/>
      </c>
      <c r="BO362" s="345">
        <f>IF(ISNUMBER(AL362),AL362,NA())</f>
        <v/>
      </c>
      <c r="BP362" s="345">
        <f>IF(ISNUMBER(AM362),AM362,NA())</f>
        <v/>
      </c>
      <c r="BQ362" s="345">
        <f>IF(ISNUMBER(AN362),AN362,NA())</f>
        <v/>
      </c>
    </row>
    <row r="363">
      <c r="A363" s="358">
        <f>IF('Sep 2027'!W7="","",'Sep 2027'!W7)</f>
        <v/>
      </c>
      <c r="B363" s="345" t="n">
        <v>12</v>
      </c>
      <c r="C363" s="345">
        <f>IF($A363="","",19)</f>
        <v/>
      </c>
      <c r="D363" s="345">
        <f>IF($A363="","",WEEKDAY($A363,2))</f>
        <v/>
      </c>
      <c r="E363" s="345">
        <f>IF($A363="","",UPPER(TRIM('Sep 2027'!W8)))</f>
        <v/>
      </c>
      <c r="F363" s="345">
        <f>IF($A363="","",IF(OR('Sep 2027'!W10=TRUE,'Sep 2027'!W10="x",'Sep 2027'!W10="X"),1,0))</f>
        <v/>
      </c>
      <c r="G363" s="345">
        <f>IF($A363="","",IF(OR('Sep 2027'!W11=TRUE,'Sep 2027'!W11="x",'Sep 2027'!W11="X"),1,0))</f>
        <v/>
      </c>
      <c r="H363" s="345">
        <f>IF($A363="","",IF(OR('Sep 2027'!W12=TRUE,'Sep 2027'!W12="x",'Sep 2027'!W12="X"),1,0))</f>
        <v/>
      </c>
      <c r="I363" s="345">
        <f>IF($A363="","",IF(OR('Sep 2027'!W13=TRUE,'Sep 2027'!W13="x",'Sep 2027'!W13="X"),1,0))</f>
        <v/>
      </c>
      <c r="J363" s="345">
        <f>IF($A363="","",IF(OR('Sep 2027'!W14=TRUE,'Sep 2027'!W14="x",'Sep 2027'!W14="X"),1,0))</f>
        <v/>
      </c>
      <c r="K363" s="345">
        <f>IF($A363="","",IF(OR('Sep 2027'!W15=TRUE,'Sep 2027'!W15="x",'Sep 2027'!W15="X"),1,0))</f>
        <v/>
      </c>
      <c r="L363" s="345">
        <f>IF($A363="","",IF(OR('Sep 2027'!W16=TRUE,'Sep 2027'!W16="x",'Sep 2027'!W16="X"),1,0))</f>
        <v/>
      </c>
      <c r="M363" s="345">
        <f>IF($A363="","",IF(OR('Sep 2027'!W17=TRUE,'Sep 2027'!W17="x",'Sep 2027'!W17="X"),1,0))</f>
        <v/>
      </c>
      <c r="N363" s="345">
        <f>IF($A363="","",IF(OR('Sep 2027'!W18=TRUE,'Sep 2027'!W18="x",'Sep 2027'!W18="X"),1,0))</f>
        <v/>
      </c>
      <c r="O363" s="345">
        <f>IF($A363="","",IF(OR('Sep 2027'!W20=TRUE,'Sep 2027'!W20="x",'Sep 2027'!W20="X"),1,0))</f>
        <v/>
      </c>
      <c r="P363" s="345">
        <f>IF($A363="","",IF(OR('Sep 2027'!W21=TRUE,'Sep 2027'!W21="x",'Sep 2027'!W21="X"),1,0))</f>
        <v/>
      </c>
      <c r="Q363" s="345">
        <f>IF($A363="","",IF(OR('Sep 2027'!W22=TRUE,'Sep 2027'!W22="x",'Sep 2027'!W22="X"),1,0))</f>
        <v/>
      </c>
      <c r="R363" s="345">
        <f>IF($A363="","",IF(OR('Sep 2027'!W23=TRUE,'Sep 2027'!W23="x",'Sep 2027'!W23="X"),1,0))</f>
        <v/>
      </c>
      <c r="S363" s="345">
        <f>IF($A363="","",IF(OR('Sep 2027'!W24=TRUE,'Sep 2027'!W24="x",'Sep 2027'!W24="X"),1,0))</f>
        <v/>
      </c>
      <c r="T363" s="345">
        <f>IF($A363="","",IF(OR('Sep 2027'!W25=TRUE,'Sep 2027'!W25="x",'Sep 2027'!W25="X"),1,0))</f>
        <v/>
      </c>
      <c r="U363" s="345">
        <f>IF($A363="","",IF(OR('Sep 2027'!W26=TRUE,'Sep 2027'!W26="x",'Sep 2027'!W26="X"),1,0))</f>
        <v/>
      </c>
      <c r="V363" s="345">
        <f>IF($A363="","",IF(OR('Sep 2027'!W27=TRUE,'Sep 2027'!W27="x",'Sep 2027'!W27="X"),1,0))</f>
        <v/>
      </c>
      <c r="W363" s="345">
        <f>IF($A363="","",IF(OR('Sep 2027'!W28=TRUE,'Sep 2027'!W28="x",'Sep 2027'!W28="X"),1,0))</f>
        <v/>
      </c>
      <c r="X363" s="345">
        <f>IF($A363="","",IF(OR('Sep 2027'!W29=TRUE,'Sep 2027'!W29="x",'Sep 2027'!W29="X"),1,0))</f>
        <v/>
      </c>
      <c r="Y363" s="345">
        <f>IF($A363="","",IF(OR('Sep 2027'!W30=TRUE,'Sep 2027'!W30="x",'Sep 2027'!W30="X"),1,0))</f>
        <v/>
      </c>
      <c r="Z363" s="345">
        <f>IF($A363="","",IF(OR('Sep 2027'!W31=TRUE,'Sep 2027'!W31="x",'Sep 2027'!W31="X"),1,0))</f>
        <v/>
      </c>
      <c r="AA363" s="345">
        <f>IF($A363="","",IF(OR('Sep 2027'!W32=TRUE,'Sep 2027'!W32="x",'Sep 2027'!W32="X"),1,0))</f>
        <v/>
      </c>
      <c r="AB363" s="345">
        <f>IF($A363="","",IF(OR('Sep 2027'!W34=TRUE,'Sep 2027'!W34="x",'Sep 2027'!W34="X"),1,0))</f>
        <v/>
      </c>
      <c r="AC363" s="345">
        <f>IF($A363="","",IF(OR('Sep 2027'!W35=TRUE,'Sep 2027'!W35="x",'Sep 2027'!W35="X"),1,0))</f>
        <v/>
      </c>
      <c r="AD363" s="345">
        <f>IF($A363="","",IF(OR('Sep 2027'!W36=TRUE,'Sep 2027'!W36="x",'Sep 2027'!W36="X"),1,0))</f>
        <v/>
      </c>
      <c r="AE363" s="345">
        <f>IF($A363="","",IF(OR('Sep 2027'!W37=TRUE,'Sep 2027'!W37="x",'Sep 2027'!W37="X"),1,0))</f>
        <v/>
      </c>
      <c r="AF363" s="345">
        <f>IF($A363="","",IF('Sep 2027'!W59="","",'Sep 2027'!W59))</f>
        <v/>
      </c>
      <c r="AG363" s="345">
        <f>IF($A363="","",IF('Sep 2027'!W60="","",'Sep 2027'!W60))</f>
        <v/>
      </c>
      <c r="AH363" s="345">
        <f>IF($A363="","",IF('Sep 2027'!W61="","",'Sep 2027'!W61))</f>
        <v/>
      </c>
      <c r="AI363" s="345">
        <f>IF($A363="","",IF('Sep 2027'!W62="","",'Sep 2027'!W62))</f>
        <v/>
      </c>
      <c r="AJ363" s="345">
        <f>IF($A363="","",IF('Sep 2027'!W63="","",'Sep 2027'!W63))</f>
        <v/>
      </c>
      <c r="AK363" s="345">
        <f>IF($A363="","",IF('Sep 2027'!W64="","",'Sep 2027'!W64))</f>
        <v/>
      </c>
      <c r="AL363" s="345">
        <f>IF($A363="","",IF('Sep 2027'!W65="","",'Sep 2027'!W65))</f>
        <v/>
      </c>
      <c r="AM363" s="345">
        <f>IF($A363="","",IF('Sep 2027'!W66="","",'Sep 2027'!W66))</f>
        <v/>
      </c>
      <c r="AN363" s="345">
        <f>IF($A363="","",IF('Sep 2027'!W67="","",'Sep 2027'!W67))</f>
        <v/>
      </c>
      <c r="AO363" s="345">
        <f>IF($A363="",0,IF(AND($A363&gt;=TrackStart,$A363&lt;=TODAY()),1,0))</f>
        <v/>
      </c>
      <c r="AP363" s="345">
        <f>IF($A363="",0,IF(SUM(F363:AE363)+COUNT(AF363:AN363)&gt;0,1,0))</f>
        <v/>
      </c>
      <c r="AQ363" s="345">
        <f>IF($A363="","",INT(($A363-TrackStart)/7)+1)</f>
        <v/>
      </c>
      <c r="AR363" s="345">
        <f>IF($A363="","",IF(AQ363&lt;=1,Steps1,IF(AQ363=2,Steps2,Steps3)))</f>
        <v/>
      </c>
      <c r="AS363" s="345">
        <f>IF($A363="",0,IF(ISNUMBER(SEARCH(TEXT(D363,"0"),WorkDays&amp;"")),1,0))</f>
        <v/>
      </c>
      <c r="AT363" s="345">
        <f>IF($A363="",0,IF(ISNUMBER(SEARCH(TEXT(D363,"0"),StrDays&amp;"")),1,0))</f>
        <v/>
      </c>
      <c r="AU363" s="345">
        <f>IF($A363="",0,IF(ISNUMBER(AK363),IF(AK363&gt;=SleepMin,1,0),N363))</f>
        <v/>
      </c>
      <c r="AV363" s="345">
        <f>IF($A363="",0,MAX(I363,O363,S363,AC363))</f>
        <v/>
      </c>
      <c r="AW363" s="345">
        <f>IF($A363="",0,IF(ISNUMBER(AH363),IF(AH363&gt;=ProtHit,1,0),0))</f>
        <v/>
      </c>
      <c r="AX363" s="345">
        <f>IF($A363="",0,IF(ISNUMBER(AI363),IF(AI363&gt;=WaterHit,1,0),0))</f>
        <v/>
      </c>
      <c r="AY363" s="345">
        <f>IF($A363="",0,IF(ISNUMBER(AG363),IF(AG363&gt;=AR363,1,0),0))</f>
        <v/>
      </c>
      <c r="AZ363" s="345">
        <f>IF($A363="",0,G363)</f>
        <v/>
      </c>
      <c r="BA363" s="345">
        <f>IF($A363="",0,J363)</f>
        <v/>
      </c>
      <c r="BB363" s="345">
        <f>IF($A363="",0,K363)</f>
        <v/>
      </c>
      <c r="BC363" s="345">
        <f>IF($A363="",0,MAX(L363,AE363))</f>
        <v/>
      </c>
      <c r="BD363" s="344">
        <f>IF($A363="","",(AU363+AV363+AW363+AX363+AY363+AZ363+BB363+BC363+IF(AS363=1,BA363,0))/(8+AS363))</f>
        <v/>
      </c>
      <c r="BE363" s="344">
        <f>IF($A363="","",(IF(ISNUMBER(AI363),IF(AI363&gt;=WaterMVD,1,0),0)+AV363+IF(ISNUMBER(AH363),IF(AH363&gt;=ProtMVD,1,0),0)+MAX(H363,AD363)+AZ363+BB363+AU363)/7)</f>
        <v/>
      </c>
      <c r="BF363" s="344">
        <f>IF(AO363=0,"",IF(E363="S","",IF(AND(AP363=0,$A363=TODAY()),"",IF(E363="M",BE363,BD363))))</f>
        <v/>
      </c>
      <c r="BG363" s="344">
        <f>IF(AO363=0,"",IFERROR(AVERAGEIFS(Data!$BF$4:$BF$375,Data!$A$4:$A$375,"&gt;"&amp;($A363-7),Data!$A$4:$A$375,"&lt;="&amp;$A363),""))</f>
        <v/>
      </c>
      <c r="BH363" s="344">
        <f>IF(AO363=0,"",IFERROR(AVERAGEIFS(Data!$BF$4:$BF$375,Data!$A$4:$A$375,"&gt;"&amp;($A363-30),Data!$A$4:$A$375,"&lt;="&amp;$A363),""))</f>
        <v/>
      </c>
      <c r="BI363" s="359">
        <f>IF($A363="","",IFERROR(AVERAGEIFS(Data!$AF$4:$AF$375,Data!$A$4:$A$375,"&gt;"&amp;($A363-7),Data!$A$4:$A$375,"&lt;="&amp;$A363,Data!$AF$4:$AF$375,"&gt;0"),""))</f>
        <v/>
      </c>
      <c r="BJ363" s="345">
        <f>IF($A363="","",F363+G363+H363+I363+J363+K363+L363+M363+N363-IF(AS363=1,0,J363))</f>
        <v/>
      </c>
      <c r="BK363" s="345">
        <f>IF($A363="","",8+AS363)</f>
        <v/>
      </c>
      <c r="BL363" s="345">
        <f>IF(ISNUMBER(BF363),BF363,NA())</f>
        <v/>
      </c>
      <c r="BM363" s="345">
        <f>IF(ISNUMBER(AF363),AF363,NA())</f>
        <v/>
      </c>
      <c r="BN363" s="345">
        <f>IF(ISNUMBER(BI363),BI363,NA())</f>
        <v/>
      </c>
      <c r="BO363" s="345">
        <f>IF(ISNUMBER(AL363),AL363,NA())</f>
        <v/>
      </c>
      <c r="BP363" s="345">
        <f>IF(ISNUMBER(AM363),AM363,NA())</f>
        <v/>
      </c>
      <c r="BQ363" s="345">
        <f>IF(ISNUMBER(AN363),AN363,NA())</f>
        <v/>
      </c>
    </row>
    <row r="364">
      <c r="A364" s="358">
        <f>IF('Sep 2027'!X7="","",'Sep 2027'!X7)</f>
        <v/>
      </c>
      <c r="B364" s="345" t="n">
        <v>12</v>
      </c>
      <c r="C364" s="345">
        <f>IF($A364="","",20)</f>
        <v/>
      </c>
      <c r="D364" s="345">
        <f>IF($A364="","",WEEKDAY($A364,2))</f>
        <v/>
      </c>
      <c r="E364" s="345">
        <f>IF($A364="","",UPPER(TRIM('Sep 2027'!X8)))</f>
        <v/>
      </c>
      <c r="F364" s="345">
        <f>IF($A364="","",IF(OR('Sep 2027'!X10=TRUE,'Sep 2027'!X10="x",'Sep 2027'!X10="X"),1,0))</f>
        <v/>
      </c>
      <c r="G364" s="345">
        <f>IF($A364="","",IF(OR('Sep 2027'!X11=TRUE,'Sep 2027'!X11="x",'Sep 2027'!X11="X"),1,0))</f>
        <v/>
      </c>
      <c r="H364" s="345">
        <f>IF($A364="","",IF(OR('Sep 2027'!X12=TRUE,'Sep 2027'!X12="x",'Sep 2027'!X12="X"),1,0))</f>
        <v/>
      </c>
      <c r="I364" s="345">
        <f>IF($A364="","",IF(OR('Sep 2027'!X13=TRUE,'Sep 2027'!X13="x",'Sep 2027'!X13="X"),1,0))</f>
        <v/>
      </c>
      <c r="J364" s="345">
        <f>IF($A364="","",IF(OR('Sep 2027'!X14=TRUE,'Sep 2027'!X14="x",'Sep 2027'!X14="X"),1,0))</f>
        <v/>
      </c>
      <c r="K364" s="345">
        <f>IF($A364="","",IF(OR('Sep 2027'!X15=TRUE,'Sep 2027'!X15="x",'Sep 2027'!X15="X"),1,0))</f>
        <v/>
      </c>
      <c r="L364" s="345">
        <f>IF($A364="","",IF(OR('Sep 2027'!X16=TRUE,'Sep 2027'!X16="x",'Sep 2027'!X16="X"),1,0))</f>
        <v/>
      </c>
      <c r="M364" s="345">
        <f>IF($A364="","",IF(OR('Sep 2027'!X17=TRUE,'Sep 2027'!X17="x",'Sep 2027'!X17="X"),1,0))</f>
        <v/>
      </c>
      <c r="N364" s="345">
        <f>IF($A364="","",IF(OR('Sep 2027'!X18=TRUE,'Sep 2027'!X18="x",'Sep 2027'!X18="X"),1,0))</f>
        <v/>
      </c>
      <c r="O364" s="345">
        <f>IF($A364="","",IF(OR('Sep 2027'!X20=TRUE,'Sep 2027'!X20="x",'Sep 2027'!X20="X"),1,0))</f>
        <v/>
      </c>
      <c r="P364" s="345">
        <f>IF($A364="","",IF(OR('Sep 2027'!X21=TRUE,'Sep 2027'!X21="x",'Sep 2027'!X21="X"),1,0))</f>
        <v/>
      </c>
      <c r="Q364" s="345">
        <f>IF($A364="","",IF(OR('Sep 2027'!X22=TRUE,'Sep 2027'!X22="x",'Sep 2027'!X22="X"),1,0))</f>
        <v/>
      </c>
      <c r="R364" s="345">
        <f>IF($A364="","",IF(OR('Sep 2027'!X23=TRUE,'Sep 2027'!X23="x",'Sep 2027'!X23="X"),1,0))</f>
        <v/>
      </c>
      <c r="S364" s="345">
        <f>IF($A364="","",IF(OR('Sep 2027'!X24=TRUE,'Sep 2027'!X24="x",'Sep 2027'!X24="X"),1,0))</f>
        <v/>
      </c>
      <c r="T364" s="345">
        <f>IF($A364="","",IF(OR('Sep 2027'!X25=TRUE,'Sep 2027'!X25="x",'Sep 2027'!X25="X"),1,0))</f>
        <v/>
      </c>
      <c r="U364" s="345">
        <f>IF($A364="","",IF(OR('Sep 2027'!X26=TRUE,'Sep 2027'!X26="x",'Sep 2027'!X26="X"),1,0))</f>
        <v/>
      </c>
      <c r="V364" s="345">
        <f>IF($A364="","",IF(OR('Sep 2027'!X27=TRUE,'Sep 2027'!X27="x",'Sep 2027'!X27="X"),1,0))</f>
        <v/>
      </c>
      <c r="W364" s="345">
        <f>IF($A364="","",IF(OR('Sep 2027'!X28=TRUE,'Sep 2027'!X28="x",'Sep 2027'!X28="X"),1,0))</f>
        <v/>
      </c>
      <c r="X364" s="345">
        <f>IF($A364="","",IF(OR('Sep 2027'!X29=TRUE,'Sep 2027'!X29="x",'Sep 2027'!X29="X"),1,0))</f>
        <v/>
      </c>
      <c r="Y364" s="345">
        <f>IF($A364="","",IF(OR('Sep 2027'!X30=TRUE,'Sep 2027'!X30="x",'Sep 2027'!X30="X"),1,0))</f>
        <v/>
      </c>
      <c r="Z364" s="345">
        <f>IF($A364="","",IF(OR('Sep 2027'!X31=TRUE,'Sep 2027'!X31="x",'Sep 2027'!X31="X"),1,0))</f>
        <v/>
      </c>
      <c r="AA364" s="345">
        <f>IF($A364="","",IF(OR('Sep 2027'!X32=TRUE,'Sep 2027'!X32="x",'Sep 2027'!X32="X"),1,0))</f>
        <v/>
      </c>
      <c r="AB364" s="345">
        <f>IF($A364="","",IF(OR('Sep 2027'!X34=TRUE,'Sep 2027'!X34="x",'Sep 2027'!X34="X"),1,0))</f>
        <v/>
      </c>
      <c r="AC364" s="345">
        <f>IF($A364="","",IF(OR('Sep 2027'!X35=TRUE,'Sep 2027'!X35="x",'Sep 2027'!X35="X"),1,0))</f>
        <v/>
      </c>
      <c r="AD364" s="345">
        <f>IF($A364="","",IF(OR('Sep 2027'!X36=TRUE,'Sep 2027'!X36="x",'Sep 2027'!X36="X"),1,0))</f>
        <v/>
      </c>
      <c r="AE364" s="345">
        <f>IF($A364="","",IF(OR('Sep 2027'!X37=TRUE,'Sep 2027'!X37="x",'Sep 2027'!X37="X"),1,0))</f>
        <v/>
      </c>
      <c r="AF364" s="345">
        <f>IF($A364="","",IF('Sep 2027'!X59="","",'Sep 2027'!X59))</f>
        <v/>
      </c>
      <c r="AG364" s="345">
        <f>IF($A364="","",IF('Sep 2027'!X60="","",'Sep 2027'!X60))</f>
        <v/>
      </c>
      <c r="AH364" s="345">
        <f>IF($A364="","",IF('Sep 2027'!X61="","",'Sep 2027'!X61))</f>
        <v/>
      </c>
      <c r="AI364" s="345">
        <f>IF($A364="","",IF('Sep 2027'!X62="","",'Sep 2027'!X62))</f>
        <v/>
      </c>
      <c r="AJ364" s="345">
        <f>IF($A364="","",IF('Sep 2027'!X63="","",'Sep 2027'!X63))</f>
        <v/>
      </c>
      <c r="AK364" s="345">
        <f>IF($A364="","",IF('Sep 2027'!X64="","",'Sep 2027'!X64))</f>
        <v/>
      </c>
      <c r="AL364" s="345">
        <f>IF($A364="","",IF('Sep 2027'!X65="","",'Sep 2027'!X65))</f>
        <v/>
      </c>
      <c r="AM364" s="345">
        <f>IF($A364="","",IF('Sep 2027'!X66="","",'Sep 2027'!X66))</f>
        <v/>
      </c>
      <c r="AN364" s="345">
        <f>IF($A364="","",IF('Sep 2027'!X67="","",'Sep 2027'!X67))</f>
        <v/>
      </c>
      <c r="AO364" s="345">
        <f>IF($A364="",0,IF(AND($A364&gt;=TrackStart,$A364&lt;=TODAY()),1,0))</f>
        <v/>
      </c>
      <c r="AP364" s="345">
        <f>IF($A364="",0,IF(SUM(F364:AE364)+COUNT(AF364:AN364)&gt;0,1,0))</f>
        <v/>
      </c>
      <c r="AQ364" s="345">
        <f>IF($A364="","",INT(($A364-TrackStart)/7)+1)</f>
        <v/>
      </c>
      <c r="AR364" s="345">
        <f>IF($A364="","",IF(AQ364&lt;=1,Steps1,IF(AQ364=2,Steps2,Steps3)))</f>
        <v/>
      </c>
      <c r="AS364" s="345">
        <f>IF($A364="",0,IF(ISNUMBER(SEARCH(TEXT(D364,"0"),WorkDays&amp;"")),1,0))</f>
        <v/>
      </c>
      <c r="AT364" s="345">
        <f>IF($A364="",0,IF(ISNUMBER(SEARCH(TEXT(D364,"0"),StrDays&amp;"")),1,0))</f>
        <v/>
      </c>
      <c r="AU364" s="345">
        <f>IF($A364="",0,IF(ISNUMBER(AK364),IF(AK364&gt;=SleepMin,1,0),N364))</f>
        <v/>
      </c>
      <c r="AV364" s="345">
        <f>IF($A364="",0,MAX(I364,O364,S364,AC364))</f>
        <v/>
      </c>
      <c r="AW364" s="345">
        <f>IF($A364="",0,IF(ISNUMBER(AH364),IF(AH364&gt;=ProtHit,1,0),0))</f>
        <v/>
      </c>
      <c r="AX364" s="345">
        <f>IF($A364="",0,IF(ISNUMBER(AI364),IF(AI364&gt;=WaterHit,1,0),0))</f>
        <v/>
      </c>
      <c r="AY364" s="345">
        <f>IF($A364="",0,IF(ISNUMBER(AG364),IF(AG364&gt;=AR364,1,0),0))</f>
        <v/>
      </c>
      <c r="AZ364" s="345">
        <f>IF($A364="",0,G364)</f>
        <v/>
      </c>
      <c r="BA364" s="345">
        <f>IF($A364="",0,J364)</f>
        <v/>
      </c>
      <c r="BB364" s="345">
        <f>IF($A364="",0,K364)</f>
        <v/>
      </c>
      <c r="BC364" s="345">
        <f>IF($A364="",0,MAX(L364,AE364))</f>
        <v/>
      </c>
      <c r="BD364" s="344">
        <f>IF($A364="","",(AU364+AV364+AW364+AX364+AY364+AZ364+BB364+BC364+IF(AS364=1,BA364,0))/(8+AS364))</f>
        <v/>
      </c>
      <c r="BE364" s="344">
        <f>IF($A364="","",(IF(ISNUMBER(AI364),IF(AI364&gt;=WaterMVD,1,0),0)+AV364+IF(ISNUMBER(AH364),IF(AH364&gt;=ProtMVD,1,0),0)+MAX(H364,AD364)+AZ364+BB364+AU364)/7)</f>
        <v/>
      </c>
      <c r="BF364" s="344">
        <f>IF(AO364=0,"",IF(E364="S","",IF(AND(AP364=0,$A364=TODAY()),"",IF(E364="M",BE364,BD364))))</f>
        <v/>
      </c>
      <c r="BG364" s="344">
        <f>IF(AO364=0,"",IFERROR(AVERAGEIFS(Data!$BF$4:$BF$375,Data!$A$4:$A$375,"&gt;"&amp;($A364-7),Data!$A$4:$A$375,"&lt;="&amp;$A364),""))</f>
        <v/>
      </c>
      <c r="BH364" s="344">
        <f>IF(AO364=0,"",IFERROR(AVERAGEIFS(Data!$BF$4:$BF$375,Data!$A$4:$A$375,"&gt;"&amp;($A364-30),Data!$A$4:$A$375,"&lt;="&amp;$A364),""))</f>
        <v/>
      </c>
      <c r="BI364" s="359">
        <f>IF($A364="","",IFERROR(AVERAGEIFS(Data!$AF$4:$AF$375,Data!$A$4:$A$375,"&gt;"&amp;($A364-7),Data!$A$4:$A$375,"&lt;="&amp;$A364,Data!$AF$4:$AF$375,"&gt;0"),""))</f>
        <v/>
      </c>
      <c r="BJ364" s="345">
        <f>IF($A364="","",F364+G364+H364+I364+J364+K364+L364+M364+N364-IF(AS364=1,0,J364))</f>
        <v/>
      </c>
      <c r="BK364" s="345">
        <f>IF($A364="","",8+AS364)</f>
        <v/>
      </c>
      <c r="BL364" s="345">
        <f>IF(ISNUMBER(BF364),BF364,NA())</f>
        <v/>
      </c>
      <c r="BM364" s="345">
        <f>IF(ISNUMBER(AF364),AF364,NA())</f>
        <v/>
      </c>
      <c r="BN364" s="345">
        <f>IF(ISNUMBER(BI364),BI364,NA())</f>
        <v/>
      </c>
      <c r="BO364" s="345">
        <f>IF(ISNUMBER(AL364),AL364,NA())</f>
        <v/>
      </c>
      <c r="BP364" s="345">
        <f>IF(ISNUMBER(AM364),AM364,NA())</f>
        <v/>
      </c>
      <c r="BQ364" s="345">
        <f>IF(ISNUMBER(AN364),AN364,NA())</f>
        <v/>
      </c>
    </row>
    <row r="365">
      <c r="A365" s="358">
        <f>IF('Sep 2027'!Y7="","",'Sep 2027'!Y7)</f>
        <v/>
      </c>
      <c r="B365" s="345" t="n">
        <v>12</v>
      </c>
      <c r="C365" s="345">
        <f>IF($A365="","",21)</f>
        <v/>
      </c>
      <c r="D365" s="345">
        <f>IF($A365="","",WEEKDAY($A365,2))</f>
        <v/>
      </c>
      <c r="E365" s="345">
        <f>IF($A365="","",UPPER(TRIM('Sep 2027'!Y8)))</f>
        <v/>
      </c>
      <c r="F365" s="345">
        <f>IF($A365="","",IF(OR('Sep 2027'!Y10=TRUE,'Sep 2027'!Y10="x",'Sep 2027'!Y10="X"),1,0))</f>
        <v/>
      </c>
      <c r="G365" s="345">
        <f>IF($A365="","",IF(OR('Sep 2027'!Y11=TRUE,'Sep 2027'!Y11="x",'Sep 2027'!Y11="X"),1,0))</f>
        <v/>
      </c>
      <c r="H365" s="345">
        <f>IF($A365="","",IF(OR('Sep 2027'!Y12=TRUE,'Sep 2027'!Y12="x",'Sep 2027'!Y12="X"),1,0))</f>
        <v/>
      </c>
      <c r="I365" s="345">
        <f>IF($A365="","",IF(OR('Sep 2027'!Y13=TRUE,'Sep 2027'!Y13="x",'Sep 2027'!Y13="X"),1,0))</f>
        <v/>
      </c>
      <c r="J365" s="345">
        <f>IF($A365="","",IF(OR('Sep 2027'!Y14=TRUE,'Sep 2027'!Y14="x",'Sep 2027'!Y14="X"),1,0))</f>
        <v/>
      </c>
      <c r="K365" s="345">
        <f>IF($A365="","",IF(OR('Sep 2027'!Y15=TRUE,'Sep 2027'!Y15="x",'Sep 2027'!Y15="X"),1,0))</f>
        <v/>
      </c>
      <c r="L365" s="345">
        <f>IF($A365="","",IF(OR('Sep 2027'!Y16=TRUE,'Sep 2027'!Y16="x",'Sep 2027'!Y16="X"),1,0))</f>
        <v/>
      </c>
      <c r="M365" s="345">
        <f>IF($A365="","",IF(OR('Sep 2027'!Y17=TRUE,'Sep 2027'!Y17="x",'Sep 2027'!Y17="X"),1,0))</f>
        <v/>
      </c>
      <c r="N365" s="345">
        <f>IF($A365="","",IF(OR('Sep 2027'!Y18=TRUE,'Sep 2027'!Y18="x",'Sep 2027'!Y18="X"),1,0))</f>
        <v/>
      </c>
      <c r="O365" s="345">
        <f>IF($A365="","",IF(OR('Sep 2027'!Y20=TRUE,'Sep 2027'!Y20="x",'Sep 2027'!Y20="X"),1,0))</f>
        <v/>
      </c>
      <c r="P365" s="345">
        <f>IF($A365="","",IF(OR('Sep 2027'!Y21=TRUE,'Sep 2027'!Y21="x",'Sep 2027'!Y21="X"),1,0))</f>
        <v/>
      </c>
      <c r="Q365" s="345">
        <f>IF($A365="","",IF(OR('Sep 2027'!Y22=TRUE,'Sep 2027'!Y22="x",'Sep 2027'!Y22="X"),1,0))</f>
        <v/>
      </c>
      <c r="R365" s="345">
        <f>IF($A365="","",IF(OR('Sep 2027'!Y23=TRUE,'Sep 2027'!Y23="x",'Sep 2027'!Y23="X"),1,0))</f>
        <v/>
      </c>
      <c r="S365" s="345">
        <f>IF($A365="","",IF(OR('Sep 2027'!Y24=TRUE,'Sep 2027'!Y24="x",'Sep 2027'!Y24="X"),1,0))</f>
        <v/>
      </c>
      <c r="T365" s="345">
        <f>IF($A365="","",IF(OR('Sep 2027'!Y25=TRUE,'Sep 2027'!Y25="x",'Sep 2027'!Y25="X"),1,0))</f>
        <v/>
      </c>
      <c r="U365" s="345">
        <f>IF($A365="","",IF(OR('Sep 2027'!Y26=TRUE,'Sep 2027'!Y26="x",'Sep 2027'!Y26="X"),1,0))</f>
        <v/>
      </c>
      <c r="V365" s="345">
        <f>IF($A365="","",IF(OR('Sep 2027'!Y27=TRUE,'Sep 2027'!Y27="x",'Sep 2027'!Y27="X"),1,0))</f>
        <v/>
      </c>
      <c r="W365" s="345">
        <f>IF($A365="","",IF(OR('Sep 2027'!Y28=TRUE,'Sep 2027'!Y28="x",'Sep 2027'!Y28="X"),1,0))</f>
        <v/>
      </c>
      <c r="X365" s="345">
        <f>IF($A365="","",IF(OR('Sep 2027'!Y29=TRUE,'Sep 2027'!Y29="x",'Sep 2027'!Y29="X"),1,0))</f>
        <v/>
      </c>
      <c r="Y365" s="345">
        <f>IF($A365="","",IF(OR('Sep 2027'!Y30=TRUE,'Sep 2027'!Y30="x",'Sep 2027'!Y30="X"),1,0))</f>
        <v/>
      </c>
      <c r="Z365" s="345">
        <f>IF($A365="","",IF(OR('Sep 2027'!Y31=TRUE,'Sep 2027'!Y31="x",'Sep 2027'!Y31="X"),1,0))</f>
        <v/>
      </c>
      <c r="AA365" s="345">
        <f>IF($A365="","",IF(OR('Sep 2027'!Y32=TRUE,'Sep 2027'!Y32="x",'Sep 2027'!Y32="X"),1,0))</f>
        <v/>
      </c>
      <c r="AB365" s="345">
        <f>IF($A365="","",IF(OR('Sep 2027'!Y34=TRUE,'Sep 2027'!Y34="x",'Sep 2027'!Y34="X"),1,0))</f>
        <v/>
      </c>
      <c r="AC365" s="345">
        <f>IF($A365="","",IF(OR('Sep 2027'!Y35=TRUE,'Sep 2027'!Y35="x",'Sep 2027'!Y35="X"),1,0))</f>
        <v/>
      </c>
      <c r="AD365" s="345">
        <f>IF($A365="","",IF(OR('Sep 2027'!Y36=TRUE,'Sep 2027'!Y36="x",'Sep 2027'!Y36="X"),1,0))</f>
        <v/>
      </c>
      <c r="AE365" s="345">
        <f>IF($A365="","",IF(OR('Sep 2027'!Y37=TRUE,'Sep 2027'!Y37="x",'Sep 2027'!Y37="X"),1,0))</f>
        <v/>
      </c>
      <c r="AF365" s="345">
        <f>IF($A365="","",IF('Sep 2027'!Y59="","",'Sep 2027'!Y59))</f>
        <v/>
      </c>
      <c r="AG365" s="345">
        <f>IF($A365="","",IF('Sep 2027'!Y60="","",'Sep 2027'!Y60))</f>
        <v/>
      </c>
      <c r="AH365" s="345">
        <f>IF($A365="","",IF('Sep 2027'!Y61="","",'Sep 2027'!Y61))</f>
        <v/>
      </c>
      <c r="AI365" s="345">
        <f>IF($A365="","",IF('Sep 2027'!Y62="","",'Sep 2027'!Y62))</f>
        <v/>
      </c>
      <c r="AJ365" s="345">
        <f>IF($A365="","",IF('Sep 2027'!Y63="","",'Sep 2027'!Y63))</f>
        <v/>
      </c>
      <c r="AK365" s="345">
        <f>IF($A365="","",IF('Sep 2027'!Y64="","",'Sep 2027'!Y64))</f>
        <v/>
      </c>
      <c r="AL365" s="345">
        <f>IF($A365="","",IF('Sep 2027'!Y65="","",'Sep 2027'!Y65))</f>
        <v/>
      </c>
      <c r="AM365" s="345">
        <f>IF($A365="","",IF('Sep 2027'!Y66="","",'Sep 2027'!Y66))</f>
        <v/>
      </c>
      <c r="AN365" s="345">
        <f>IF($A365="","",IF('Sep 2027'!Y67="","",'Sep 2027'!Y67))</f>
        <v/>
      </c>
      <c r="AO365" s="345">
        <f>IF($A365="",0,IF(AND($A365&gt;=TrackStart,$A365&lt;=TODAY()),1,0))</f>
        <v/>
      </c>
      <c r="AP365" s="345">
        <f>IF($A365="",0,IF(SUM(F365:AE365)+COUNT(AF365:AN365)&gt;0,1,0))</f>
        <v/>
      </c>
      <c r="AQ365" s="345">
        <f>IF($A365="","",INT(($A365-TrackStart)/7)+1)</f>
        <v/>
      </c>
      <c r="AR365" s="345">
        <f>IF($A365="","",IF(AQ365&lt;=1,Steps1,IF(AQ365=2,Steps2,Steps3)))</f>
        <v/>
      </c>
      <c r="AS365" s="345">
        <f>IF($A365="",0,IF(ISNUMBER(SEARCH(TEXT(D365,"0"),WorkDays&amp;"")),1,0))</f>
        <v/>
      </c>
      <c r="AT365" s="345">
        <f>IF($A365="",0,IF(ISNUMBER(SEARCH(TEXT(D365,"0"),StrDays&amp;"")),1,0))</f>
        <v/>
      </c>
      <c r="AU365" s="345">
        <f>IF($A365="",0,IF(ISNUMBER(AK365),IF(AK365&gt;=SleepMin,1,0),N365))</f>
        <v/>
      </c>
      <c r="AV365" s="345">
        <f>IF($A365="",0,MAX(I365,O365,S365,AC365))</f>
        <v/>
      </c>
      <c r="AW365" s="345">
        <f>IF($A365="",0,IF(ISNUMBER(AH365),IF(AH365&gt;=ProtHit,1,0),0))</f>
        <v/>
      </c>
      <c r="AX365" s="345">
        <f>IF($A365="",0,IF(ISNUMBER(AI365),IF(AI365&gt;=WaterHit,1,0),0))</f>
        <v/>
      </c>
      <c r="AY365" s="345">
        <f>IF($A365="",0,IF(ISNUMBER(AG365),IF(AG365&gt;=AR365,1,0),0))</f>
        <v/>
      </c>
      <c r="AZ365" s="345">
        <f>IF($A365="",0,G365)</f>
        <v/>
      </c>
      <c r="BA365" s="345">
        <f>IF($A365="",0,J365)</f>
        <v/>
      </c>
      <c r="BB365" s="345">
        <f>IF($A365="",0,K365)</f>
        <v/>
      </c>
      <c r="BC365" s="345">
        <f>IF($A365="",0,MAX(L365,AE365))</f>
        <v/>
      </c>
      <c r="BD365" s="344">
        <f>IF($A365="","",(AU365+AV365+AW365+AX365+AY365+AZ365+BB365+BC365+IF(AS365=1,BA365,0))/(8+AS365))</f>
        <v/>
      </c>
      <c r="BE365" s="344">
        <f>IF($A365="","",(IF(ISNUMBER(AI365),IF(AI365&gt;=WaterMVD,1,0),0)+AV365+IF(ISNUMBER(AH365),IF(AH365&gt;=ProtMVD,1,0),0)+MAX(H365,AD365)+AZ365+BB365+AU365)/7)</f>
        <v/>
      </c>
      <c r="BF365" s="344">
        <f>IF(AO365=0,"",IF(E365="S","",IF(AND(AP365=0,$A365=TODAY()),"",IF(E365="M",BE365,BD365))))</f>
        <v/>
      </c>
      <c r="BG365" s="344">
        <f>IF(AO365=0,"",IFERROR(AVERAGEIFS(Data!$BF$4:$BF$375,Data!$A$4:$A$375,"&gt;"&amp;($A365-7),Data!$A$4:$A$375,"&lt;="&amp;$A365),""))</f>
        <v/>
      </c>
      <c r="BH365" s="344">
        <f>IF(AO365=0,"",IFERROR(AVERAGEIFS(Data!$BF$4:$BF$375,Data!$A$4:$A$375,"&gt;"&amp;($A365-30),Data!$A$4:$A$375,"&lt;="&amp;$A365),""))</f>
        <v/>
      </c>
      <c r="BI365" s="359">
        <f>IF($A365="","",IFERROR(AVERAGEIFS(Data!$AF$4:$AF$375,Data!$A$4:$A$375,"&gt;"&amp;($A365-7),Data!$A$4:$A$375,"&lt;="&amp;$A365,Data!$AF$4:$AF$375,"&gt;0"),""))</f>
        <v/>
      </c>
      <c r="BJ365" s="345">
        <f>IF($A365="","",F365+G365+H365+I365+J365+K365+L365+M365+N365-IF(AS365=1,0,J365))</f>
        <v/>
      </c>
      <c r="BK365" s="345">
        <f>IF($A365="","",8+AS365)</f>
        <v/>
      </c>
      <c r="BL365" s="345">
        <f>IF(ISNUMBER(BF365),BF365,NA())</f>
        <v/>
      </c>
      <c r="BM365" s="345">
        <f>IF(ISNUMBER(AF365),AF365,NA())</f>
        <v/>
      </c>
      <c r="BN365" s="345">
        <f>IF(ISNUMBER(BI365),BI365,NA())</f>
        <v/>
      </c>
      <c r="BO365" s="345">
        <f>IF(ISNUMBER(AL365),AL365,NA())</f>
        <v/>
      </c>
      <c r="BP365" s="345">
        <f>IF(ISNUMBER(AM365),AM365,NA())</f>
        <v/>
      </c>
      <c r="BQ365" s="345">
        <f>IF(ISNUMBER(AN365),AN365,NA())</f>
        <v/>
      </c>
    </row>
    <row r="366">
      <c r="A366" s="358">
        <f>IF('Sep 2027'!Z7="","",'Sep 2027'!Z7)</f>
        <v/>
      </c>
      <c r="B366" s="345" t="n">
        <v>12</v>
      </c>
      <c r="C366" s="345">
        <f>IF($A366="","",22)</f>
        <v/>
      </c>
      <c r="D366" s="345">
        <f>IF($A366="","",WEEKDAY($A366,2))</f>
        <v/>
      </c>
      <c r="E366" s="345">
        <f>IF($A366="","",UPPER(TRIM('Sep 2027'!Z8)))</f>
        <v/>
      </c>
      <c r="F366" s="345">
        <f>IF($A366="","",IF(OR('Sep 2027'!Z10=TRUE,'Sep 2027'!Z10="x",'Sep 2027'!Z10="X"),1,0))</f>
        <v/>
      </c>
      <c r="G366" s="345">
        <f>IF($A366="","",IF(OR('Sep 2027'!Z11=TRUE,'Sep 2027'!Z11="x",'Sep 2027'!Z11="X"),1,0))</f>
        <v/>
      </c>
      <c r="H366" s="345">
        <f>IF($A366="","",IF(OR('Sep 2027'!Z12=TRUE,'Sep 2027'!Z12="x",'Sep 2027'!Z12="X"),1,0))</f>
        <v/>
      </c>
      <c r="I366" s="345">
        <f>IF($A366="","",IF(OR('Sep 2027'!Z13=TRUE,'Sep 2027'!Z13="x",'Sep 2027'!Z13="X"),1,0))</f>
        <v/>
      </c>
      <c r="J366" s="345">
        <f>IF($A366="","",IF(OR('Sep 2027'!Z14=TRUE,'Sep 2027'!Z14="x",'Sep 2027'!Z14="X"),1,0))</f>
        <v/>
      </c>
      <c r="K366" s="345">
        <f>IF($A366="","",IF(OR('Sep 2027'!Z15=TRUE,'Sep 2027'!Z15="x",'Sep 2027'!Z15="X"),1,0))</f>
        <v/>
      </c>
      <c r="L366" s="345">
        <f>IF($A366="","",IF(OR('Sep 2027'!Z16=TRUE,'Sep 2027'!Z16="x",'Sep 2027'!Z16="X"),1,0))</f>
        <v/>
      </c>
      <c r="M366" s="345">
        <f>IF($A366="","",IF(OR('Sep 2027'!Z17=TRUE,'Sep 2027'!Z17="x",'Sep 2027'!Z17="X"),1,0))</f>
        <v/>
      </c>
      <c r="N366" s="345">
        <f>IF($A366="","",IF(OR('Sep 2027'!Z18=TRUE,'Sep 2027'!Z18="x",'Sep 2027'!Z18="X"),1,0))</f>
        <v/>
      </c>
      <c r="O366" s="345">
        <f>IF($A366="","",IF(OR('Sep 2027'!Z20=TRUE,'Sep 2027'!Z20="x",'Sep 2027'!Z20="X"),1,0))</f>
        <v/>
      </c>
      <c r="P366" s="345">
        <f>IF($A366="","",IF(OR('Sep 2027'!Z21=TRUE,'Sep 2027'!Z21="x",'Sep 2027'!Z21="X"),1,0))</f>
        <v/>
      </c>
      <c r="Q366" s="345">
        <f>IF($A366="","",IF(OR('Sep 2027'!Z22=TRUE,'Sep 2027'!Z22="x",'Sep 2027'!Z22="X"),1,0))</f>
        <v/>
      </c>
      <c r="R366" s="345">
        <f>IF($A366="","",IF(OR('Sep 2027'!Z23=TRUE,'Sep 2027'!Z23="x",'Sep 2027'!Z23="X"),1,0))</f>
        <v/>
      </c>
      <c r="S366" s="345">
        <f>IF($A366="","",IF(OR('Sep 2027'!Z24=TRUE,'Sep 2027'!Z24="x",'Sep 2027'!Z24="X"),1,0))</f>
        <v/>
      </c>
      <c r="T366" s="345">
        <f>IF($A366="","",IF(OR('Sep 2027'!Z25=TRUE,'Sep 2027'!Z25="x",'Sep 2027'!Z25="X"),1,0))</f>
        <v/>
      </c>
      <c r="U366" s="345">
        <f>IF($A366="","",IF(OR('Sep 2027'!Z26=TRUE,'Sep 2027'!Z26="x",'Sep 2027'!Z26="X"),1,0))</f>
        <v/>
      </c>
      <c r="V366" s="345">
        <f>IF($A366="","",IF(OR('Sep 2027'!Z27=TRUE,'Sep 2027'!Z27="x",'Sep 2027'!Z27="X"),1,0))</f>
        <v/>
      </c>
      <c r="W366" s="345">
        <f>IF($A366="","",IF(OR('Sep 2027'!Z28=TRUE,'Sep 2027'!Z28="x",'Sep 2027'!Z28="X"),1,0))</f>
        <v/>
      </c>
      <c r="X366" s="345">
        <f>IF($A366="","",IF(OR('Sep 2027'!Z29=TRUE,'Sep 2027'!Z29="x",'Sep 2027'!Z29="X"),1,0))</f>
        <v/>
      </c>
      <c r="Y366" s="345">
        <f>IF($A366="","",IF(OR('Sep 2027'!Z30=TRUE,'Sep 2027'!Z30="x",'Sep 2027'!Z30="X"),1,0))</f>
        <v/>
      </c>
      <c r="Z366" s="345">
        <f>IF($A366="","",IF(OR('Sep 2027'!Z31=TRUE,'Sep 2027'!Z31="x",'Sep 2027'!Z31="X"),1,0))</f>
        <v/>
      </c>
      <c r="AA366" s="345">
        <f>IF($A366="","",IF(OR('Sep 2027'!Z32=TRUE,'Sep 2027'!Z32="x",'Sep 2027'!Z32="X"),1,0))</f>
        <v/>
      </c>
      <c r="AB366" s="345">
        <f>IF($A366="","",IF(OR('Sep 2027'!Z34=TRUE,'Sep 2027'!Z34="x",'Sep 2027'!Z34="X"),1,0))</f>
        <v/>
      </c>
      <c r="AC366" s="345">
        <f>IF($A366="","",IF(OR('Sep 2027'!Z35=TRUE,'Sep 2027'!Z35="x",'Sep 2027'!Z35="X"),1,0))</f>
        <v/>
      </c>
      <c r="AD366" s="345">
        <f>IF($A366="","",IF(OR('Sep 2027'!Z36=TRUE,'Sep 2027'!Z36="x",'Sep 2027'!Z36="X"),1,0))</f>
        <v/>
      </c>
      <c r="AE366" s="345">
        <f>IF($A366="","",IF(OR('Sep 2027'!Z37=TRUE,'Sep 2027'!Z37="x",'Sep 2027'!Z37="X"),1,0))</f>
        <v/>
      </c>
      <c r="AF366" s="345">
        <f>IF($A366="","",IF('Sep 2027'!Z59="","",'Sep 2027'!Z59))</f>
        <v/>
      </c>
      <c r="AG366" s="345">
        <f>IF($A366="","",IF('Sep 2027'!Z60="","",'Sep 2027'!Z60))</f>
        <v/>
      </c>
      <c r="AH366" s="345">
        <f>IF($A366="","",IF('Sep 2027'!Z61="","",'Sep 2027'!Z61))</f>
        <v/>
      </c>
      <c r="AI366" s="345">
        <f>IF($A366="","",IF('Sep 2027'!Z62="","",'Sep 2027'!Z62))</f>
        <v/>
      </c>
      <c r="AJ366" s="345">
        <f>IF($A366="","",IF('Sep 2027'!Z63="","",'Sep 2027'!Z63))</f>
        <v/>
      </c>
      <c r="AK366" s="345">
        <f>IF($A366="","",IF('Sep 2027'!Z64="","",'Sep 2027'!Z64))</f>
        <v/>
      </c>
      <c r="AL366" s="345">
        <f>IF($A366="","",IF('Sep 2027'!Z65="","",'Sep 2027'!Z65))</f>
        <v/>
      </c>
      <c r="AM366" s="345">
        <f>IF($A366="","",IF('Sep 2027'!Z66="","",'Sep 2027'!Z66))</f>
        <v/>
      </c>
      <c r="AN366" s="345">
        <f>IF($A366="","",IF('Sep 2027'!Z67="","",'Sep 2027'!Z67))</f>
        <v/>
      </c>
      <c r="AO366" s="345">
        <f>IF($A366="",0,IF(AND($A366&gt;=TrackStart,$A366&lt;=TODAY()),1,0))</f>
        <v/>
      </c>
      <c r="AP366" s="345">
        <f>IF($A366="",0,IF(SUM(F366:AE366)+COUNT(AF366:AN366)&gt;0,1,0))</f>
        <v/>
      </c>
      <c r="AQ366" s="345">
        <f>IF($A366="","",INT(($A366-TrackStart)/7)+1)</f>
        <v/>
      </c>
      <c r="AR366" s="345">
        <f>IF($A366="","",IF(AQ366&lt;=1,Steps1,IF(AQ366=2,Steps2,Steps3)))</f>
        <v/>
      </c>
      <c r="AS366" s="345">
        <f>IF($A366="",0,IF(ISNUMBER(SEARCH(TEXT(D366,"0"),WorkDays&amp;"")),1,0))</f>
        <v/>
      </c>
      <c r="AT366" s="345">
        <f>IF($A366="",0,IF(ISNUMBER(SEARCH(TEXT(D366,"0"),StrDays&amp;"")),1,0))</f>
        <v/>
      </c>
      <c r="AU366" s="345">
        <f>IF($A366="",0,IF(ISNUMBER(AK366),IF(AK366&gt;=SleepMin,1,0),N366))</f>
        <v/>
      </c>
      <c r="AV366" s="345">
        <f>IF($A366="",0,MAX(I366,O366,S366,AC366))</f>
        <v/>
      </c>
      <c r="AW366" s="345">
        <f>IF($A366="",0,IF(ISNUMBER(AH366),IF(AH366&gt;=ProtHit,1,0),0))</f>
        <v/>
      </c>
      <c r="AX366" s="345">
        <f>IF($A366="",0,IF(ISNUMBER(AI366),IF(AI366&gt;=WaterHit,1,0),0))</f>
        <v/>
      </c>
      <c r="AY366" s="345">
        <f>IF($A366="",0,IF(ISNUMBER(AG366),IF(AG366&gt;=AR366,1,0),0))</f>
        <v/>
      </c>
      <c r="AZ366" s="345">
        <f>IF($A366="",0,G366)</f>
        <v/>
      </c>
      <c r="BA366" s="345">
        <f>IF($A366="",0,J366)</f>
        <v/>
      </c>
      <c r="BB366" s="345">
        <f>IF($A366="",0,K366)</f>
        <v/>
      </c>
      <c r="BC366" s="345">
        <f>IF($A366="",0,MAX(L366,AE366))</f>
        <v/>
      </c>
      <c r="BD366" s="344">
        <f>IF($A366="","",(AU366+AV366+AW366+AX366+AY366+AZ366+BB366+BC366+IF(AS366=1,BA366,0))/(8+AS366))</f>
        <v/>
      </c>
      <c r="BE366" s="344">
        <f>IF($A366="","",(IF(ISNUMBER(AI366),IF(AI366&gt;=WaterMVD,1,0),0)+AV366+IF(ISNUMBER(AH366),IF(AH366&gt;=ProtMVD,1,0),0)+MAX(H366,AD366)+AZ366+BB366+AU366)/7)</f>
        <v/>
      </c>
      <c r="BF366" s="344">
        <f>IF(AO366=0,"",IF(E366="S","",IF(AND(AP366=0,$A366=TODAY()),"",IF(E366="M",BE366,BD366))))</f>
        <v/>
      </c>
      <c r="BG366" s="344">
        <f>IF(AO366=0,"",IFERROR(AVERAGEIFS(Data!$BF$4:$BF$375,Data!$A$4:$A$375,"&gt;"&amp;($A366-7),Data!$A$4:$A$375,"&lt;="&amp;$A366),""))</f>
        <v/>
      </c>
      <c r="BH366" s="344">
        <f>IF(AO366=0,"",IFERROR(AVERAGEIFS(Data!$BF$4:$BF$375,Data!$A$4:$A$375,"&gt;"&amp;($A366-30),Data!$A$4:$A$375,"&lt;="&amp;$A366),""))</f>
        <v/>
      </c>
      <c r="BI366" s="359">
        <f>IF($A366="","",IFERROR(AVERAGEIFS(Data!$AF$4:$AF$375,Data!$A$4:$A$375,"&gt;"&amp;($A366-7),Data!$A$4:$A$375,"&lt;="&amp;$A366,Data!$AF$4:$AF$375,"&gt;0"),""))</f>
        <v/>
      </c>
      <c r="BJ366" s="345">
        <f>IF($A366="","",F366+G366+H366+I366+J366+K366+L366+M366+N366-IF(AS366=1,0,J366))</f>
        <v/>
      </c>
      <c r="BK366" s="345">
        <f>IF($A366="","",8+AS366)</f>
        <v/>
      </c>
      <c r="BL366" s="345">
        <f>IF(ISNUMBER(BF366),BF366,NA())</f>
        <v/>
      </c>
      <c r="BM366" s="345">
        <f>IF(ISNUMBER(AF366),AF366,NA())</f>
        <v/>
      </c>
      <c r="BN366" s="345">
        <f>IF(ISNUMBER(BI366),BI366,NA())</f>
        <v/>
      </c>
      <c r="BO366" s="345">
        <f>IF(ISNUMBER(AL366),AL366,NA())</f>
        <v/>
      </c>
      <c r="BP366" s="345">
        <f>IF(ISNUMBER(AM366),AM366,NA())</f>
        <v/>
      </c>
      <c r="BQ366" s="345">
        <f>IF(ISNUMBER(AN366),AN366,NA())</f>
        <v/>
      </c>
    </row>
    <row r="367">
      <c r="A367" s="358">
        <f>IF('Sep 2027'!AA7="","",'Sep 2027'!AA7)</f>
        <v/>
      </c>
      <c r="B367" s="345" t="n">
        <v>12</v>
      </c>
      <c r="C367" s="345">
        <f>IF($A367="","",23)</f>
        <v/>
      </c>
      <c r="D367" s="345">
        <f>IF($A367="","",WEEKDAY($A367,2))</f>
        <v/>
      </c>
      <c r="E367" s="345">
        <f>IF($A367="","",UPPER(TRIM('Sep 2027'!AA8)))</f>
        <v/>
      </c>
      <c r="F367" s="345">
        <f>IF($A367="","",IF(OR('Sep 2027'!AA10=TRUE,'Sep 2027'!AA10="x",'Sep 2027'!AA10="X"),1,0))</f>
        <v/>
      </c>
      <c r="G367" s="345">
        <f>IF($A367="","",IF(OR('Sep 2027'!AA11=TRUE,'Sep 2027'!AA11="x",'Sep 2027'!AA11="X"),1,0))</f>
        <v/>
      </c>
      <c r="H367" s="345">
        <f>IF($A367="","",IF(OR('Sep 2027'!AA12=TRUE,'Sep 2027'!AA12="x",'Sep 2027'!AA12="X"),1,0))</f>
        <v/>
      </c>
      <c r="I367" s="345">
        <f>IF($A367="","",IF(OR('Sep 2027'!AA13=TRUE,'Sep 2027'!AA13="x",'Sep 2027'!AA13="X"),1,0))</f>
        <v/>
      </c>
      <c r="J367" s="345">
        <f>IF($A367="","",IF(OR('Sep 2027'!AA14=TRUE,'Sep 2027'!AA14="x",'Sep 2027'!AA14="X"),1,0))</f>
        <v/>
      </c>
      <c r="K367" s="345">
        <f>IF($A367="","",IF(OR('Sep 2027'!AA15=TRUE,'Sep 2027'!AA15="x",'Sep 2027'!AA15="X"),1,0))</f>
        <v/>
      </c>
      <c r="L367" s="345">
        <f>IF($A367="","",IF(OR('Sep 2027'!AA16=TRUE,'Sep 2027'!AA16="x",'Sep 2027'!AA16="X"),1,0))</f>
        <v/>
      </c>
      <c r="M367" s="345">
        <f>IF($A367="","",IF(OR('Sep 2027'!AA17=TRUE,'Sep 2027'!AA17="x",'Sep 2027'!AA17="X"),1,0))</f>
        <v/>
      </c>
      <c r="N367" s="345">
        <f>IF($A367="","",IF(OR('Sep 2027'!AA18=TRUE,'Sep 2027'!AA18="x",'Sep 2027'!AA18="X"),1,0))</f>
        <v/>
      </c>
      <c r="O367" s="345">
        <f>IF($A367="","",IF(OR('Sep 2027'!AA20=TRUE,'Sep 2027'!AA20="x",'Sep 2027'!AA20="X"),1,0))</f>
        <v/>
      </c>
      <c r="P367" s="345">
        <f>IF($A367="","",IF(OR('Sep 2027'!AA21=TRUE,'Sep 2027'!AA21="x",'Sep 2027'!AA21="X"),1,0))</f>
        <v/>
      </c>
      <c r="Q367" s="345">
        <f>IF($A367="","",IF(OR('Sep 2027'!AA22=TRUE,'Sep 2027'!AA22="x",'Sep 2027'!AA22="X"),1,0))</f>
        <v/>
      </c>
      <c r="R367" s="345">
        <f>IF($A367="","",IF(OR('Sep 2027'!AA23=TRUE,'Sep 2027'!AA23="x",'Sep 2027'!AA23="X"),1,0))</f>
        <v/>
      </c>
      <c r="S367" s="345">
        <f>IF($A367="","",IF(OR('Sep 2027'!AA24=TRUE,'Sep 2027'!AA24="x",'Sep 2027'!AA24="X"),1,0))</f>
        <v/>
      </c>
      <c r="T367" s="345">
        <f>IF($A367="","",IF(OR('Sep 2027'!AA25=TRUE,'Sep 2027'!AA25="x",'Sep 2027'!AA25="X"),1,0))</f>
        <v/>
      </c>
      <c r="U367" s="345">
        <f>IF($A367="","",IF(OR('Sep 2027'!AA26=TRUE,'Sep 2027'!AA26="x",'Sep 2027'!AA26="X"),1,0))</f>
        <v/>
      </c>
      <c r="V367" s="345">
        <f>IF($A367="","",IF(OR('Sep 2027'!AA27=TRUE,'Sep 2027'!AA27="x",'Sep 2027'!AA27="X"),1,0))</f>
        <v/>
      </c>
      <c r="W367" s="345">
        <f>IF($A367="","",IF(OR('Sep 2027'!AA28=TRUE,'Sep 2027'!AA28="x",'Sep 2027'!AA28="X"),1,0))</f>
        <v/>
      </c>
      <c r="X367" s="345">
        <f>IF($A367="","",IF(OR('Sep 2027'!AA29=TRUE,'Sep 2027'!AA29="x",'Sep 2027'!AA29="X"),1,0))</f>
        <v/>
      </c>
      <c r="Y367" s="345">
        <f>IF($A367="","",IF(OR('Sep 2027'!AA30=TRUE,'Sep 2027'!AA30="x",'Sep 2027'!AA30="X"),1,0))</f>
        <v/>
      </c>
      <c r="Z367" s="345">
        <f>IF($A367="","",IF(OR('Sep 2027'!AA31=TRUE,'Sep 2027'!AA31="x",'Sep 2027'!AA31="X"),1,0))</f>
        <v/>
      </c>
      <c r="AA367" s="345">
        <f>IF($A367="","",IF(OR('Sep 2027'!AA32=TRUE,'Sep 2027'!AA32="x",'Sep 2027'!AA32="X"),1,0))</f>
        <v/>
      </c>
      <c r="AB367" s="345">
        <f>IF($A367="","",IF(OR('Sep 2027'!AA34=TRUE,'Sep 2027'!AA34="x",'Sep 2027'!AA34="X"),1,0))</f>
        <v/>
      </c>
      <c r="AC367" s="345">
        <f>IF($A367="","",IF(OR('Sep 2027'!AA35=TRUE,'Sep 2027'!AA35="x",'Sep 2027'!AA35="X"),1,0))</f>
        <v/>
      </c>
      <c r="AD367" s="345">
        <f>IF($A367="","",IF(OR('Sep 2027'!AA36=TRUE,'Sep 2027'!AA36="x",'Sep 2027'!AA36="X"),1,0))</f>
        <v/>
      </c>
      <c r="AE367" s="345">
        <f>IF($A367="","",IF(OR('Sep 2027'!AA37=TRUE,'Sep 2027'!AA37="x",'Sep 2027'!AA37="X"),1,0))</f>
        <v/>
      </c>
      <c r="AF367" s="345">
        <f>IF($A367="","",IF('Sep 2027'!AA59="","",'Sep 2027'!AA59))</f>
        <v/>
      </c>
      <c r="AG367" s="345">
        <f>IF($A367="","",IF('Sep 2027'!AA60="","",'Sep 2027'!AA60))</f>
        <v/>
      </c>
      <c r="AH367" s="345">
        <f>IF($A367="","",IF('Sep 2027'!AA61="","",'Sep 2027'!AA61))</f>
        <v/>
      </c>
      <c r="AI367" s="345">
        <f>IF($A367="","",IF('Sep 2027'!AA62="","",'Sep 2027'!AA62))</f>
        <v/>
      </c>
      <c r="AJ367" s="345">
        <f>IF($A367="","",IF('Sep 2027'!AA63="","",'Sep 2027'!AA63))</f>
        <v/>
      </c>
      <c r="AK367" s="345">
        <f>IF($A367="","",IF('Sep 2027'!AA64="","",'Sep 2027'!AA64))</f>
        <v/>
      </c>
      <c r="AL367" s="345">
        <f>IF($A367="","",IF('Sep 2027'!AA65="","",'Sep 2027'!AA65))</f>
        <v/>
      </c>
      <c r="AM367" s="345">
        <f>IF($A367="","",IF('Sep 2027'!AA66="","",'Sep 2027'!AA66))</f>
        <v/>
      </c>
      <c r="AN367" s="345">
        <f>IF($A367="","",IF('Sep 2027'!AA67="","",'Sep 2027'!AA67))</f>
        <v/>
      </c>
      <c r="AO367" s="345">
        <f>IF($A367="",0,IF(AND($A367&gt;=TrackStart,$A367&lt;=TODAY()),1,0))</f>
        <v/>
      </c>
      <c r="AP367" s="345">
        <f>IF($A367="",0,IF(SUM(F367:AE367)+COUNT(AF367:AN367)&gt;0,1,0))</f>
        <v/>
      </c>
      <c r="AQ367" s="345">
        <f>IF($A367="","",INT(($A367-TrackStart)/7)+1)</f>
        <v/>
      </c>
      <c r="AR367" s="345">
        <f>IF($A367="","",IF(AQ367&lt;=1,Steps1,IF(AQ367=2,Steps2,Steps3)))</f>
        <v/>
      </c>
      <c r="AS367" s="345">
        <f>IF($A367="",0,IF(ISNUMBER(SEARCH(TEXT(D367,"0"),WorkDays&amp;"")),1,0))</f>
        <v/>
      </c>
      <c r="AT367" s="345">
        <f>IF($A367="",0,IF(ISNUMBER(SEARCH(TEXT(D367,"0"),StrDays&amp;"")),1,0))</f>
        <v/>
      </c>
      <c r="AU367" s="345">
        <f>IF($A367="",0,IF(ISNUMBER(AK367),IF(AK367&gt;=SleepMin,1,0),N367))</f>
        <v/>
      </c>
      <c r="AV367" s="345">
        <f>IF($A367="",0,MAX(I367,O367,S367,AC367))</f>
        <v/>
      </c>
      <c r="AW367" s="345">
        <f>IF($A367="",0,IF(ISNUMBER(AH367),IF(AH367&gt;=ProtHit,1,0),0))</f>
        <v/>
      </c>
      <c r="AX367" s="345">
        <f>IF($A367="",0,IF(ISNUMBER(AI367),IF(AI367&gt;=WaterHit,1,0),0))</f>
        <v/>
      </c>
      <c r="AY367" s="345">
        <f>IF($A367="",0,IF(ISNUMBER(AG367),IF(AG367&gt;=AR367,1,0),0))</f>
        <v/>
      </c>
      <c r="AZ367" s="345">
        <f>IF($A367="",0,G367)</f>
        <v/>
      </c>
      <c r="BA367" s="345">
        <f>IF($A367="",0,J367)</f>
        <v/>
      </c>
      <c r="BB367" s="345">
        <f>IF($A367="",0,K367)</f>
        <v/>
      </c>
      <c r="BC367" s="345">
        <f>IF($A367="",0,MAX(L367,AE367))</f>
        <v/>
      </c>
      <c r="BD367" s="344">
        <f>IF($A367="","",(AU367+AV367+AW367+AX367+AY367+AZ367+BB367+BC367+IF(AS367=1,BA367,0))/(8+AS367))</f>
        <v/>
      </c>
      <c r="BE367" s="344">
        <f>IF($A367="","",(IF(ISNUMBER(AI367),IF(AI367&gt;=WaterMVD,1,0),0)+AV367+IF(ISNUMBER(AH367),IF(AH367&gt;=ProtMVD,1,0),0)+MAX(H367,AD367)+AZ367+BB367+AU367)/7)</f>
        <v/>
      </c>
      <c r="BF367" s="344">
        <f>IF(AO367=0,"",IF(E367="S","",IF(AND(AP367=0,$A367=TODAY()),"",IF(E367="M",BE367,BD367))))</f>
        <v/>
      </c>
      <c r="BG367" s="344">
        <f>IF(AO367=0,"",IFERROR(AVERAGEIFS(Data!$BF$4:$BF$375,Data!$A$4:$A$375,"&gt;"&amp;($A367-7),Data!$A$4:$A$375,"&lt;="&amp;$A367),""))</f>
        <v/>
      </c>
      <c r="BH367" s="344">
        <f>IF(AO367=0,"",IFERROR(AVERAGEIFS(Data!$BF$4:$BF$375,Data!$A$4:$A$375,"&gt;"&amp;($A367-30),Data!$A$4:$A$375,"&lt;="&amp;$A367),""))</f>
        <v/>
      </c>
      <c r="BI367" s="359">
        <f>IF($A367="","",IFERROR(AVERAGEIFS(Data!$AF$4:$AF$375,Data!$A$4:$A$375,"&gt;"&amp;($A367-7),Data!$A$4:$A$375,"&lt;="&amp;$A367,Data!$AF$4:$AF$375,"&gt;0"),""))</f>
        <v/>
      </c>
      <c r="BJ367" s="345">
        <f>IF($A367="","",F367+G367+H367+I367+J367+K367+L367+M367+N367-IF(AS367=1,0,J367))</f>
        <v/>
      </c>
      <c r="BK367" s="345">
        <f>IF($A367="","",8+AS367)</f>
        <v/>
      </c>
      <c r="BL367" s="345">
        <f>IF(ISNUMBER(BF367),BF367,NA())</f>
        <v/>
      </c>
      <c r="BM367" s="345">
        <f>IF(ISNUMBER(AF367),AF367,NA())</f>
        <v/>
      </c>
      <c r="BN367" s="345">
        <f>IF(ISNUMBER(BI367),BI367,NA())</f>
        <v/>
      </c>
      <c r="BO367" s="345">
        <f>IF(ISNUMBER(AL367),AL367,NA())</f>
        <v/>
      </c>
      <c r="BP367" s="345">
        <f>IF(ISNUMBER(AM367),AM367,NA())</f>
        <v/>
      </c>
      <c r="BQ367" s="345">
        <f>IF(ISNUMBER(AN367),AN367,NA())</f>
        <v/>
      </c>
    </row>
    <row r="368">
      <c r="A368" s="358">
        <f>IF('Sep 2027'!AB7="","",'Sep 2027'!AB7)</f>
        <v/>
      </c>
      <c r="B368" s="345" t="n">
        <v>12</v>
      </c>
      <c r="C368" s="345">
        <f>IF($A368="","",24)</f>
        <v/>
      </c>
      <c r="D368" s="345">
        <f>IF($A368="","",WEEKDAY($A368,2))</f>
        <v/>
      </c>
      <c r="E368" s="345">
        <f>IF($A368="","",UPPER(TRIM('Sep 2027'!AB8)))</f>
        <v/>
      </c>
      <c r="F368" s="345">
        <f>IF($A368="","",IF(OR('Sep 2027'!AB10=TRUE,'Sep 2027'!AB10="x",'Sep 2027'!AB10="X"),1,0))</f>
        <v/>
      </c>
      <c r="G368" s="345">
        <f>IF($A368="","",IF(OR('Sep 2027'!AB11=TRUE,'Sep 2027'!AB11="x",'Sep 2027'!AB11="X"),1,0))</f>
        <v/>
      </c>
      <c r="H368" s="345">
        <f>IF($A368="","",IF(OR('Sep 2027'!AB12=TRUE,'Sep 2027'!AB12="x",'Sep 2027'!AB12="X"),1,0))</f>
        <v/>
      </c>
      <c r="I368" s="345">
        <f>IF($A368="","",IF(OR('Sep 2027'!AB13=TRUE,'Sep 2027'!AB13="x",'Sep 2027'!AB13="X"),1,0))</f>
        <v/>
      </c>
      <c r="J368" s="345">
        <f>IF($A368="","",IF(OR('Sep 2027'!AB14=TRUE,'Sep 2027'!AB14="x",'Sep 2027'!AB14="X"),1,0))</f>
        <v/>
      </c>
      <c r="K368" s="345">
        <f>IF($A368="","",IF(OR('Sep 2027'!AB15=TRUE,'Sep 2027'!AB15="x",'Sep 2027'!AB15="X"),1,0))</f>
        <v/>
      </c>
      <c r="L368" s="345">
        <f>IF($A368="","",IF(OR('Sep 2027'!AB16=TRUE,'Sep 2027'!AB16="x",'Sep 2027'!AB16="X"),1,0))</f>
        <v/>
      </c>
      <c r="M368" s="345">
        <f>IF($A368="","",IF(OR('Sep 2027'!AB17=TRUE,'Sep 2027'!AB17="x",'Sep 2027'!AB17="X"),1,0))</f>
        <v/>
      </c>
      <c r="N368" s="345">
        <f>IF($A368="","",IF(OR('Sep 2027'!AB18=TRUE,'Sep 2027'!AB18="x",'Sep 2027'!AB18="X"),1,0))</f>
        <v/>
      </c>
      <c r="O368" s="345">
        <f>IF($A368="","",IF(OR('Sep 2027'!AB20=TRUE,'Sep 2027'!AB20="x",'Sep 2027'!AB20="X"),1,0))</f>
        <v/>
      </c>
      <c r="P368" s="345">
        <f>IF($A368="","",IF(OR('Sep 2027'!AB21=TRUE,'Sep 2027'!AB21="x",'Sep 2027'!AB21="X"),1,0))</f>
        <v/>
      </c>
      <c r="Q368" s="345">
        <f>IF($A368="","",IF(OR('Sep 2027'!AB22=TRUE,'Sep 2027'!AB22="x",'Sep 2027'!AB22="X"),1,0))</f>
        <v/>
      </c>
      <c r="R368" s="345">
        <f>IF($A368="","",IF(OR('Sep 2027'!AB23=TRUE,'Sep 2027'!AB23="x",'Sep 2027'!AB23="X"),1,0))</f>
        <v/>
      </c>
      <c r="S368" s="345">
        <f>IF($A368="","",IF(OR('Sep 2027'!AB24=TRUE,'Sep 2027'!AB24="x",'Sep 2027'!AB24="X"),1,0))</f>
        <v/>
      </c>
      <c r="T368" s="345">
        <f>IF($A368="","",IF(OR('Sep 2027'!AB25=TRUE,'Sep 2027'!AB25="x",'Sep 2027'!AB25="X"),1,0))</f>
        <v/>
      </c>
      <c r="U368" s="345">
        <f>IF($A368="","",IF(OR('Sep 2027'!AB26=TRUE,'Sep 2027'!AB26="x",'Sep 2027'!AB26="X"),1,0))</f>
        <v/>
      </c>
      <c r="V368" s="345">
        <f>IF($A368="","",IF(OR('Sep 2027'!AB27=TRUE,'Sep 2027'!AB27="x",'Sep 2027'!AB27="X"),1,0))</f>
        <v/>
      </c>
      <c r="W368" s="345">
        <f>IF($A368="","",IF(OR('Sep 2027'!AB28=TRUE,'Sep 2027'!AB28="x",'Sep 2027'!AB28="X"),1,0))</f>
        <v/>
      </c>
      <c r="X368" s="345">
        <f>IF($A368="","",IF(OR('Sep 2027'!AB29=TRUE,'Sep 2027'!AB29="x",'Sep 2027'!AB29="X"),1,0))</f>
        <v/>
      </c>
      <c r="Y368" s="345">
        <f>IF($A368="","",IF(OR('Sep 2027'!AB30=TRUE,'Sep 2027'!AB30="x",'Sep 2027'!AB30="X"),1,0))</f>
        <v/>
      </c>
      <c r="Z368" s="345">
        <f>IF($A368="","",IF(OR('Sep 2027'!AB31=TRUE,'Sep 2027'!AB31="x",'Sep 2027'!AB31="X"),1,0))</f>
        <v/>
      </c>
      <c r="AA368" s="345">
        <f>IF($A368="","",IF(OR('Sep 2027'!AB32=TRUE,'Sep 2027'!AB32="x",'Sep 2027'!AB32="X"),1,0))</f>
        <v/>
      </c>
      <c r="AB368" s="345">
        <f>IF($A368="","",IF(OR('Sep 2027'!AB34=TRUE,'Sep 2027'!AB34="x",'Sep 2027'!AB34="X"),1,0))</f>
        <v/>
      </c>
      <c r="AC368" s="345">
        <f>IF($A368="","",IF(OR('Sep 2027'!AB35=TRUE,'Sep 2027'!AB35="x",'Sep 2027'!AB35="X"),1,0))</f>
        <v/>
      </c>
      <c r="AD368" s="345">
        <f>IF($A368="","",IF(OR('Sep 2027'!AB36=TRUE,'Sep 2027'!AB36="x",'Sep 2027'!AB36="X"),1,0))</f>
        <v/>
      </c>
      <c r="AE368" s="345">
        <f>IF($A368="","",IF(OR('Sep 2027'!AB37=TRUE,'Sep 2027'!AB37="x",'Sep 2027'!AB37="X"),1,0))</f>
        <v/>
      </c>
      <c r="AF368" s="345">
        <f>IF($A368="","",IF('Sep 2027'!AB59="","",'Sep 2027'!AB59))</f>
        <v/>
      </c>
      <c r="AG368" s="345">
        <f>IF($A368="","",IF('Sep 2027'!AB60="","",'Sep 2027'!AB60))</f>
        <v/>
      </c>
      <c r="AH368" s="345">
        <f>IF($A368="","",IF('Sep 2027'!AB61="","",'Sep 2027'!AB61))</f>
        <v/>
      </c>
      <c r="AI368" s="345">
        <f>IF($A368="","",IF('Sep 2027'!AB62="","",'Sep 2027'!AB62))</f>
        <v/>
      </c>
      <c r="AJ368" s="345">
        <f>IF($A368="","",IF('Sep 2027'!AB63="","",'Sep 2027'!AB63))</f>
        <v/>
      </c>
      <c r="AK368" s="345">
        <f>IF($A368="","",IF('Sep 2027'!AB64="","",'Sep 2027'!AB64))</f>
        <v/>
      </c>
      <c r="AL368" s="345">
        <f>IF($A368="","",IF('Sep 2027'!AB65="","",'Sep 2027'!AB65))</f>
        <v/>
      </c>
      <c r="AM368" s="345">
        <f>IF($A368="","",IF('Sep 2027'!AB66="","",'Sep 2027'!AB66))</f>
        <v/>
      </c>
      <c r="AN368" s="345">
        <f>IF($A368="","",IF('Sep 2027'!AB67="","",'Sep 2027'!AB67))</f>
        <v/>
      </c>
      <c r="AO368" s="345">
        <f>IF($A368="",0,IF(AND($A368&gt;=TrackStart,$A368&lt;=TODAY()),1,0))</f>
        <v/>
      </c>
      <c r="AP368" s="345">
        <f>IF($A368="",0,IF(SUM(F368:AE368)+COUNT(AF368:AN368)&gt;0,1,0))</f>
        <v/>
      </c>
      <c r="AQ368" s="345">
        <f>IF($A368="","",INT(($A368-TrackStart)/7)+1)</f>
        <v/>
      </c>
      <c r="AR368" s="345">
        <f>IF($A368="","",IF(AQ368&lt;=1,Steps1,IF(AQ368=2,Steps2,Steps3)))</f>
        <v/>
      </c>
      <c r="AS368" s="345">
        <f>IF($A368="",0,IF(ISNUMBER(SEARCH(TEXT(D368,"0"),WorkDays&amp;"")),1,0))</f>
        <v/>
      </c>
      <c r="AT368" s="345">
        <f>IF($A368="",0,IF(ISNUMBER(SEARCH(TEXT(D368,"0"),StrDays&amp;"")),1,0))</f>
        <v/>
      </c>
      <c r="AU368" s="345">
        <f>IF($A368="",0,IF(ISNUMBER(AK368),IF(AK368&gt;=SleepMin,1,0),N368))</f>
        <v/>
      </c>
      <c r="AV368" s="345">
        <f>IF($A368="",0,MAX(I368,O368,S368,AC368))</f>
        <v/>
      </c>
      <c r="AW368" s="345">
        <f>IF($A368="",0,IF(ISNUMBER(AH368),IF(AH368&gt;=ProtHit,1,0),0))</f>
        <v/>
      </c>
      <c r="AX368" s="345">
        <f>IF($A368="",0,IF(ISNUMBER(AI368),IF(AI368&gt;=WaterHit,1,0),0))</f>
        <v/>
      </c>
      <c r="AY368" s="345">
        <f>IF($A368="",0,IF(ISNUMBER(AG368),IF(AG368&gt;=AR368,1,0),0))</f>
        <v/>
      </c>
      <c r="AZ368" s="345">
        <f>IF($A368="",0,G368)</f>
        <v/>
      </c>
      <c r="BA368" s="345">
        <f>IF($A368="",0,J368)</f>
        <v/>
      </c>
      <c r="BB368" s="345">
        <f>IF($A368="",0,K368)</f>
        <v/>
      </c>
      <c r="BC368" s="345">
        <f>IF($A368="",0,MAX(L368,AE368))</f>
        <v/>
      </c>
      <c r="BD368" s="344">
        <f>IF($A368="","",(AU368+AV368+AW368+AX368+AY368+AZ368+BB368+BC368+IF(AS368=1,BA368,0))/(8+AS368))</f>
        <v/>
      </c>
      <c r="BE368" s="344">
        <f>IF($A368="","",(IF(ISNUMBER(AI368),IF(AI368&gt;=WaterMVD,1,0),0)+AV368+IF(ISNUMBER(AH368),IF(AH368&gt;=ProtMVD,1,0),0)+MAX(H368,AD368)+AZ368+BB368+AU368)/7)</f>
        <v/>
      </c>
      <c r="BF368" s="344">
        <f>IF(AO368=0,"",IF(E368="S","",IF(AND(AP368=0,$A368=TODAY()),"",IF(E368="M",BE368,BD368))))</f>
        <v/>
      </c>
      <c r="BG368" s="344">
        <f>IF(AO368=0,"",IFERROR(AVERAGEIFS(Data!$BF$4:$BF$375,Data!$A$4:$A$375,"&gt;"&amp;($A368-7),Data!$A$4:$A$375,"&lt;="&amp;$A368),""))</f>
        <v/>
      </c>
      <c r="BH368" s="344">
        <f>IF(AO368=0,"",IFERROR(AVERAGEIFS(Data!$BF$4:$BF$375,Data!$A$4:$A$375,"&gt;"&amp;($A368-30),Data!$A$4:$A$375,"&lt;="&amp;$A368),""))</f>
        <v/>
      </c>
      <c r="BI368" s="359">
        <f>IF($A368="","",IFERROR(AVERAGEIFS(Data!$AF$4:$AF$375,Data!$A$4:$A$375,"&gt;"&amp;($A368-7),Data!$A$4:$A$375,"&lt;="&amp;$A368,Data!$AF$4:$AF$375,"&gt;0"),""))</f>
        <v/>
      </c>
      <c r="BJ368" s="345">
        <f>IF($A368="","",F368+G368+H368+I368+J368+K368+L368+M368+N368-IF(AS368=1,0,J368))</f>
        <v/>
      </c>
      <c r="BK368" s="345">
        <f>IF($A368="","",8+AS368)</f>
        <v/>
      </c>
      <c r="BL368" s="345">
        <f>IF(ISNUMBER(BF368),BF368,NA())</f>
        <v/>
      </c>
      <c r="BM368" s="345">
        <f>IF(ISNUMBER(AF368),AF368,NA())</f>
        <v/>
      </c>
      <c r="BN368" s="345">
        <f>IF(ISNUMBER(BI368),BI368,NA())</f>
        <v/>
      </c>
      <c r="BO368" s="345">
        <f>IF(ISNUMBER(AL368),AL368,NA())</f>
        <v/>
      </c>
      <c r="BP368" s="345">
        <f>IF(ISNUMBER(AM368),AM368,NA())</f>
        <v/>
      </c>
      <c r="BQ368" s="345">
        <f>IF(ISNUMBER(AN368),AN368,NA())</f>
        <v/>
      </c>
    </row>
    <row r="369">
      <c r="A369" s="358">
        <f>IF('Sep 2027'!AC7="","",'Sep 2027'!AC7)</f>
        <v/>
      </c>
      <c r="B369" s="345" t="n">
        <v>12</v>
      </c>
      <c r="C369" s="345">
        <f>IF($A369="","",25)</f>
        <v/>
      </c>
      <c r="D369" s="345">
        <f>IF($A369="","",WEEKDAY($A369,2))</f>
        <v/>
      </c>
      <c r="E369" s="345">
        <f>IF($A369="","",UPPER(TRIM('Sep 2027'!AC8)))</f>
        <v/>
      </c>
      <c r="F369" s="345">
        <f>IF($A369="","",IF(OR('Sep 2027'!AC10=TRUE,'Sep 2027'!AC10="x",'Sep 2027'!AC10="X"),1,0))</f>
        <v/>
      </c>
      <c r="G369" s="345">
        <f>IF($A369="","",IF(OR('Sep 2027'!AC11=TRUE,'Sep 2027'!AC11="x",'Sep 2027'!AC11="X"),1,0))</f>
        <v/>
      </c>
      <c r="H369" s="345">
        <f>IF($A369="","",IF(OR('Sep 2027'!AC12=TRUE,'Sep 2027'!AC12="x",'Sep 2027'!AC12="X"),1,0))</f>
        <v/>
      </c>
      <c r="I369" s="345">
        <f>IF($A369="","",IF(OR('Sep 2027'!AC13=TRUE,'Sep 2027'!AC13="x",'Sep 2027'!AC13="X"),1,0))</f>
        <v/>
      </c>
      <c r="J369" s="345">
        <f>IF($A369="","",IF(OR('Sep 2027'!AC14=TRUE,'Sep 2027'!AC14="x",'Sep 2027'!AC14="X"),1,0))</f>
        <v/>
      </c>
      <c r="K369" s="345">
        <f>IF($A369="","",IF(OR('Sep 2027'!AC15=TRUE,'Sep 2027'!AC15="x",'Sep 2027'!AC15="X"),1,0))</f>
        <v/>
      </c>
      <c r="L369" s="345">
        <f>IF($A369="","",IF(OR('Sep 2027'!AC16=TRUE,'Sep 2027'!AC16="x",'Sep 2027'!AC16="X"),1,0))</f>
        <v/>
      </c>
      <c r="M369" s="345">
        <f>IF($A369="","",IF(OR('Sep 2027'!AC17=TRUE,'Sep 2027'!AC17="x",'Sep 2027'!AC17="X"),1,0))</f>
        <v/>
      </c>
      <c r="N369" s="345">
        <f>IF($A369="","",IF(OR('Sep 2027'!AC18=TRUE,'Sep 2027'!AC18="x",'Sep 2027'!AC18="X"),1,0))</f>
        <v/>
      </c>
      <c r="O369" s="345">
        <f>IF($A369="","",IF(OR('Sep 2027'!AC20=TRUE,'Sep 2027'!AC20="x",'Sep 2027'!AC20="X"),1,0))</f>
        <v/>
      </c>
      <c r="P369" s="345">
        <f>IF($A369="","",IF(OR('Sep 2027'!AC21=TRUE,'Sep 2027'!AC21="x",'Sep 2027'!AC21="X"),1,0))</f>
        <v/>
      </c>
      <c r="Q369" s="345">
        <f>IF($A369="","",IF(OR('Sep 2027'!AC22=TRUE,'Sep 2027'!AC22="x",'Sep 2027'!AC22="X"),1,0))</f>
        <v/>
      </c>
      <c r="R369" s="345">
        <f>IF($A369="","",IF(OR('Sep 2027'!AC23=TRUE,'Sep 2027'!AC23="x",'Sep 2027'!AC23="X"),1,0))</f>
        <v/>
      </c>
      <c r="S369" s="345">
        <f>IF($A369="","",IF(OR('Sep 2027'!AC24=TRUE,'Sep 2027'!AC24="x",'Sep 2027'!AC24="X"),1,0))</f>
        <v/>
      </c>
      <c r="T369" s="345">
        <f>IF($A369="","",IF(OR('Sep 2027'!AC25=TRUE,'Sep 2027'!AC25="x",'Sep 2027'!AC25="X"),1,0))</f>
        <v/>
      </c>
      <c r="U369" s="345">
        <f>IF($A369="","",IF(OR('Sep 2027'!AC26=TRUE,'Sep 2027'!AC26="x",'Sep 2027'!AC26="X"),1,0))</f>
        <v/>
      </c>
      <c r="V369" s="345">
        <f>IF($A369="","",IF(OR('Sep 2027'!AC27=TRUE,'Sep 2027'!AC27="x",'Sep 2027'!AC27="X"),1,0))</f>
        <v/>
      </c>
      <c r="W369" s="345">
        <f>IF($A369="","",IF(OR('Sep 2027'!AC28=TRUE,'Sep 2027'!AC28="x",'Sep 2027'!AC28="X"),1,0))</f>
        <v/>
      </c>
      <c r="X369" s="345">
        <f>IF($A369="","",IF(OR('Sep 2027'!AC29=TRUE,'Sep 2027'!AC29="x",'Sep 2027'!AC29="X"),1,0))</f>
        <v/>
      </c>
      <c r="Y369" s="345">
        <f>IF($A369="","",IF(OR('Sep 2027'!AC30=TRUE,'Sep 2027'!AC30="x",'Sep 2027'!AC30="X"),1,0))</f>
        <v/>
      </c>
      <c r="Z369" s="345">
        <f>IF($A369="","",IF(OR('Sep 2027'!AC31=TRUE,'Sep 2027'!AC31="x",'Sep 2027'!AC31="X"),1,0))</f>
        <v/>
      </c>
      <c r="AA369" s="345">
        <f>IF($A369="","",IF(OR('Sep 2027'!AC32=TRUE,'Sep 2027'!AC32="x",'Sep 2027'!AC32="X"),1,0))</f>
        <v/>
      </c>
      <c r="AB369" s="345">
        <f>IF($A369="","",IF(OR('Sep 2027'!AC34=TRUE,'Sep 2027'!AC34="x",'Sep 2027'!AC34="X"),1,0))</f>
        <v/>
      </c>
      <c r="AC369" s="345">
        <f>IF($A369="","",IF(OR('Sep 2027'!AC35=TRUE,'Sep 2027'!AC35="x",'Sep 2027'!AC35="X"),1,0))</f>
        <v/>
      </c>
      <c r="AD369" s="345">
        <f>IF($A369="","",IF(OR('Sep 2027'!AC36=TRUE,'Sep 2027'!AC36="x",'Sep 2027'!AC36="X"),1,0))</f>
        <v/>
      </c>
      <c r="AE369" s="345">
        <f>IF($A369="","",IF(OR('Sep 2027'!AC37=TRUE,'Sep 2027'!AC37="x",'Sep 2027'!AC37="X"),1,0))</f>
        <v/>
      </c>
      <c r="AF369" s="345">
        <f>IF($A369="","",IF('Sep 2027'!AC59="","",'Sep 2027'!AC59))</f>
        <v/>
      </c>
      <c r="AG369" s="345">
        <f>IF($A369="","",IF('Sep 2027'!AC60="","",'Sep 2027'!AC60))</f>
        <v/>
      </c>
      <c r="AH369" s="345">
        <f>IF($A369="","",IF('Sep 2027'!AC61="","",'Sep 2027'!AC61))</f>
        <v/>
      </c>
      <c r="AI369" s="345">
        <f>IF($A369="","",IF('Sep 2027'!AC62="","",'Sep 2027'!AC62))</f>
        <v/>
      </c>
      <c r="AJ369" s="345">
        <f>IF($A369="","",IF('Sep 2027'!AC63="","",'Sep 2027'!AC63))</f>
        <v/>
      </c>
      <c r="AK369" s="345">
        <f>IF($A369="","",IF('Sep 2027'!AC64="","",'Sep 2027'!AC64))</f>
        <v/>
      </c>
      <c r="AL369" s="345">
        <f>IF($A369="","",IF('Sep 2027'!AC65="","",'Sep 2027'!AC65))</f>
        <v/>
      </c>
      <c r="AM369" s="345">
        <f>IF($A369="","",IF('Sep 2027'!AC66="","",'Sep 2027'!AC66))</f>
        <v/>
      </c>
      <c r="AN369" s="345">
        <f>IF($A369="","",IF('Sep 2027'!AC67="","",'Sep 2027'!AC67))</f>
        <v/>
      </c>
      <c r="AO369" s="345">
        <f>IF($A369="",0,IF(AND($A369&gt;=TrackStart,$A369&lt;=TODAY()),1,0))</f>
        <v/>
      </c>
      <c r="AP369" s="345">
        <f>IF($A369="",0,IF(SUM(F369:AE369)+COUNT(AF369:AN369)&gt;0,1,0))</f>
        <v/>
      </c>
      <c r="AQ369" s="345">
        <f>IF($A369="","",INT(($A369-TrackStart)/7)+1)</f>
        <v/>
      </c>
      <c r="AR369" s="345">
        <f>IF($A369="","",IF(AQ369&lt;=1,Steps1,IF(AQ369=2,Steps2,Steps3)))</f>
        <v/>
      </c>
      <c r="AS369" s="345">
        <f>IF($A369="",0,IF(ISNUMBER(SEARCH(TEXT(D369,"0"),WorkDays&amp;"")),1,0))</f>
        <v/>
      </c>
      <c r="AT369" s="345">
        <f>IF($A369="",0,IF(ISNUMBER(SEARCH(TEXT(D369,"0"),StrDays&amp;"")),1,0))</f>
        <v/>
      </c>
      <c r="AU369" s="345">
        <f>IF($A369="",0,IF(ISNUMBER(AK369),IF(AK369&gt;=SleepMin,1,0),N369))</f>
        <v/>
      </c>
      <c r="AV369" s="345">
        <f>IF($A369="",0,MAX(I369,O369,S369,AC369))</f>
        <v/>
      </c>
      <c r="AW369" s="345">
        <f>IF($A369="",0,IF(ISNUMBER(AH369),IF(AH369&gt;=ProtHit,1,0),0))</f>
        <v/>
      </c>
      <c r="AX369" s="345">
        <f>IF($A369="",0,IF(ISNUMBER(AI369),IF(AI369&gt;=WaterHit,1,0),0))</f>
        <v/>
      </c>
      <c r="AY369" s="345">
        <f>IF($A369="",0,IF(ISNUMBER(AG369),IF(AG369&gt;=AR369,1,0),0))</f>
        <v/>
      </c>
      <c r="AZ369" s="345">
        <f>IF($A369="",0,G369)</f>
        <v/>
      </c>
      <c r="BA369" s="345">
        <f>IF($A369="",0,J369)</f>
        <v/>
      </c>
      <c r="BB369" s="345">
        <f>IF($A369="",0,K369)</f>
        <v/>
      </c>
      <c r="BC369" s="345">
        <f>IF($A369="",0,MAX(L369,AE369))</f>
        <v/>
      </c>
      <c r="BD369" s="344">
        <f>IF($A369="","",(AU369+AV369+AW369+AX369+AY369+AZ369+BB369+BC369+IF(AS369=1,BA369,0))/(8+AS369))</f>
        <v/>
      </c>
      <c r="BE369" s="344">
        <f>IF($A369="","",(IF(ISNUMBER(AI369),IF(AI369&gt;=WaterMVD,1,0),0)+AV369+IF(ISNUMBER(AH369),IF(AH369&gt;=ProtMVD,1,0),0)+MAX(H369,AD369)+AZ369+BB369+AU369)/7)</f>
        <v/>
      </c>
      <c r="BF369" s="344">
        <f>IF(AO369=0,"",IF(E369="S","",IF(AND(AP369=0,$A369=TODAY()),"",IF(E369="M",BE369,BD369))))</f>
        <v/>
      </c>
      <c r="BG369" s="344">
        <f>IF(AO369=0,"",IFERROR(AVERAGEIFS(Data!$BF$4:$BF$375,Data!$A$4:$A$375,"&gt;"&amp;($A369-7),Data!$A$4:$A$375,"&lt;="&amp;$A369),""))</f>
        <v/>
      </c>
      <c r="BH369" s="344">
        <f>IF(AO369=0,"",IFERROR(AVERAGEIFS(Data!$BF$4:$BF$375,Data!$A$4:$A$375,"&gt;"&amp;($A369-30),Data!$A$4:$A$375,"&lt;="&amp;$A369),""))</f>
        <v/>
      </c>
      <c r="BI369" s="359">
        <f>IF($A369="","",IFERROR(AVERAGEIFS(Data!$AF$4:$AF$375,Data!$A$4:$A$375,"&gt;"&amp;($A369-7),Data!$A$4:$A$375,"&lt;="&amp;$A369,Data!$AF$4:$AF$375,"&gt;0"),""))</f>
        <v/>
      </c>
      <c r="BJ369" s="345">
        <f>IF($A369="","",F369+G369+H369+I369+J369+K369+L369+M369+N369-IF(AS369=1,0,J369))</f>
        <v/>
      </c>
      <c r="BK369" s="345">
        <f>IF($A369="","",8+AS369)</f>
        <v/>
      </c>
      <c r="BL369" s="345">
        <f>IF(ISNUMBER(BF369),BF369,NA())</f>
        <v/>
      </c>
      <c r="BM369" s="345">
        <f>IF(ISNUMBER(AF369),AF369,NA())</f>
        <v/>
      </c>
      <c r="BN369" s="345">
        <f>IF(ISNUMBER(BI369),BI369,NA())</f>
        <v/>
      </c>
      <c r="BO369" s="345">
        <f>IF(ISNUMBER(AL369),AL369,NA())</f>
        <v/>
      </c>
      <c r="BP369" s="345">
        <f>IF(ISNUMBER(AM369),AM369,NA())</f>
        <v/>
      </c>
      <c r="BQ369" s="345">
        <f>IF(ISNUMBER(AN369),AN369,NA())</f>
        <v/>
      </c>
    </row>
    <row r="370">
      <c r="A370" s="358">
        <f>IF('Sep 2027'!AD7="","",'Sep 2027'!AD7)</f>
        <v/>
      </c>
      <c r="B370" s="345" t="n">
        <v>12</v>
      </c>
      <c r="C370" s="345">
        <f>IF($A370="","",26)</f>
        <v/>
      </c>
      <c r="D370" s="345">
        <f>IF($A370="","",WEEKDAY($A370,2))</f>
        <v/>
      </c>
      <c r="E370" s="345">
        <f>IF($A370="","",UPPER(TRIM('Sep 2027'!AD8)))</f>
        <v/>
      </c>
      <c r="F370" s="345">
        <f>IF($A370="","",IF(OR('Sep 2027'!AD10=TRUE,'Sep 2027'!AD10="x",'Sep 2027'!AD10="X"),1,0))</f>
        <v/>
      </c>
      <c r="G370" s="345">
        <f>IF($A370="","",IF(OR('Sep 2027'!AD11=TRUE,'Sep 2027'!AD11="x",'Sep 2027'!AD11="X"),1,0))</f>
        <v/>
      </c>
      <c r="H370" s="345">
        <f>IF($A370="","",IF(OR('Sep 2027'!AD12=TRUE,'Sep 2027'!AD12="x",'Sep 2027'!AD12="X"),1,0))</f>
        <v/>
      </c>
      <c r="I370" s="345">
        <f>IF($A370="","",IF(OR('Sep 2027'!AD13=TRUE,'Sep 2027'!AD13="x",'Sep 2027'!AD13="X"),1,0))</f>
        <v/>
      </c>
      <c r="J370" s="345">
        <f>IF($A370="","",IF(OR('Sep 2027'!AD14=TRUE,'Sep 2027'!AD14="x",'Sep 2027'!AD14="X"),1,0))</f>
        <v/>
      </c>
      <c r="K370" s="345">
        <f>IF($A370="","",IF(OR('Sep 2027'!AD15=TRUE,'Sep 2027'!AD15="x",'Sep 2027'!AD15="X"),1,0))</f>
        <v/>
      </c>
      <c r="L370" s="345">
        <f>IF($A370="","",IF(OR('Sep 2027'!AD16=TRUE,'Sep 2027'!AD16="x",'Sep 2027'!AD16="X"),1,0))</f>
        <v/>
      </c>
      <c r="M370" s="345">
        <f>IF($A370="","",IF(OR('Sep 2027'!AD17=TRUE,'Sep 2027'!AD17="x",'Sep 2027'!AD17="X"),1,0))</f>
        <v/>
      </c>
      <c r="N370" s="345">
        <f>IF($A370="","",IF(OR('Sep 2027'!AD18=TRUE,'Sep 2027'!AD18="x",'Sep 2027'!AD18="X"),1,0))</f>
        <v/>
      </c>
      <c r="O370" s="345">
        <f>IF($A370="","",IF(OR('Sep 2027'!AD20=TRUE,'Sep 2027'!AD20="x",'Sep 2027'!AD20="X"),1,0))</f>
        <v/>
      </c>
      <c r="P370" s="345">
        <f>IF($A370="","",IF(OR('Sep 2027'!AD21=TRUE,'Sep 2027'!AD21="x",'Sep 2027'!AD21="X"),1,0))</f>
        <v/>
      </c>
      <c r="Q370" s="345">
        <f>IF($A370="","",IF(OR('Sep 2027'!AD22=TRUE,'Sep 2027'!AD22="x",'Sep 2027'!AD22="X"),1,0))</f>
        <v/>
      </c>
      <c r="R370" s="345">
        <f>IF($A370="","",IF(OR('Sep 2027'!AD23=TRUE,'Sep 2027'!AD23="x",'Sep 2027'!AD23="X"),1,0))</f>
        <v/>
      </c>
      <c r="S370" s="345">
        <f>IF($A370="","",IF(OR('Sep 2027'!AD24=TRUE,'Sep 2027'!AD24="x",'Sep 2027'!AD24="X"),1,0))</f>
        <v/>
      </c>
      <c r="T370" s="345">
        <f>IF($A370="","",IF(OR('Sep 2027'!AD25=TRUE,'Sep 2027'!AD25="x",'Sep 2027'!AD25="X"),1,0))</f>
        <v/>
      </c>
      <c r="U370" s="345">
        <f>IF($A370="","",IF(OR('Sep 2027'!AD26=TRUE,'Sep 2027'!AD26="x",'Sep 2027'!AD26="X"),1,0))</f>
        <v/>
      </c>
      <c r="V370" s="345">
        <f>IF($A370="","",IF(OR('Sep 2027'!AD27=TRUE,'Sep 2027'!AD27="x",'Sep 2027'!AD27="X"),1,0))</f>
        <v/>
      </c>
      <c r="W370" s="345">
        <f>IF($A370="","",IF(OR('Sep 2027'!AD28=TRUE,'Sep 2027'!AD28="x",'Sep 2027'!AD28="X"),1,0))</f>
        <v/>
      </c>
      <c r="X370" s="345">
        <f>IF($A370="","",IF(OR('Sep 2027'!AD29=TRUE,'Sep 2027'!AD29="x",'Sep 2027'!AD29="X"),1,0))</f>
        <v/>
      </c>
      <c r="Y370" s="345">
        <f>IF($A370="","",IF(OR('Sep 2027'!AD30=TRUE,'Sep 2027'!AD30="x",'Sep 2027'!AD30="X"),1,0))</f>
        <v/>
      </c>
      <c r="Z370" s="345">
        <f>IF($A370="","",IF(OR('Sep 2027'!AD31=TRUE,'Sep 2027'!AD31="x",'Sep 2027'!AD31="X"),1,0))</f>
        <v/>
      </c>
      <c r="AA370" s="345">
        <f>IF($A370="","",IF(OR('Sep 2027'!AD32=TRUE,'Sep 2027'!AD32="x",'Sep 2027'!AD32="X"),1,0))</f>
        <v/>
      </c>
      <c r="AB370" s="345">
        <f>IF($A370="","",IF(OR('Sep 2027'!AD34=TRUE,'Sep 2027'!AD34="x",'Sep 2027'!AD34="X"),1,0))</f>
        <v/>
      </c>
      <c r="AC370" s="345">
        <f>IF($A370="","",IF(OR('Sep 2027'!AD35=TRUE,'Sep 2027'!AD35="x",'Sep 2027'!AD35="X"),1,0))</f>
        <v/>
      </c>
      <c r="AD370" s="345">
        <f>IF($A370="","",IF(OR('Sep 2027'!AD36=TRUE,'Sep 2027'!AD36="x",'Sep 2027'!AD36="X"),1,0))</f>
        <v/>
      </c>
      <c r="AE370" s="345">
        <f>IF($A370="","",IF(OR('Sep 2027'!AD37=TRUE,'Sep 2027'!AD37="x",'Sep 2027'!AD37="X"),1,0))</f>
        <v/>
      </c>
      <c r="AF370" s="345">
        <f>IF($A370="","",IF('Sep 2027'!AD59="","",'Sep 2027'!AD59))</f>
        <v/>
      </c>
      <c r="AG370" s="345">
        <f>IF($A370="","",IF('Sep 2027'!AD60="","",'Sep 2027'!AD60))</f>
        <v/>
      </c>
      <c r="AH370" s="345">
        <f>IF($A370="","",IF('Sep 2027'!AD61="","",'Sep 2027'!AD61))</f>
        <v/>
      </c>
      <c r="AI370" s="345">
        <f>IF($A370="","",IF('Sep 2027'!AD62="","",'Sep 2027'!AD62))</f>
        <v/>
      </c>
      <c r="AJ370" s="345">
        <f>IF($A370="","",IF('Sep 2027'!AD63="","",'Sep 2027'!AD63))</f>
        <v/>
      </c>
      <c r="AK370" s="345">
        <f>IF($A370="","",IF('Sep 2027'!AD64="","",'Sep 2027'!AD64))</f>
        <v/>
      </c>
      <c r="AL370" s="345">
        <f>IF($A370="","",IF('Sep 2027'!AD65="","",'Sep 2027'!AD65))</f>
        <v/>
      </c>
      <c r="AM370" s="345">
        <f>IF($A370="","",IF('Sep 2027'!AD66="","",'Sep 2027'!AD66))</f>
        <v/>
      </c>
      <c r="AN370" s="345">
        <f>IF($A370="","",IF('Sep 2027'!AD67="","",'Sep 2027'!AD67))</f>
        <v/>
      </c>
      <c r="AO370" s="345">
        <f>IF($A370="",0,IF(AND($A370&gt;=TrackStart,$A370&lt;=TODAY()),1,0))</f>
        <v/>
      </c>
      <c r="AP370" s="345">
        <f>IF($A370="",0,IF(SUM(F370:AE370)+COUNT(AF370:AN370)&gt;0,1,0))</f>
        <v/>
      </c>
      <c r="AQ370" s="345">
        <f>IF($A370="","",INT(($A370-TrackStart)/7)+1)</f>
        <v/>
      </c>
      <c r="AR370" s="345">
        <f>IF($A370="","",IF(AQ370&lt;=1,Steps1,IF(AQ370=2,Steps2,Steps3)))</f>
        <v/>
      </c>
      <c r="AS370" s="345">
        <f>IF($A370="",0,IF(ISNUMBER(SEARCH(TEXT(D370,"0"),WorkDays&amp;"")),1,0))</f>
        <v/>
      </c>
      <c r="AT370" s="345">
        <f>IF($A370="",0,IF(ISNUMBER(SEARCH(TEXT(D370,"0"),StrDays&amp;"")),1,0))</f>
        <v/>
      </c>
      <c r="AU370" s="345">
        <f>IF($A370="",0,IF(ISNUMBER(AK370),IF(AK370&gt;=SleepMin,1,0),N370))</f>
        <v/>
      </c>
      <c r="AV370" s="345">
        <f>IF($A370="",0,MAX(I370,O370,S370,AC370))</f>
        <v/>
      </c>
      <c r="AW370" s="345">
        <f>IF($A370="",0,IF(ISNUMBER(AH370),IF(AH370&gt;=ProtHit,1,0),0))</f>
        <v/>
      </c>
      <c r="AX370" s="345">
        <f>IF($A370="",0,IF(ISNUMBER(AI370),IF(AI370&gt;=WaterHit,1,0),0))</f>
        <v/>
      </c>
      <c r="AY370" s="345">
        <f>IF($A370="",0,IF(ISNUMBER(AG370),IF(AG370&gt;=AR370,1,0),0))</f>
        <v/>
      </c>
      <c r="AZ370" s="345">
        <f>IF($A370="",0,G370)</f>
        <v/>
      </c>
      <c r="BA370" s="345">
        <f>IF($A370="",0,J370)</f>
        <v/>
      </c>
      <c r="BB370" s="345">
        <f>IF($A370="",0,K370)</f>
        <v/>
      </c>
      <c r="BC370" s="345">
        <f>IF($A370="",0,MAX(L370,AE370))</f>
        <v/>
      </c>
      <c r="BD370" s="344">
        <f>IF($A370="","",(AU370+AV370+AW370+AX370+AY370+AZ370+BB370+BC370+IF(AS370=1,BA370,0))/(8+AS370))</f>
        <v/>
      </c>
      <c r="BE370" s="344">
        <f>IF($A370="","",(IF(ISNUMBER(AI370),IF(AI370&gt;=WaterMVD,1,0),0)+AV370+IF(ISNUMBER(AH370),IF(AH370&gt;=ProtMVD,1,0),0)+MAX(H370,AD370)+AZ370+BB370+AU370)/7)</f>
        <v/>
      </c>
      <c r="BF370" s="344">
        <f>IF(AO370=0,"",IF(E370="S","",IF(AND(AP370=0,$A370=TODAY()),"",IF(E370="M",BE370,BD370))))</f>
        <v/>
      </c>
      <c r="BG370" s="344">
        <f>IF(AO370=0,"",IFERROR(AVERAGEIFS(Data!$BF$4:$BF$375,Data!$A$4:$A$375,"&gt;"&amp;($A370-7),Data!$A$4:$A$375,"&lt;="&amp;$A370),""))</f>
        <v/>
      </c>
      <c r="BH370" s="344">
        <f>IF(AO370=0,"",IFERROR(AVERAGEIFS(Data!$BF$4:$BF$375,Data!$A$4:$A$375,"&gt;"&amp;($A370-30),Data!$A$4:$A$375,"&lt;="&amp;$A370),""))</f>
        <v/>
      </c>
      <c r="BI370" s="359">
        <f>IF($A370="","",IFERROR(AVERAGEIFS(Data!$AF$4:$AF$375,Data!$A$4:$A$375,"&gt;"&amp;($A370-7),Data!$A$4:$A$375,"&lt;="&amp;$A370,Data!$AF$4:$AF$375,"&gt;0"),""))</f>
        <v/>
      </c>
      <c r="BJ370" s="345">
        <f>IF($A370="","",F370+G370+H370+I370+J370+K370+L370+M370+N370-IF(AS370=1,0,J370))</f>
        <v/>
      </c>
      <c r="BK370" s="345">
        <f>IF($A370="","",8+AS370)</f>
        <v/>
      </c>
      <c r="BL370" s="345">
        <f>IF(ISNUMBER(BF370),BF370,NA())</f>
        <v/>
      </c>
      <c r="BM370" s="345">
        <f>IF(ISNUMBER(AF370),AF370,NA())</f>
        <v/>
      </c>
      <c r="BN370" s="345">
        <f>IF(ISNUMBER(BI370),BI370,NA())</f>
        <v/>
      </c>
      <c r="BO370" s="345">
        <f>IF(ISNUMBER(AL370),AL370,NA())</f>
        <v/>
      </c>
      <c r="BP370" s="345">
        <f>IF(ISNUMBER(AM370),AM370,NA())</f>
        <v/>
      </c>
      <c r="BQ370" s="345">
        <f>IF(ISNUMBER(AN370),AN370,NA())</f>
        <v/>
      </c>
    </row>
    <row r="371">
      <c r="A371" s="358">
        <f>IF('Sep 2027'!AE7="","",'Sep 2027'!AE7)</f>
        <v/>
      </c>
      <c r="B371" s="345" t="n">
        <v>12</v>
      </c>
      <c r="C371" s="345">
        <f>IF($A371="","",27)</f>
        <v/>
      </c>
      <c r="D371" s="345">
        <f>IF($A371="","",WEEKDAY($A371,2))</f>
        <v/>
      </c>
      <c r="E371" s="345">
        <f>IF($A371="","",UPPER(TRIM('Sep 2027'!AE8)))</f>
        <v/>
      </c>
      <c r="F371" s="345">
        <f>IF($A371="","",IF(OR('Sep 2027'!AE10=TRUE,'Sep 2027'!AE10="x",'Sep 2027'!AE10="X"),1,0))</f>
        <v/>
      </c>
      <c r="G371" s="345">
        <f>IF($A371="","",IF(OR('Sep 2027'!AE11=TRUE,'Sep 2027'!AE11="x",'Sep 2027'!AE11="X"),1,0))</f>
        <v/>
      </c>
      <c r="H371" s="345">
        <f>IF($A371="","",IF(OR('Sep 2027'!AE12=TRUE,'Sep 2027'!AE12="x",'Sep 2027'!AE12="X"),1,0))</f>
        <v/>
      </c>
      <c r="I371" s="345">
        <f>IF($A371="","",IF(OR('Sep 2027'!AE13=TRUE,'Sep 2027'!AE13="x",'Sep 2027'!AE13="X"),1,0))</f>
        <v/>
      </c>
      <c r="J371" s="345">
        <f>IF($A371="","",IF(OR('Sep 2027'!AE14=TRUE,'Sep 2027'!AE14="x",'Sep 2027'!AE14="X"),1,0))</f>
        <v/>
      </c>
      <c r="K371" s="345">
        <f>IF($A371="","",IF(OR('Sep 2027'!AE15=TRUE,'Sep 2027'!AE15="x",'Sep 2027'!AE15="X"),1,0))</f>
        <v/>
      </c>
      <c r="L371" s="345">
        <f>IF($A371="","",IF(OR('Sep 2027'!AE16=TRUE,'Sep 2027'!AE16="x",'Sep 2027'!AE16="X"),1,0))</f>
        <v/>
      </c>
      <c r="M371" s="345">
        <f>IF($A371="","",IF(OR('Sep 2027'!AE17=TRUE,'Sep 2027'!AE17="x",'Sep 2027'!AE17="X"),1,0))</f>
        <v/>
      </c>
      <c r="N371" s="345">
        <f>IF($A371="","",IF(OR('Sep 2027'!AE18=TRUE,'Sep 2027'!AE18="x",'Sep 2027'!AE18="X"),1,0))</f>
        <v/>
      </c>
      <c r="O371" s="345">
        <f>IF($A371="","",IF(OR('Sep 2027'!AE20=TRUE,'Sep 2027'!AE20="x",'Sep 2027'!AE20="X"),1,0))</f>
        <v/>
      </c>
      <c r="P371" s="345">
        <f>IF($A371="","",IF(OR('Sep 2027'!AE21=TRUE,'Sep 2027'!AE21="x",'Sep 2027'!AE21="X"),1,0))</f>
        <v/>
      </c>
      <c r="Q371" s="345">
        <f>IF($A371="","",IF(OR('Sep 2027'!AE22=TRUE,'Sep 2027'!AE22="x",'Sep 2027'!AE22="X"),1,0))</f>
        <v/>
      </c>
      <c r="R371" s="345">
        <f>IF($A371="","",IF(OR('Sep 2027'!AE23=TRUE,'Sep 2027'!AE23="x",'Sep 2027'!AE23="X"),1,0))</f>
        <v/>
      </c>
      <c r="S371" s="345">
        <f>IF($A371="","",IF(OR('Sep 2027'!AE24=TRUE,'Sep 2027'!AE24="x",'Sep 2027'!AE24="X"),1,0))</f>
        <v/>
      </c>
      <c r="T371" s="345">
        <f>IF($A371="","",IF(OR('Sep 2027'!AE25=TRUE,'Sep 2027'!AE25="x",'Sep 2027'!AE25="X"),1,0))</f>
        <v/>
      </c>
      <c r="U371" s="345">
        <f>IF($A371="","",IF(OR('Sep 2027'!AE26=TRUE,'Sep 2027'!AE26="x",'Sep 2027'!AE26="X"),1,0))</f>
        <v/>
      </c>
      <c r="V371" s="345">
        <f>IF($A371="","",IF(OR('Sep 2027'!AE27=TRUE,'Sep 2027'!AE27="x",'Sep 2027'!AE27="X"),1,0))</f>
        <v/>
      </c>
      <c r="W371" s="345">
        <f>IF($A371="","",IF(OR('Sep 2027'!AE28=TRUE,'Sep 2027'!AE28="x",'Sep 2027'!AE28="X"),1,0))</f>
        <v/>
      </c>
      <c r="X371" s="345">
        <f>IF($A371="","",IF(OR('Sep 2027'!AE29=TRUE,'Sep 2027'!AE29="x",'Sep 2027'!AE29="X"),1,0))</f>
        <v/>
      </c>
      <c r="Y371" s="345">
        <f>IF($A371="","",IF(OR('Sep 2027'!AE30=TRUE,'Sep 2027'!AE30="x",'Sep 2027'!AE30="X"),1,0))</f>
        <v/>
      </c>
      <c r="Z371" s="345">
        <f>IF($A371="","",IF(OR('Sep 2027'!AE31=TRUE,'Sep 2027'!AE31="x",'Sep 2027'!AE31="X"),1,0))</f>
        <v/>
      </c>
      <c r="AA371" s="345">
        <f>IF($A371="","",IF(OR('Sep 2027'!AE32=TRUE,'Sep 2027'!AE32="x",'Sep 2027'!AE32="X"),1,0))</f>
        <v/>
      </c>
      <c r="AB371" s="345">
        <f>IF($A371="","",IF(OR('Sep 2027'!AE34=TRUE,'Sep 2027'!AE34="x",'Sep 2027'!AE34="X"),1,0))</f>
        <v/>
      </c>
      <c r="AC371" s="345">
        <f>IF($A371="","",IF(OR('Sep 2027'!AE35=TRUE,'Sep 2027'!AE35="x",'Sep 2027'!AE35="X"),1,0))</f>
        <v/>
      </c>
      <c r="AD371" s="345">
        <f>IF($A371="","",IF(OR('Sep 2027'!AE36=TRUE,'Sep 2027'!AE36="x",'Sep 2027'!AE36="X"),1,0))</f>
        <v/>
      </c>
      <c r="AE371" s="345">
        <f>IF($A371="","",IF(OR('Sep 2027'!AE37=TRUE,'Sep 2027'!AE37="x",'Sep 2027'!AE37="X"),1,0))</f>
        <v/>
      </c>
      <c r="AF371" s="345">
        <f>IF($A371="","",IF('Sep 2027'!AE59="","",'Sep 2027'!AE59))</f>
        <v/>
      </c>
      <c r="AG371" s="345">
        <f>IF($A371="","",IF('Sep 2027'!AE60="","",'Sep 2027'!AE60))</f>
        <v/>
      </c>
      <c r="AH371" s="345">
        <f>IF($A371="","",IF('Sep 2027'!AE61="","",'Sep 2027'!AE61))</f>
        <v/>
      </c>
      <c r="AI371" s="345">
        <f>IF($A371="","",IF('Sep 2027'!AE62="","",'Sep 2027'!AE62))</f>
        <v/>
      </c>
      <c r="AJ371" s="345">
        <f>IF($A371="","",IF('Sep 2027'!AE63="","",'Sep 2027'!AE63))</f>
        <v/>
      </c>
      <c r="AK371" s="345">
        <f>IF($A371="","",IF('Sep 2027'!AE64="","",'Sep 2027'!AE64))</f>
        <v/>
      </c>
      <c r="AL371" s="345">
        <f>IF($A371="","",IF('Sep 2027'!AE65="","",'Sep 2027'!AE65))</f>
        <v/>
      </c>
      <c r="AM371" s="345">
        <f>IF($A371="","",IF('Sep 2027'!AE66="","",'Sep 2027'!AE66))</f>
        <v/>
      </c>
      <c r="AN371" s="345">
        <f>IF($A371="","",IF('Sep 2027'!AE67="","",'Sep 2027'!AE67))</f>
        <v/>
      </c>
      <c r="AO371" s="345">
        <f>IF($A371="",0,IF(AND($A371&gt;=TrackStart,$A371&lt;=TODAY()),1,0))</f>
        <v/>
      </c>
      <c r="AP371" s="345">
        <f>IF($A371="",0,IF(SUM(F371:AE371)+COUNT(AF371:AN371)&gt;0,1,0))</f>
        <v/>
      </c>
      <c r="AQ371" s="345">
        <f>IF($A371="","",INT(($A371-TrackStart)/7)+1)</f>
        <v/>
      </c>
      <c r="AR371" s="345">
        <f>IF($A371="","",IF(AQ371&lt;=1,Steps1,IF(AQ371=2,Steps2,Steps3)))</f>
        <v/>
      </c>
      <c r="AS371" s="345">
        <f>IF($A371="",0,IF(ISNUMBER(SEARCH(TEXT(D371,"0"),WorkDays&amp;"")),1,0))</f>
        <v/>
      </c>
      <c r="AT371" s="345">
        <f>IF($A371="",0,IF(ISNUMBER(SEARCH(TEXT(D371,"0"),StrDays&amp;"")),1,0))</f>
        <v/>
      </c>
      <c r="AU371" s="345">
        <f>IF($A371="",0,IF(ISNUMBER(AK371),IF(AK371&gt;=SleepMin,1,0),N371))</f>
        <v/>
      </c>
      <c r="AV371" s="345">
        <f>IF($A371="",0,MAX(I371,O371,S371,AC371))</f>
        <v/>
      </c>
      <c r="AW371" s="345">
        <f>IF($A371="",0,IF(ISNUMBER(AH371),IF(AH371&gt;=ProtHit,1,0),0))</f>
        <v/>
      </c>
      <c r="AX371" s="345">
        <f>IF($A371="",0,IF(ISNUMBER(AI371),IF(AI371&gt;=WaterHit,1,0),0))</f>
        <v/>
      </c>
      <c r="AY371" s="345">
        <f>IF($A371="",0,IF(ISNUMBER(AG371),IF(AG371&gt;=AR371,1,0),0))</f>
        <v/>
      </c>
      <c r="AZ371" s="345">
        <f>IF($A371="",0,G371)</f>
        <v/>
      </c>
      <c r="BA371" s="345">
        <f>IF($A371="",0,J371)</f>
        <v/>
      </c>
      <c r="BB371" s="345">
        <f>IF($A371="",0,K371)</f>
        <v/>
      </c>
      <c r="BC371" s="345">
        <f>IF($A371="",0,MAX(L371,AE371))</f>
        <v/>
      </c>
      <c r="BD371" s="344">
        <f>IF($A371="","",(AU371+AV371+AW371+AX371+AY371+AZ371+BB371+BC371+IF(AS371=1,BA371,0))/(8+AS371))</f>
        <v/>
      </c>
      <c r="BE371" s="344">
        <f>IF($A371="","",(IF(ISNUMBER(AI371),IF(AI371&gt;=WaterMVD,1,0),0)+AV371+IF(ISNUMBER(AH371),IF(AH371&gt;=ProtMVD,1,0),0)+MAX(H371,AD371)+AZ371+BB371+AU371)/7)</f>
        <v/>
      </c>
      <c r="BF371" s="344">
        <f>IF(AO371=0,"",IF(E371="S","",IF(AND(AP371=0,$A371=TODAY()),"",IF(E371="M",BE371,BD371))))</f>
        <v/>
      </c>
      <c r="BG371" s="344">
        <f>IF(AO371=0,"",IFERROR(AVERAGEIFS(Data!$BF$4:$BF$375,Data!$A$4:$A$375,"&gt;"&amp;($A371-7),Data!$A$4:$A$375,"&lt;="&amp;$A371),""))</f>
        <v/>
      </c>
      <c r="BH371" s="344">
        <f>IF(AO371=0,"",IFERROR(AVERAGEIFS(Data!$BF$4:$BF$375,Data!$A$4:$A$375,"&gt;"&amp;($A371-30),Data!$A$4:$A$375,"&lt;="&amp;$A371),""))</f>
        <v/>
      </c>
      <c r="BI371" s="359">
        <f>IF($A371="","",IFERROR(AVERAGEIFS(Data!$AF$4:$AF$375,Data!$A$4:$A$375,"&gt;"&amp;($A371-7),Data!$A$4:$A$375,"&lt;="&amp;$A371,Data!$AF$4:$AF$375,"&gt;0"),""))</f>
        <v/>
      </c>
      <c r="BJ371" s="345">
        <f>IF($A371="","",F371+G371+H371+I371+J371+K371+L371+M371+N371-IF(AS371=1,0,J371))</f>
        <v/>
      </c>
      <c r="BK371" s="345">
        <f>IF($A371="","",8+AS371)</f>
        <v/>
      </c>
      <c r="BL371" s="345">
        <f>IF(ISNUMBER(BF371),BF371,NA())</f>
        <v/>
      </c>
      <c r="BM371" s="345">
        <f>IF(ISNUMBER(AF371),AF371,NA())</f>
        <v/>
      </c>
      <c r="BN371" s="345">
        <f>IF(ISNUMBER(BI371),BI371,NA())</f>
        <v/>
      </c>
      <c r="BO371" s="345">
        <f>IF(ISNUMBER(AL371),AL371,NA())</f>
        <v/>
      </c>
      <c r="BP371" s="345">
        <f>IF(ISNUMBER(AM371),AM371,NA())</f>
        <v/>
      </c>
      <c r="BQ371" s="345">
        <f>IF(ISNUMBER(AN371),AN371,NA())</f>
        <v/>
      </c>
    </row>
    <row r="372">
      <c r="A372" s="358">
        <f>IF('Sep 2027'!AF7="","",'Sep 2027'!AF7)</f>
        <v/>
      </c>
      <c r="B372" s="345" t="n">
        <v>12</v>
      </c>
      <c r="C372" s="345">
        <f>IF($A372="","",28)</f>
        <v/>
      </c>
      <c r="D372" s="345">
        <f>IF($A372="","",WEEKDAY($A372,2))</f>
        <v/>
      </c>
      <c r="E372" s="345">
        <f>IF($A372="","",UPPER(TRIM('Sep 2027'!AF8)))</f>
        <v/>
      </c>
      <c r="F372" s="345">
        <f>IF($A372="","",IF(OR('Sep 2027'!AF10=TRUE,'Sep 2027'!AF10="x",'Sep 2027'!AF10="X"),1,0))</f>
        <v/>
      </c>
      <c r="G372" s="345">
        <f>IF($A372="","",IF(OR('Sep 2027'!AF11=TRUE,'Sep 2027'!AF11="x",'Sep 2027'!AF11="X"),1,0))</f>
        <v/>
      </c>
      <c r="H372" s="345">
        <f>IF($A372="","",IF(OR('Sep 2027'!AF12=TRUE,'Sep 2027'!AF12="x",'Sep 2027'!AF12="X"),1,0))</f>
        <v/>
      </c>
      <c r="I372" s="345">
        <f>IF($A372="","",IF(OR('Sep 2027'!AF13=TRUE,'Sep 2027'!AF13="x",'Sep 2027'!AF13="X"),1,0))</f>
        <v/>
      </c>
      <c r="J372" s="345">
        <f>IF($A372="","",IF(OR('Sep 2027'!AF14=TRUE,'Sep 2027'!AF14="x",'Sep 2027'!AF14="X"),1,0))</f>
        <v/>
      </c>
      <c r="K372" s="345">
        <f>IF($A372="","",IF(OR('Sep 2027'!AF15=TRUE,'Sep 2027'!AF15="x",'Sep 2027'!AF15="X"),1,0))</f>
        <v/>
      </c>
      <c r="L372" s="345">
        <f>IF($A372="","",IF(OR('Sep 2027'!AF16=TRUE,'Sep 2027'!AF16="x",'Sep 2027'!AF16="X"),1,0))</f>
        <v/>
      </c>
      <c r="M372" s="345">
        <f>IF($A372="","",IF(OR('Sep 2027'!AF17=TRUE,'Sep 2027'!AF17="x",'Sep 2027'!AF17="X"),1,0))</f>
        <v/>
      </c>
      <c r="N372" s="345">
        <f>IF($A372="","",IF(OR('Sep 2027'!AF18=TRUE,'Sep 2027'!AF18="x",'Sep 2027'!AF18="X"),1,0))</f>
        <v/>
      </c>
      <c r="O372" s="345">
        <f>IF($A372="","",IF(OR('Sep 2027'!AF20=TRUE,'Sep 2027'!AF20="x",'Sep 2027'!AF20="X"),1,0))</f>
        <v/>
      </c>
      <c r="P372" s="345">
        <f>IF($A372="","",IF(OR('Sep 2027'!AF21=TRUE,'Sep 2027'!AF21="x",'Sep 2027'!AF21="X"),1,0))</f>
        <v/>
      </c>
      <c r="Q372" s="345">
        <f>IF($A372="","",IF(OR('Sep 2027'!AF22=TRUE,'Sep 2027'!AF22="x",'Sep 2027'!AF22="X"),1,0))</f>
        <v/>
      </c>
      <c r="R372" s="345">
        <f>IF($A372="","",IF(OR('Sep 2027'!AF23=TRUE,'Sep 2027'!AF23="x",'Sep 2027'!AF23="X"),1,0))</f>
        <v/>
      </c>
      <c r="S372" s="345">
        <f>IF($A372="","",IF(OR('Sep 2027'!AF24=TRUE,'Sep 2027'!AF24="x",'Sep 2027'!AF24="X"),1,0))</f>
        <v/>
      </c>
      <c r="T372" s="345">
        <f>IF($A372="","",IF(OR('Sep 2027'!AF25=TRUE,'Sep 2027'!AF25="x",'Sep 2027'!AF25="X"),1,0))</f>
        <v/>
      </c>
      <c r="U372" s="345">
        <f>IF($A372="","",IF(OR('Sep 2027'!AF26=TRUE,'Sep 2027'!AF26="x",'Sep 2027'!AF26="X"),1,0))</f>
        <v/>
      </c>
      <c r="V372" s="345">
        <f>IF($A372="","",IF(OR('Sep 2027'!AF27=TRUE,'Sep 2027'!AF27="x",'Sep 2027'!AF27="X"),1,0))</f>
        <v/>
      </c>
      <c r="W372" s="345">
        <f>IF($A372="","",IF(OR('Sep 2027'!AF28=TRUE,'Sep 2027'!AF28="x",'Sep 2027'!AF28="X"),1,0))</f>
        <v/>
      </c>
      <c r="X372" s="345">
        <f>IF($A372="","",IF(OR('Sep 2027'!AF29=TRUE,'Sep 2027'!AF29="x",'Sep 2027'!AF29="X"),1,0))</f>
        <v/>
      </c>
      <c r="Y372" s="345">
        <f>IF($A372="","",IF(OR('Sep 2027'!AF30=TRUE,'Sep 2027'!AF30="x",'Sep 2027'!AF30="X"),1,0))</f>
        <v/>
      </c>
      <c r="Z372" s="345">
        <f>IF($A372="","",IF(OR('Sep 2027'!AF31=TRUE,'Sep 2027'!AF31="x",'Sep 2027'!AF31="X"),1,0))</f>
        <v/>
      </c>
      <c r="AA372" s="345">
        <f>IF($A372="","",IF(OR('Sep 2027'!AF32=TRUE,'Sep 2027'!AF32="x",'Sep 2027'!AF32="X"),1,0))</f>
        <v/>
      </c>
      <c r="AB372" s="345">
        <f>IF($A372="","",IF(OR('Sep 2027'!AF34=TRUE,'Sep 2027'!AF34="x",'Sep 2027'!AF34="X"),1,0))</f>
        <v/>
      </c>
      <c r="AC372" s="345">
        <f>IF($A372="","",IF(OR('Sep 2027'!AF35=TRUE,'Sep 2027'!AF35="x",'Sep 2027'!AF35="X"),1,0))</f>
        <v/>
      </c>
      <c r="AD372" s="345">
        <f>IF($A372="","",IF(OR('Sep 2027'!AF36=TRUE,'Sep 2027'!AF36="x",'Sep 2027'!AF36="X"),1,0))</f>
        <v/>
      </c>
      <c r="AE372" s="345">
        <f>IF($A372="","",IF(OR('Sep 2027'!AF37=TRUE,'Sep 2027'!AF37="x",'Sep 2027'!AF37="X"),1,0))</f>
        <v/>
      </c>
      <c r="AF372" s="345">
        <f>IF($A372="","",IF('Sep 2027'!AF59="","",'Sep 2027'!AF59))</f>
        <v/>
      </c>
      <c r="AG372" s="345">
        <f>IF($A372="","",IF('Sep 2027'!AF60="","",'Sep 2027'!AF60))</f>
        <v/>
      </c>
      <c r="AH372" s="345">
        <f>IF($A372="","",IF('Sep 2027'!AF61="","",'Sep 2027'!AF61))</f>
        <v/>
      </c>
      <c r="AI372" s="345">
        <f>IF($A372="","",IF('Sep 2027'!AF62="","",'Sep 2027'!AF62))</f>
        <v/>
      </c>
      <c r="AJ372" s="345">
        <f>IF($A372="","",IF('Sep 2027'!AF63="","",'Sep 2027'!AF63))</f>
        <v/>
      </c>
      <c r="AK372" s="345">
        <f>IF($A372="","",IF('Sep 2027'!AF64="","",'Sep 2027'!AF64))</f>
        <v/>
      </c>
      <c r="AL372" s="345">
        <f>IF($A372="","",IF('Sep 2027'!AF65="","",'Sep 2027'!AF65))</f>
        <v/>
      </c>
      <c r="AM372" s="345">
        <f>IF($A372="","",IF('Sep 2027'!AF66="","",'Sep 2027'!AF66))</f>
        <v/>
      </c>
      <c r="AN372" s="345">
        <f>IF($A372="","",IF('Sep 2027'!AF67="","",'Sep 2027'!AF67))</f>
        <v/>
      </c>
      <c r="AO372" s="345">
        <f>IF($A372="",0,IF(AND($A372&gt;=TrackStart,$A372&lt;=TODAY()),1,0))</f>
        <v/>
      </c>
      <c r="AP372" s="345">
        <f>IF($A372="",0,IF(SUM(F372:AE372)+COUNT(AF372:AN372)&gt;0,1,0))</f>
        <v/>
      </c>
      <c r="AQ372" s="345">
        <f>IF($A372="","",INT(($A372-TrackStart)/7)+1)</f>
        <v/>
      </c>
      <c r="AR372" s="345">
        <f>IF($A372="","",IF(AQ372&lt;=1,Steps1,IF(AQ372=2,Steps2,Steps3)))</f>
        <v/>
      </c>
      <c r="AS372" s="345">
        <f>IF($A372="",0,IF(ISNUMBER(SEARCH(TEXT(D372,"0"),WorkDays&amp;"")),1,0))</f>
        <v/>
      </c>
      <c r="AT372" s="345">
        <f>IF($A372="",0,IF(ISNUMBER(SEARCH(TEXT(D372,"0"),StrDays&amp;"")),1,0))</f>
        <v/>
      </c>
      <c r="AU372" s="345">
        <f>IF($A372="",0,IF(ISNUMBER(AK372),IF(AK372&gt;=SleepMin,1,0),N372))</f>
        <v/>
      </c>
      <c r="AV372" s="345">
        <f>IF($A372="",0,MAX(I372,O372,S372,AC372))</f>
        <v/>
      </c>
      <c r="AW372" s="345">
        <f>IF($A372="",0,IF(ISNUMBER(AH372),IF(AH372&gt;=ProtHit,1,0),0))</f>
        <v/>
      </c>
      <c r="AX372" s="345">
        <f>IF($A372="",0,IF(ISNUMBER(AI372),IF(AI372&gt;=WaterHit,1,0),0))</f>
        <v/>
      </c>
      <c r="AY372" s="345">
        <f>IF($A372="",0,IF(ISNUMBER(AG372),IF(AG372&gt;=AR372,1,0),0))</f>
        <v/>
      </c>
      <c r="AZ372" s="345">
        <f>IF($A372="",0,G372)</f>
        <v/>
      </c>
      <c r="BA372" s="345">
        <f>IF($A372="",0,J372)</f>
        <v/>
      </c>
      <c r="BB372" s="345">
        <f>IF($A372="",0,K372)</f>
        <v/>
      </c>
      <c r="BC372" s="345">
        <f>IF($A372="",0,MAX(L372,AE372))</f>
        <v/>
      </c>
      <c r="BD372" s="344">
        <f>IF($A372="","",(AU372+AV372+AW372+AX372+AY372+AZ372+BB372+BC372+IF(AS372=1,BA372,0))/(8+AS372))</f>
        <v/>
      </c>
      <c r="BE372" s="344">
        <f>IF($A372="","",(IF(ISNUMBER(AI372),IF(AI372&gt;=WaterMVD,1,0),0)+AV372+IF(ISNUMBER(AH372),IF(AH372&gt;=ProtMVD,1,0),0)+MAX(H372,AD372)+AZ372+BB372+AU372)/7)</f>
        <v/>
      </c>
      <c r="BF372" s="344">
        <f>IF(AO372=0,"",IF(E372="S","",IF(AND(AP372=0,$A372=TODAY()),"",IF(E372="M",BE372,BD372))))</f>
        <v/>
      </c>
      <c r="BG372" s="344">
        <f>IF(AO372=0,"",IFERROR(AVERAGEIFS(Data!$BF$4:$BF$375,Data!$A$4:$A$375,"&gt;"&amp;($A372-7),Data!$A$4:$A$375,"&lt;="&amp;$A372),""))</f>
        <v/>
      </c>
      <c r="BH372" s="344">
        <f>IF(AO372=0,"",IFERROR(AVERAGEIFS(Data!$BF$4:$BF$375,Data!$A$4:$A$375,"&gt;"&amp;($A372-30),Data!$A$4:$A$375,"&lt;="&amp;$A372),""))</f>
        <v/>
      </c>
      <c r="BI372" s="359">
        <f>IF($A372="","",IFERROR(AVERAGEIFS(Data!$AF$4:$AF$375,Data!$A$4:$A$375,"&gt;"&amp;($A372-7),Data!$A$4:$A$375,"&lt;="&amp;$A372,Data!$AF$4:$AF$375,"&gt;0"),""))</f>
        <v/>
      </c>
      <c r="BJ372" s="345">
        <f>IF($A372="","",F372+G372+H372+I372+J372+K372+L372+M372+N372-IF(AS372=1,0,J372))</f>
        <v/>
      </c>
      <c r="BK372" s="345">
        <f>IF($A372="","",8+AS372)</f>
        <v/>
      </c>
      <c r="BL372" s="345">
        <f>IF(ISNUMBER(BF372),BF372,NA())</f>
        <v/>
      </c>
      <c r="BM372" s="345">
        <f>IF(ISNUMBER(AF372),AF372,NA())</f>
        <v/>
      </c>
      <c r="BN372" s="345">
        <f>IF(ISNUMBER(BI372),BI372,NA())</f>
        <v/>
      </c>
      <c r="BO372" s="345">
        <f>IF(ISNUMBER(AL372),AL372,NA())</f>
        <v/>
      </c>
      <c r="BP372" s="345">
        <f>IF(ISNUMBER(AM372),AM372,NA())</f>
        <v/>
      </c>
      <c r="BQ372" s="345">
        <f>IF(ISNUMBER(AN372),AN372,NA())</f>
        <v/>
      </c>
    </row>
    <row r="373">
      <c r="A373" s="358">
        <f>IF('Sep 2027'!AG7="","",'Sep 2027'!AG7)</f>
        <v/>
      </c>
      <c r="B373" s="345" t="n">
        <v>12</v>
      </c>
      <c r="C373" s="345">
        <f>IF($A373="","",29)</f>
        <v/>
      </c>
      <c r="D373" s="345">
        <f>IF($A373="","",WEEKDAY($A373,2))</f>
        <v/>
      </c>
      <c r="E373" s="345">
        <f>IF($A373="","",UPPER(TRIM('Sep 2027'!AG8)))</f>
        <v/>
      </c>
      <c r="F373" s="345">
        <f>IF($A373="","",IF(OR('Sep 2027'!AG10=TRUE,'Sep 2027'!AG10="x",'Sep 2027'!AG10="X"),1,0))</f>
        <v/>
      </c>
      <c r="G373" s="345">
        <f>IF($A373="","",IF(OR('Sep 2027'!AG11=TRUE,'Sep 2027'!AG11="x",'Sep 2027'!AG11="X"),1,0))</f>
        <v/>
      </c>
      <c r="H373" s="345">
        <f>IF($A373="","",IF(OR('Sep 2027'!AG12=TRUE,'Sep 2027'!AG12="x",'Sep 2027'!AG12="X"),1,0))</f>
        <v/>
      </c>
      <c r="I373" s="345">
        <f>IF($A373="","",IF(OR('Sep 2027'!AG13=TRUE,'Sep 2027'!AG13="x",'Sep 2027'!AG13="X"),1,0))</f>
        <v/>
      </c>
      <c r="J373" s="345">
        <f>IF($A373="","",IF(OR('Sep 2027'!AG14=TRUE,'Sep 2027'!AG14="x",'Sep 2027'!AG14="X"),1,0))</f>
        <v/>
      </c>
      <c r="K373" s="345">
        <f>IF($A373="","",IF(OR('Sep 2027'!AG15=TRUE,'Sep 2027'!AG15="x",'Sep 2027'!AG15="X"),1,0))</f>
        <v/>
      </c>
      <c r="L373" s="345">
        <f>IF($A373="","",IF(OR('Sep 2027'!AG16=TRUE,'Sep 2027'!AG16="x",'Sep 2027'!AG16="X"),1,0))</f>
        <v/>
      </c>
      <c r="M373" s="345">
        <f>IF($A373="","",IF(OR('Sep 2027'!AG17=TRUE,'Sep 2027'!AG17="x",'Sep 2027'!AG17="X"),1,0))</f>
        <v/>
      </c>
      <c r="N373" s="345">
        <f>IF($A373="","",IF(OR('Sep 2027'!AG18=TRUE,'Sep 2027'!AG18="x",'Sep 2027'!AG18="X"),1,0))</f>
        <v/>
      </c>
      <c r="O373" s="345">
        <f>IF($A373="","",IF(OR('Sep 2027'!AG20=TRUE,'Sep 2027'!AG20="x",'Sep 2027'!AG20="X"),1,0))</f>
        <v/>
      </c>
      <c r="P373" s="345">
        <f>IF($A373="","",IF(OR('Sep 2027'!AG21=TRUE,'Sep 2027'!AG21="x",'Sep 2027'!AG21="X"),1,0))</f>
        <v/>
      </c>
      <c r="Q373" s="345">
        <f>IF($A373="","",IF(OR('Sep 2027'!AG22=TRUE,'Sep 2027'!AG22="x",'Sep 2027'!AG22="X"),1,0))</f>
        <v/>
      </c>
      <c r="R373" s="345">
        <f>IF($A373="","",IF(OR('Sep 2027'!AG23=TRUE,'Sep 2027'!AG23="x",'Sep 2027'!AG23="X"),1,0))</f>
        <v/>
      </c>
      <c r="S373" s="345">
        <f>IF($A373="","",IF(OR('Sep 2027'!AG24=TRUE,'Sep 2027'!AG24="x",'Sep 2027'!AG24="X"),1,0))</f>
        <v/>
      </c>
      <c r="T373" s="345">
        <f>IF($A373="","",IF(OR('Sep 2027'!AG25=TRUE,'Sep 2027'!AG25="x",'Sep 2027'!AG25="X"),1,0))</f>
        <v/>
      </c>
      <c r="U373" s="345">
        <f>IF($A373="","",IF(OR('Sep 2027'!AG26=TRUE,'Sep 2027'!AG26="x",'Sep 2027'!AG26="X"),1,0))</f>
        <v/>
      </c>
      <c r="V373" s="345">
        <f>IF($A373="","",IF(OR('Sep 2027'!AG27=TRUE,'Sep 2027'!AG27="x",'Sep 2027'!AG27="X"),1,0))</f>
        <v/>
      </c>
      <c r="W373" s="345">
        <f>IF($A373="","",IF(OR('Sep 2027'!AG28=TRUE,'Sep 2027'!AG28="x",'Sep 2027'!AG28="X"),1,0))</f>
        <v/>
      </c>
      <c r="X373" s="345">
        <f>IF($A373="","",IF(OR('Sep 2027'!AG29=TRUE,'Sep 2027'!AG29="x",'Sep 2027'!AG29="X"),1,0))</f>
        <v/>
      </c>
      <c r="Y373" s="345">
        <f>IF($A373="","",IF(OR('Sep 2027'!AG30=TRUE,'Sep 2027'!AG30="x",'Sep 2027'!AG30="X"),1,0))</f>
        <v/>
      </c>
      <c r="Z373" s="345">
        <f>IF($A373="","",IF(OR('Sep 2027'!AG31=TRUE,'Sep 2027'!AG31="x",'Sep 2027'!AG31="X"),1,0))</f>
        <v/>
      </c>
      <c r="AA373" s="345">
        <f>IF($A373="","",IF(OR('Sep 2027'!AG32=TRUE,'Sep 2027'!AG32="x",'Sep 2027'!AG32="X"),1,0))</f>
        <v/>
      </c>
      <c r="AB373" s="345">
        <f>IF($A373="","",IF(OR('Sep 2027'!AG34=TRUE,'Sep 2027'!AG34="x",'Sep 2027'!AG34="X"),1,0))</f>
        <v/>
      </c>
      <c r="AC373" s="345">
        <f>IF($A373="","",IF(OR('Sep 2027'!AG35=TRUE,'Sep 2027'!AG35="x",'Sep 2027'!AG35="X"),1,0))</f>
        <v/>
      </c>
      <c r="AD373" s="345">
        <f>IF($A373="","",IF(OR('Sep 2027'!AG36=TRUE,'Sep 2027'!AG36="x",'Sep 2027'!AG36="X"),1,0))</f>
        <v/>
      </c>
      <c r="AE373" s="345">
        <f>IF($A373="","",IF(OR('Sep 2027'!AG37=TRUE,'Sep 2027'!AG37="x",'Sep 2027'!AG37="X"),1,0))</f>
        <v/>
      </c>
      <c r="AF373" s="345">
        <f>IF($A373="","",IF('Sep 2027'!AG59="","",'Sep 2027'!AG59))</f>
        <v/>
      </c>
      <c r="AG373" s="345">
        <f>IF($A373="","",IF('Sep 2027'!AG60="","",'Sep 2027'!AG60))</f>
        <v/>
      </c>
      <c r="AH373" s="345">
        <f>IF($A373="","",IF('Sep 2027'!AG61="","",'Sep 2027'!AG61))</f>
        <v/>
      </c>
      <c r="AI373" s="345">
        <f>IF($A373="","",IF('Sep 2027'!AG62="","",'Sep 2027'!AG62))</f>
        <v/>
      </c>
      <c r="AJ373" s="345">
        <f>IF($A373="","",IF('Sep 2027'!AG63="","",'Sep 2027'!AG63))</f>
        <v/>
      </c>
      <c r="AK373" s="345">
        <f>IF($A373="","",IF('Sep 2027'!AG64="","",'Sep 2027'!AG64))</f>
        <v/>
      </c>
      <c r="AL373" s="345">
        <f>IF($A373="","",IF('Sep 2027'!AG65="","",'Sep 2027'!AG65))</f>
        <v/>
      </c>
      <c r="AM373" s="345">
        <f>IF($A373="","",IF('Sep 2027'!AG66="","",'Sep 2027'!AG66))</f>
        <v/>
      </c>
      <c r="AN373" s="345">
        <f>IF($A373="","",IF('Sep 2027'!AG67="","",'Sep 2027'!AG67))</f>
        <v/>
      </c>
      <c r="AO373" s="345">
        <f>IF($A373="",0,IF(AND($A373&gt;=TrackStart,$A373&lt;=TODAY()),1,0))</f>
        <v/>
      </c>
      <c r="AP373" s="345">
        <f>IF($A373="",0,IF(SUM(F373:AE373)+COUNT(AF373:AN373)&gt;0,1,0))</f>
        <v/>
      </c>
      <c r="AQ373" s="345">
        <f>IF($A373="","",INT(($A373-TrackStart)/7)+1)</f>
        <v/>
      </c>
      <c r="AR373" s="345">
        <f>IF($A373="","",IF(AQ373&lt;=1,Steps1,IF(AQ373=2,Steps2,Steps3)))</f>
        <v/>
      </c>
      <c r="AS373" s="345">
        <f>IF($A373="",0,IF(ISNUMBER(SEARCH(TEXT(D373,"0"),WorkDays&amp;"")),1,0))</f>
        <v/>
      </c>
      <c r="AT373" s="345">
        <f>IF($A373="",0,IF(ISNUMBER(SEARCH(TEXT(D373,"0"),StrDays&amp;"")),1,0))</f>
        <v/>
      </c>
      <c r="AU373" s="345">
        <f>IF($A373="",0,IF(ISNUMBER(AK373),IF(AK373&gt;=SleepMin,1,0),N373))</f>
        <v/>
      </c>
      <c r="AV373" s="345">
        <f>IF($A373="",0,MAX(I373,O373,S373,AC373))</f>
        <v/>
      </c>
      <c r="AW373" s="345">
        <f>IF($A373="",0,IF(ISNUMBER(AH373),IF(AH373&gt;=ProtHit,1,0),0))</f>
        <v/>
      </c>
      <c r="AX373" s="345">
        <f>IF($A373="",0,IF(ISNUMBER(AI373),IF(AI373&gt;=WaterHit,1,0),0))</f>
        <v/>
      </c>
      <c r="AY373" s="345">
        <f>IF($A373="",0,IF(ISNUMBER(AG373),IF(AG373&gt;=AR373,1,0),0))</f>
        <v/>
      </c>
      <c r="AZ373" s="345">
        <f>IF($A373="",0,G373)</f>
        <v/>
      </c>
      <c r="BA373" s="345">
        <f>IF($A373="",0,J373)</f>
        <v/>
      </c>
      <c r="BB373" s="345">
        <f>IF($A373="",0,K373)</f>
        <v/>
      </c>
      <c r="BC373" s="345">
        <f>IF($A373="",0,MAX(L373,AE373))</f>
        <v/>
      </c>
      <c r="BD373" s="344">
        <f>IF($A373="","",(AU373+AV373+AW373+AX373+AY373+AZ373+BB373+BC373+IF(AS373=1,BA373,0))/(8+AS373))</f>
        <v/>
      </c>
      <c r="BE373" s="344">
        <f>IF($A373="","",(IF(ISNUMBER(AI373),IF(AI373&gt;=WaterMVD,1,0),0)+AV373+IF(ISNUMBER(AH373),IF(AH373&gt;=ProtMVD,1,0),0)+MAX(H373,AD373)+AZ373+BB373+AU373)/7)</f>
        <v/>
      </c>
      <c r="BF373" s="344">
        <f>IF(AO373=0,"",IF(E373="S","",IF(AND(AP373=0,$A373=TODAY()),"",IF(E373="M",BE373,BD373))))</f>
        <v/>
      </c>
      <c r="BG373" s="344">
        <f>IF(AO373=0,"",IFERROR(AVERAGEIFS(Data!$BF$4:$BF$375,Data!$A$4:$A$375,"&gt;"&amp;($A373-7),Data!$A$4:$A$375,"&lt;="&amp;$A373),""))</f>
        <v/>
      </c>
      <c r="BH373" s="344">
        <f>IF(AO373=0,"",IFERROR(AVERAGEIFS(Data!$BF$4:$BF$375,Data!$A$4:$A$375,"&gt;"&amp;($A373-30),Data!$A$4:$A$375,"&lt;="&amp;$A373),""))</f>
        <v/>
      </c>
      <c r="BI373" s="359">
        <f>IF($A373="","",IFERROR(AVERAGEIFS(Data!$AF$4:$AF$375,Data!$A$4:$A$375,"&gt;"&amp;($A373-7),Data!$A$4:$A$375,"&lt;="&amp;$A373,Data!$AF$4:$AF$375,"&gt;0"),""))</f>
        <v/>
      </c>
      <c r="BJ373" s="345">
        <f>IF($A373="","",F373+G373+H373+I373+J373+K373+L373+M373+N373-IF(AS373=1,0,J373))</f>
        <v/>
      </c>
      <c r="BK373" s="345">
        <f>IF($A373="","",8+AS373)</f>
        <v/>
      </c>
      <c r="BL373" s="345">
        <f>IF(ISNUMBER(BF373),BF373,NA())</f>
        <v/>
      </c>
      <c r="BM373" s="345">
        <f>IF(ISNUMBER(AF373),AF373,NA())</f>
        <v/>
      </c>
      <c r="BN373" s="345">
        <f>IF(ISNUMBER(BI373),BI373,NA())</f>
        <v/>
      </c>
      <c r="BO373" s="345">
        <f>IF(ISNUMBER(AL373),AL373,NA())</f>
        <v/>
      </c>
      <c r="BP373" s="345">
        <f>IF(ISNUMBER(AM373),AM373,NA())</f>
        <v/>
      </c>
      <c r="BQ373" s="345">
        <f>IF(ISNUMBER(AN373),AN373,NA())</f>
        <v/>
      </c>
    </row>
    <row r="374">
      <c r="A374" s="358">
        <f>IF('Sep 2027'!AH7="","",'Sep 2027'!AH7)</f>
        <v/>
      </c>
      <c r="B374" s="345" t="n">
        <v>12</v>
      </c>
      <c r="C374" s="345">
        <f>IF($A374="","",30)</f>
        <v/>
      </c>
      <c r="D374" s="345">
        <f>IF($A374="","",WEEKDAY($A374,2))</f>
        <v/>
      </c>
      <c r="E374" s="345">
        <f>IF($A374="","",UPPER(TRIM('Sep 2027'!AH8)))</f>
        <v/>
      </c>
      <c r="F374" s="345">
        <f>IF($A374="","",IF(OR('Sep 2027'!AH10=TRUE,'Sep 2027'!AH10="x",'Sep 2027'!AH10="X"),1,0))</f>
        <v/>
      </c>
      <c r="G374" s="345">
        <f>IF($A374="","",IF(OR('Sep 2027'!AH11=TRUE,'Sep 2027'!AH11="x",'Sep 2027'!AH11="X"),1,0))</f>
        <v/>
      </c>
      <c r="H374" s="345">
        <f>IF($A374="","",IF(OR('Sep 2027'!AH12=TRUE,'Sep 2027'!AH12="x",'Sep 2027'!AH12="X"),1,0))</f>
        <v/>
      </c>
      <c r="I374" s="345">
        <f>IF($A374="","",IF(OR('Sep 2027'!AH13=TRUE,'Sep 2027'!AH13="x",'Sep 2027'!AH13="X"),1,0))</f>
        <v/>
      </c>
      <c r="J374" s="345">
        <f>IF($A374="","",IF(OR('Sep 2027'!AH14=TRUE,'Sep 2027'!AH14="x",'Sep 2027'!AH14="X"),1,0))</f>
        <v/>
      </c>
      <c r="K374" s="345">
        <f>IF($A374="","",IF(OR('Sep 2027'!AH15=TRUE,'Sep 2027'!AH15="x",'Sep 2027'!AH15="X"),1,0))</f>
        <v/>
      </c>
      <c r="L374" s="345">
        <f>IF($A374="","",IF(OR('Sep 2027'!AH16=TRUE,'Sep 2027'!AH16="x",'Sep 2027'!AH16="X"),1,0))</f>
        <v/>
      </c>
      <c r="M374" s="345">
        <f>IF($A374="","",IF(OR('Sep 2027'!AH17=TRUE,'Sep 2027'!AH17="x",'Sep 2027'!AH17="X"),1,0))</f>
        <v/>
      </c>
      <c r="N374" s="345">
        <f>IF($A374="","",IF(OR('Sep 2027'!AH18=TRUE,'Sep 2027'!AH18="x",'Sep 2027'!AH18="X"),1,0))</f>
        <v/>
      </c>
      <c r="O374" s="345">
        <f>IF($A374="","",IF(OR('Sep 2027'!AH20=TRUE,'Sep 2027'!AH20="x",'Sep 2027'!AH20="X"),1,0))</f>
        <v/>
      </c>
      <c r="P374" s="345">
        <f>IF($A374="","",IF(OR('Sep 2027'!AH21=TRUE,'Sep 2027'!AH21="x",'Sep 2027'!AH21="X"),1,0))</f>
        <v/>
      </c>
      <c r="Q374" s="345">
        <f>IF($A374="","",IF(OR('Sep 2027'!AH22=TRUE,'Sep 2027'!AH22="x",'Sep 2027'!AH22="X"),1,0))</f>
        <v/>
      </c>
      <c r="R374" s="345">
        <f>IF($A374="","",IF(OR('Sep 2027'!AH23=TRUE,'Sep 2027'!AH23="x",'Sep 2027'!AH23="X"),1,0))</f>
        <v/>
      </c>
      <c r="S374" s="345">
        <f>IF($A374="","",IF(OR('Sep 2027'!AH24=TRUE,'Sep 2027'!AH24="x",'Sep 2027'!AH24="X"),1,0))</f>
        <v/>
      </c>
      <c r="T374" s="345">
        <f>IF($A374="","",IF(OR('Sep 2027'!AH25=TRUE,'Sep 2027'!AH25="x",'Sep 2027'!AH25="X"),1,0))</f>
        <v/>
      </c>
      <c r="U374" s="345">
        <f>IF($A374="","",IF(OR('Sep 2027'!AH26=TRUE,'Sep 2027'!AH26="x",'Sep 2027'!AH26="X"),1,0))</f>
        <v/>
      </c>
      <c r="V374" s="345">
        <f>IF($A374="","",IF(OR('Sep 2027'!AH27=TRUE,'Sep 2027'!AH27="x",'Sep 2027'!AH27="X"),1,0))</f>
        <v/>
      </c>
      <c r="W374" s="345">
        <f>IF($A374="","",IF(OR('Sep 2027'!AH28=TRUE,'Sep 2027'!AH28="x",'Sep 2027'!AH28="X"),1,0))</f>
        <v/>
      </c>
      <c r="X374" s="345">
        <f>IF($A374="","",IF(OR('Sep 2027'!AH29=TRUE,'Sep 2027'!AH29="x",'Sep 2027'!AH29="X"),1,0))</f>
        <v/>
      </c>
      <c r="Y374" s="345">
        <f>IF($A374="","",IF(OR('Sep 2027'!AH30=TRUE,'Sep 2027'!AH30="x",'Sep 2027'!AH30="X"),1,0))</f>
        <v/>
      </c>
      <c r="Z374" s="345">
        <f>IF($A374="","",IF(OR('Sep 2027'!AH31=TRUE,'Sep 2027'!AH31="x",'Sep 2027'!AH31="X"),1,0))</f>
        <v/>
      </c>
      <c r="AA374" s="345">
        <f>IF($A374="","",IF(OR('Sep 2027'!AH32=TRUE,'Sep 2027'!AH32="x",'Sep 2027'!AH32="X"),1,0))</f>
        <v/>
      </c>
      <c r="AB374" s="345">
        <f>IF($A374="","",IF(OR('Sep 2027'!AH34=TRUE,'Sep 2027'!AH34="x",'Sep 2027'!AH34="X"),1,0))</f>
        <v/>
      </c>
      <c r="AC374" s="345">
        <f>IF($A374="","",IF(OR('Sep 2027'!AH35=TRUE,'Sep 2027'!AH35="x",'Sep 2027'!AH35="X"),1,0))</f>
        <v/>
      </c>
      <c r="AD374" s="345">
        <f>IF($A374="","",IF(OR('Sep 2027'!AH36=TRUE,'Sep 2027'!AH36="x",'Sep 2027'!AH36="X"),1,0))</f>
        <v/>
      </c>
      <c r="AE374" s="345">
        <f>IF($A374="","",IF(OR('Sep 2027'!AH37=TRUE,'Sep 2027'!AH37="x",'Sep 2027'!AH37="X"),1,0))</f>
        <v/>
      </c>
      <c r="AF374" s="345">
        <f>IF($A374="","",IF('Sep 2027'!AH59="","",'Sep 2027'!AH59))</f>
        <v/>
      </c>
      <c r="AG374" s="345">
        <f>IF($A374="","",IF('Sep 2027'!AH60="","",'Sep 2027'!AH60))</f>
        <v/>
      </c>
      <c r="AH374" s="345">
        <f>IF($A374="","",IF('Sep 2027'!AH61="","",'Sep 2027'!AH61))</f>
        <v/>
      </c>
      <c r="AI374" s="345">
        <f>IF($A374="","",IF('Sep 2027'!AH62="","",'Sep 2027'!AH62))</f>
        <v/>
      </c>
      <c r="AJ374" s="345">
        <f>IF($A374="","",IF('Sep 2027'!AH63="","",'Sep 2027'!AH63))</f>
        <v/>
      </c>
      <c r="AK374" s="345">
        <f>IF($A374="","",IF('Sep 2027'!AH64="","",'Sep 2027'!AH64))</f>
        <v/>
      </c>
      <c r="AL374" s="345">
        <f>IF($A374="","",IF('Sep 2027'!AH65="","",'Sep 2027'!AH65))</f>
        <v/>
      </c>
      <c r="AM374" s="345">
        <f>IF($A374="","",IF('Sep 2027'!AH66="","",'Sep 2027'!AH66))</f>
        <v/>
      </c>
      <c r="AN374" s="345">
        <f>IF($A374="","",IF('Sep 2027'!AH67="","",'Sep 2027'!AH67))</f>
        <v/>
      </c>
      <c r="AO374" s="345">
        <f>IF($A374="",0,IF(AND($A374&gt;=TrackStart,$A374&lt;=TODAY()),1,0))</f>
        <v/>
      </c>
      <c r="AP374" s="345">
        <f>IF($A374="",0,IF(SUM(F374:AE374)+COUNT(AF374:AN374)&gt;0,1,0))</f>
        <v/>
      </c>
      <c r="AQ374" s="345">
        <f>IF($A374="","",INT(($A374-TrackStart)/7)+1)</f>
        <v/>
      </c>
      <c r="AR374" s="345">
        <f>IF($A374="","",IF(AQ374&lt;=1,Steps1,IF(AQ374=2,Steps2,Steps3)))</f>
        <v/>
      </c>
      <c r="AS374" s="345">
        <f>IF($A374="",0,IF(ISNUMBER(SEARCH(TEXT(D374,"0"),WorkDays&amp;"")),1,0))</f>
        <v/>
      </c>
      <c r="AT374" s="345">
        <f>IF($A374="",0,IF(ISNUMBER(SEARCH(TEXT(D374,"0"),StrDays&amp;"")),1,0))</f>
        <v/>
      </c>
      <c r="AU374" s="345">
        <f>IF($A374="",0,IF(ISNUMBER(AK374),IF(AK374&gt;=SleepMin,1,0),N374))</f>
        <v/>
      </c>
      <c r="AV374" s="345">
        <f>IF($A374="",0,MAX(I374,O374,S374,AC374))</f>
        <v/>
      </c>
      <c r="AW374" s="345">
        <f>IF($A374="",0,IF(ISNUMBER(AH374),IF(AH374&gt;=ProtHit,1,0),0))</f>
        <v/>
      </c>
      <c r="AX374" s="345">
        <f>IF($A374="",0,IF(ISNUMBER(AI374),IF(AI374&gt;=WaterHit,1,0),0))</f>
        <v/>
      </c>
      <c r="AY374" s="345">
        <f>IF($A374="",0,IF(ISNUMBER(AG374),IF(AG374&gt;=AR374,1,0),0))</f>
        <v/>
      </c>
      <c r="AZ374" s="345">
        <f>IF($A374="",0,G374)</f>
        <v/>
      </c>
      <c r="BA374" s="345">
        <f>IF($A374="",0,J374)</f>
        <v/>
      </c>
      <c r="BB374" s="345">
        <f>IF($A374="",0,K374)</f>
        <v/>
      </c>
      <c r="BC374" s="345">
        <f>IF($A374="",0,MAX(L374,AE374))</f>
        <v/>
      </c>
      <c r="BD374" s="344">
        <f>IF($A374="","",(AU374+AV374+AW374+AX374+AY374+AZ374+BB374+BC374+IF(AS374=1,BA374,0))/(8+AS374))</f>
        <v/>
      </c>
      <c r="BE374" s="344">
        <f>IF($A374="","",(IF(ISNUMBER(AI374),IF(AI374&gt;=WaterMVD,1,0),0)+AV374+IF(ISNUMBER(AH374),IF(AH374&gt;=ProtMVD,1,0),0)+MAX(H374,AD374)+AZ374+BB374+AU374)/7)</f>
        <v/>
      </c>
      <c r="BF374" s="344">
        <f>IF(AO374=0,"",IF(E374="S","",IF(AND(AP374=0,$A374=TODAY()),"",IF(E374="M",BE374,BD374))))</f>
        <v/>
      </c>
      <c r="BG374" s="344">
        <f>IF(AO374=0,"",IFERROR(AVERAGEIFS(Data!$BF$4:$BF$375,Data!$A$4:$A$375,"&gt;"&amp;($A374-7),Data!$A$4:$A$375,"&lt;="&amp;$A374),""))</f>
        <v/>
      </c>
      <c r="BH374" s="344">
        <f>IF(AO374=0,"",IFERROR(AVERAGEIFS(Data!$BF$4:$BF$375,Data!$A$4:$A$375,"&gt;"&amp;($A374-30),Data!$A$4:$A$375,"&lt;="&amp;$A374),""))</f>
        <v/>
      </c>
      <c r="BI374" s="359">
        <f>IF($A374="","",IFERROR(AVERAGEIFS(Data!$AF$4:$AF$375,Data!$A$4:$A$375,"&gt;"&amp;($A374-7),Data!$A$4:$A$375,"&lt;="&amp;$A374,Data!$AF$4:$AF$375,"&gt;0"),""))</f>
        <v/>
      </c>
      <c r="BJ374" s="345">
        <f>IF($A374="","",F374+G374+H374+I374+J374+K374+L374+M374+N374-IF(AS374=1,0,J374))</f>
        <v/>
      </c>
      <c r="BK374" s="345">
        <f>IF($A374="","",8+AS374)</f>
        <v/>
      </c>
      <c r="BL374" s="345">
        <f>IF(ISNUMBER(BF374),BF374,NA())</f>
        <v/>
      </c>
      <c r="BM374" s="345">
        <f>IF(ISNUMBER(AF374),AF374,NA())</f>
        <v/>
      </c>
      <c r="BN374" s="345">
        <f>IF(ISNUMBER(BI374),BI374,NA())</f>
        <v/>
      </c>
      <c r="BO374" s="345">
        <f>IF(ISNUMBER(AL374),AL374,NA())</f>
        <v/>
      </c>
      <c r="BP374" s="345">
        <f>IF(ISNUMBER(AM374),AM374,NA())</f>
        <v/>
      </c>
      <c r="BQ374" s="345">
        <f>IF(ISNUMBER(AN374),AN374,NA())</f>
        <v/>
      </c>
    </row>
    <row r="375">
      <c r="A375" s="358">
        <f>IF('Sep 2027'!AI7="","",'Sep 2027'!AI7)</f>
        <v/>
      </c>
      <c r="B375" s="345" t="n">
        <v>12</v>
      </c>
      <c r="C375" s="345">
        <f>IF($A375="","",31)</f>
        <v/>
      </c>
      <c r="D375" s="345">
        <f>IF($A375="","",WEEKDAY($A375,2))</f>
        <v/>
      </c>
      <c r="E375" s="345">
        <f>IF($A375="","",UPPER(TRIM('Sep 2027'!AI8)))</f>
        <v/>
      </c>
      <c r="F375" s="345">
        <f>IF($A375="","",IF(OR('Sep 2027'!AI10=TRUE,'Sep 2027'!AI10="x",'Sep 2027'!AI10="X"),1,0))</f>
        <v/>
      </c>
      <c r="G375" s="345">
        <f>IF($A375="","",IF(OR('Sep 2027'!AI11=TRUE,'Sep 2027'!AI11="x",'Sep 2027'!AI11="X"),1,0))</f>
        <v/>
      </c>
      <c r="H375" s="345">
        <f>IF($A375="","",IF(OR('Sep 2027'!AI12=TRUE,'Sep 2027'!AI12="x",'Sep 2027'!AI12="X"),1,0))</f>
        <v/>
      </c>
      <c r="I375" s="345">
        <f>IF($A375="","",IF(OR('Sep 2027'!AI13=TRUE,'Sep 2027'!AI13="x",'Sep 2027'!AI13="X"),1,0))</f>
        <v/>
      </c>
      <c r="J375" s="345">
        <f>IF($A375="","",IF(OR('Sep 2027'!AI14=TRUE,'Sep 2027'!AI14="x",'Sep 2027'!AI14="X"),1,0))</f>
        <v/>
      </c>
      <c r="K375" s="345">
        <f>IF($A375="","",IF(OR('Sep 2027'!AI15=TRUE,'Sep 2027'!AI15="x",'Sep 2027'!AI15="X"),1,0))</f>
        <v/>
      </c>
      <c r="L375" s="345">
        <f>IF($A375="","",IF(OR('Sep 2027'!AI16=TRUE,'Sep 2027'!AI16="x",'Sep 2027'!AI16="X"),1,0))</f>
        <v/>
      </c>
      <c r="M375" s="345">
        <f>IF($A375="","",IF(OR('Sep 2027'!AI17=TRUE,'Sep 2027'!AI17="x",'Sep 2027'!AI17="X"),1,0))</f>
        <v/>
      </c>
      <c r="N375" s="345">
        <f>IF($A375="","",IF(OR('Sep 2027'!AI18=TRUE,'Sep 2027'!AI18="x",'Sep 2027'!AI18="X"),1,0))</f>
        <v/>
      </c>
      <c r="O375" s="345">
        <f>IF($A375="","",IF(OR('Sep 2027'!AI20=TRUE,'Sep 2027'!AI20="x",'Sep 2027'!AI20="X"),1,0))</f>
        <v/>
      </c>
      <c r="P375" s="345">
        <f>IF($A375="","",IF(OR('Sep 2027'!AI21=TRUE,'Sep 2027'!AI21="x",'Sep 2027'!AI21="X"),1,0))</f>
        <v/>
      </c>
      <c r="Q375" s="345">
        <f>IF($A375="","",IF(OR('Sep 2027'!AI22=TRUE,'Sep 2027'!AI22="x",'Sep 2027'!AI22="X"),1,0))</f>
        <v/>
      </c>
      <c r="R375" s="345">
        <f>IF($A375="","",IF(OR('Sep 2027'!AI23=TRUE,'Sep 2027'!AI23="x",'Sep 2027'!AI23="X"),1,0))</f>
        <v/>
      </c>
      <c r="S375" s="345">
        <f>IF($A375="","",IF(OR('Sep 2027'!AI24=TRUE,'Sep 2027'!AI24="x",'Sep 2027'!AI24="X"),1,0))</f>
        <v/>
      </c>
      <c r="T375" s="345">
        <f>IF($A375="","",IF(OR('Sep 2027'!AI25=TRUE,'Sep 2027'!AI25="x",'Sep 2027'!AI25="X"),1,0))</f>
        <v/>
      </c>
      <c r="U375" s="345">
        <f>IF($A375="","",IF(OR('Sep 2027'!AI26=TRUE,'Sep 2027'!AI26="x",'Sep 2027'!AI26="X"),1,0))</f>
        <v/>
      </c>
      <c r="V375" s="345">
        <f>IF($A375="","",IF(OR('Sep 2027'!AI27=TRUE,'Sep 2027'!AI27="x",'Sep 2027'!AI27="X"),1,0))</f>
        <v/>
      </c>
      <c r="W375" s="345">
        <f>IF($A375="","",IF(OR('Sep 2027'!AI28=TRUE,'Sep 2027'!AI28="x",'Sep 2027'!AI28="X"),1,0))</f>
        <v/>
      </c>
      <c r="X375" s="345">
        <f>IF($A375="","",IF(OR('Sep 2027'!AI29=TRUE,'Sep 2027'!AI29="x",'Sep 2027'!AI29="X"),1,0))</f>
        <v/>
      </c>
      <c r="Y375" s="345">
        <f>IF($A375="","",IF(OR('Sep 2027'!AI30=TRUE,'Sep 2027'!AI30="x",'Sep 2027'!AI30="X"),1,0))</f>
        <v/>
      </c>
      <c r="Z375" s="345">
        <f>IF($A375="","",IF(OR('Sep 2027'!AI31=TRUE,'Sep 2027'!AI31="x",'Sep 2027'!AI31="X"),1,0))</f>
        <v/>
      </c>
      <c r="AA375" s="345">
        <f>IF($A375="","",IF(OR('Sep 2027'!AI32=TRUE,'Sep 2027'!AI32="x",'Sep 2027'!AI32="X"),1,0))</f>
        <v/>
      </c>
      <c r="AB375" s="345">
        <f>IF($A375="","",IF(OR('Sep 2027'!AI34=TRUE,'Sep 2027'!AI34="x",'Sep 2027'!AI34="X"),1,0))</f>
        <v/>
      </c>
      <c r="AC375" s="345">
        <f>IF($A375="","",IF(OR('Sep 2027'!AI35=TRUE,'Sep 2027'!AI35="x",'Sep 2027'!AI35="X"),1,0))</f>
        <v/>
      </c>
      <c r="AD375" s="345">
        <f>IF($A375="","",IF(OR('Sep 2027'!AI36=TRUE,'Sep 2027'!AI36="x",'Sep 2027'!AI36="X"),1,0))</f>
        <v/>
      </c>
      <c r="AE375" s="345">
        <f>IF($A375="","",IF(OR('Sep 2027'!AI37=TRUE,'Sep 2027'!AI37="x",'Sep 2027'!AI37="X"),1,0))</f>
        <v/>
      </c>
      <c r="AF375" s="345">
        <f>IF($A375="","",IF('Sep 2027'!AI59="","",'Sep 2027'!AI59))</f>
        <v/>
      </c>
      <c r="AG375" s="345">
        <f>IF($A375="","",IF('Sep 2027'!AI60="","",'Sep 2027'!AI60))</f>
        <v/>
      </c>
      <c r="AH375" s="345">
        <f>IF($A375="","",IF('Sep 2027'!AI61="","",'Sep 2027'!AI61))</f>
        <v/>
      </c>
      <c r="AI375" s="345">
        <f>IF($A375="","",IF('Sep 2027'!AI62="","",'Sep 2027'!AI62))</f>
        <v/>
      </c>
      <c r="AJ375" s="345">
        <f>IF($A375="","",IF('Sep 2027'!AI63="","",'Sep 2027'!AI63))</f>
        <v/>
      </c>
      <c r="AK375" s="345">
        <f>IF($A375="","",IF('Sep 2027'!AI64="","",'Sep 2027'!AI64))</f>
        <v/>
      </c>
      <c r="AL375" s="345">
        <f>IF($A375="","",IF('Sep 2027'!AI65="","",'Sep 2027'!AI65))</f>
        <v/>
      </c>
      <c r="AM375" s="345">
        <f>IF($A375="","",IF('Sep 2027'!AI66="","",'Sep 2027'!AI66))</f>
        <v/>
      </c>
      <c r="AN375" s="345">
        <f>IF($A375="","",IF('Sep 2027'!AI67="","",'Sep 2027'!AI67))</f>
        <v/>
      </c>
      <c r="AO375" s="345">
        <f>IF($A375="",0,IF(AND($A375&gt;=TrackStart,$A375&lt;=TODAY()),1,0))</f>
        <v/>
      </c>
      <c r="AP375" s="345">
        <f>IF($A375="",0,IF(SUM(F375:AE375)+COUNT(AF375:AN375)&gt;0,1,0))</f>
        <v/>
      </c>
      <c r="AQ375" s="345">
        <f>IF($A375="","",INT(($A375-TrackStart)/7)+1)</f>
        <v/>
      </c>
      <c r="AR375" s="345">
        <f>IF($A375="","",IF(AQ375&lt;=1,Steps1,IF(AQ375=2,Steps2,Steps3)))</f>
        <v/>
      </c>
      <c r="AS375" s="345">
        <f>IF($A375="",0,IF(ISNUMBER(SEARCH(TEXT(D375,"0"),WorkDays&amp;"")),1,0))</f>
        <v/>
      </c>
      <c r="AT375" s="345">
        <f>IF($A375="",0,IF(ISNUMBER(SEARCH(TEXT(D375,"0"),StrDays&amp;"")),1,0))</f>
        <v/>
      </c>
      <c r="AU375" s="345">
        <f>IF($A375="",0,IF(ISNUMBER(AK375),IF(AK375&gt;=SleepMin,1,0),N375))</f>
        <v/>
      </c>
      <c r="AV375" s="345">
        <f>IF($A375="",0,MAX(I375,O375,S375,AC375))</f>
        <v/>
      </c>
      <c r="AW375" s="345">
        <f>IF($A375="",0,IF(ISNUMBER(AH375),IF(AH375&gt;=ProtHit,1,0),0))</f>
        <v/>
      </c>
      <c r="AX375" s="345">
        <f>IF($A375="",0,IF(ISNUMBER(AI375),IF(AI375&gt;=WaterHit,1,0),0))</f>
        <v/>
      </c>
      <c r="AY375" s="345">
        <f>IF($A375="",0,IF(ISNUMBER(AG375),IF(AG375&gt;=AR375,1,0),0))</f>
        <v/>
      </c>
      <c r="AZ375" s="345">
        <f>IF($A375="",0,G375)</f>
        <v/>
      </c>
      <c r="BA375" s="345">
        <f>IF($A375="",0,J375)</f>
        <v/>
      </c>
      <c r="BB375" s="345">
        <f>IF($A375="",0,K375)</f>
        <v/>
      </c>
      <c r="BC375" s="345">
        <f>IF($A375="",0,MAX(L375,AE375))</f>
        <v/>
      </c>
      <c r="BD375" s="344">
        <f>IF($A375="","",(AU375+AV375+AW375+AX375+AY375+AZ375+BB375+BC375+IF(AS375=1,BA375,0))/(8+AS375))</f>
        <v/>
      </c>
      <c r="BE375" s="344">
        <f>IF($A375="","",(IF(ISNUMBER(AI375),IF(AI375&gt;=WaterMVD,1,0),0)+AV375+IF(ISNUMBER(AH375),IF(AH375&gt;=ProtMVD,1,0),0)+MAX(H375,AD375)+AZ375+BB375+AU375)/7)</f>
        <v/>
      </c>
      <c r="BF375" s="344">
        <f>IF(AO375=0,"",IF(E375="S","",IF(AND(AP375=0,$A375=TODAY()),"",IF(E375="M",BE375,BD375))))</f>
        <v/>
      </c>
      <c r="BG375" s="344">
        <f>IF(AO375=0,"",IFERROR(AVERAGEIFS(Data!$BF$4:$BF$375,Data!$A$4:$A$375,"&gt;"&amp;($A375-7),Data!$A$4:$A$375,"&lt;="&amp;$A375),""))</f>
        <v/>
      </c>
      <c r="BH375" s="344">
        <f>IF(AO375=0,"",IFERROR(AVERAGEIFS(Data!$BF$4:$BF$375,Data!$A$4:$A$375,"&gt;"&amp;($A375-30),Data!$A$4:$A$375,"&lt;="&amp;$A375),""))</f>
        <v/>
      </c>
      <c r="BI375" s="359">
        <f>IF($A375="","",IFERROR(AVERAGEIFS(Data!$AF$4:$AF$375,Data!$A$4:$A$375,"&gt;"&amp;($A375-7),Data!$A$4:$A$375,"&lt;="&amp;$A375,Data!$AF$4:$AF$375,"&gt;0"),""))</f>
        <v/>
      </c>
      <c r="BJ375" s="345">
        <f>IF($A375="","",F375+G375+H375+I375+J375+K375+L375+M375+N375-IF(AS375=1,0,J375))</f>
        <v/>
      </c>
      <c r="BK375" s="345">
        <f>IF($A375="","",8+AS375)</f>
        <v/>
      </c>
      <c r="BL375" s="345">
        <f>IF(ISNUMBER(BF375),BF375,NA())</f>
        <v/>
      </c>
      <c r="BM375" s="345">
        <f>IF(ISNUMBER(AF375),AF375,NA())</f>
        <v/>
      </c>
      <c r="BN375" s="345">
        <f>IF(ISNUMBER(BI375),BI375,NA())</f>
        <v/>
      </c>
      <c r="BO375" s="345">
        <f>IF(ISNUMBER(AL375),AL375,NA())</f>
        <v/>
      </c>
      <c r="BP375" s="345">
        <f>IF(ISNUMBER(AM375),AM375,NA())</f>
        <v/>
      </c>
      <c r="BQ375" s="345">
        <f>IF(ISNUMBER(AN375),AN375,NA())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2026-10-07T16:03:04Z</dcterms:created>
  <dcterms:modified xmlns:dcterms="http://purl.org/dc/terms/" xmlns:xsi="http://www.w3.org/2001/XMLSchema-instance" xsi:type="dcterms:W3CDTF">2026-10-07T16:03:10Z</dcterms:modified>
</cp:coreProperties>
</file>